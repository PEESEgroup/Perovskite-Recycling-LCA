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filterPrivacy="1" codeName="ThisWorkbook"/>
  <xr:revisionPtr revIDLastSave="0" documentId="13_ncr:1_{B099FDE9-592D-4BF7-89E0-CAD646F9F629}" xr6:coauthVersionLast="45" xr6:coauthVersionMax="45" xr10:uidLastSave="{00000000-0000-0000-0000-000000000000}"/>
  <bookViews>
    <workbookView xWindow="-120" yWindow="-120" windowWidth="29040" windowHeight="15840" activeTab="1" xr2:uid="{00000000-000D-0000-FFFF-FFFF00000000}"/>
  </bookViews>
  <sheets>
    <sheet name="material inventory" sheetId="2" r:id="rId1"/>
    <sheet name="SA" sheetId="8" r:id="rId2"/>
    <sheet name="energy consumption" sheetId="1" r:id="rId3"/>
    <sheet name="results" sheetId="4" r:id="rId4"/>
    <sheet name="CB_DATA_" sheetId="6" state="veryHidden" r:id="rId5"/>
    <sheet name="Uncertainty" sheetId="5" r:id="rId6"/>
  </sheets>
  <externalReferences>
    <externalReference r:id="rId7"/>
    <externalReference r:id="rId8"/>
    <externalReference r:id="rId9"/>
    <externalReference r:id="rId10"/>
    <externalReference r:id="rId11"/>
    <externalReference r:id="rId12"/>
  </externalReferences>
  <definedNames>
    <definedName name="CB_0151a307754446ee86e05717f7fa2f89" localSheetId="5" hidden="1">Uncertainty!$C$2</definedName>
    <definedName name="CB_1172c7ce0d1b4c27908adeceb1074f42" localSheetId="4" hidden="1">#N/A</definedName>
    <definedName name="CB_3b99c434abac464a93f305382f125c04" localSheetId="5" hidden="1">Uncertainty!$C$4</definedName>
    <definedName name="CB_3fd12f89eef340f196032ddc7079e42a" localSheetId="5" hidden="1">Uncertainty!$C$8</definedName>
    <definedName name="CB_52e76ebe104e4532b78423591b155294" localSheetId="5" hidden="1">Uncertainty!$C$10</definedName>
    <definedName name="CB_73e58ab06dd54df9abe8c9ae4811d98a" localSheetId="5" hidden="1">Uncertainty!$C$6</definedName>
    <definedName name="CB_775f76ec25c24a77960e2addedf705b3" localSheetId="5" hidden="1">Uncertainty!$C$9</definedName>
    <definedName name="CB_8e4c866090304856a497186c0ac93957" localSheetId="4" hidden="1">#N/A</definedName>
    <definedName name="CB_Block_00000000000000000000000000000000" localSheetId="4" hidden="1">"'7.0.0.0"</definedName>
    <definedName name="CB_Block_00000000000000000000000000000000" localSheetId="5" hidden="1">"'7.0.0.0"</definedName>
    <definedName name="CB_Block_00000000000000000000000000000001" localSheetId="4" hidden="1">"'637136698068684574"</definedName>
    <definedName name="CB_Block_00000000000000000000000000000001" localSheetId="5" hidden="1">"'637136698068840777"</definedName>
    <definedName name="CB_Block_00000000000000000000000000000003" localSheetId="4" hidden="1">"'11.1.4716.0"</definedName>
    <definedName name="CB_Block_00000000000000000000000000000003" localSheetId="5" hidden="1">"'11.1.4716.0"</definedName>
    <definedName name="CB_BlockExt_00000000000000000000000000000003" localSheetId="4" hidden="1">"'11.1.2.4.850"</definedName>
    <definedName name="CB_BlockExt_00000000000000000000000000000003" localSheetId="5" hidden="1">"'11.1.2.4.850"</definedName>
    <definedName name="CB_d2d2195942a649fe8e0f049f773c0a14" localSheetId="5" hidden="1">Uncertainty!$C$7</definedName>
    <definedName name="CB_d46a7f6ce6bc4119b5999d97af81180a" localSheetId="5" hidden="1">Uncertainty!$C$3</definedName>
    <definedName name="CBCR_02e7433156004e978391f2d3c45cfb6b" localSheetId="5" hidden="1">Uncertainty!$E$3</definedName>
    <definedName name="CBCR_0780f4f2bf9347b1af64bcabd7f95854" localSheetId="5" hidden="1">Uncertainty!$C$4</definedName>
    <definedName name="CBCR_14c17f8eb8ab45b3a18cb0275b52210a" localSheetId="5" hidden="1">Uncertainty!$C$8</definedName>
    <definedName name="CBCR_2f5f185329a64b42b8bd3102c528c936" localSheetId="5" hidden="1">Uncertainty!$E$6</definedName>
    <definedName name="CBCR_335fd1840a5843d09b26b82b9cb6e5a1" localSheetId="5" hidden="1">Uncertainty!$E$2</definedName>
    <definedName name="CBCR_65b39f44555b409cb69fe8e27175d123" localSheetId="5" hidden="1">Uncertainty!$C$6</definedName>
    <definedName name="CBCR_664bc0ef2b384e34b77c6745176a6d21" localSheetId="5" hidden="1">Uncertainty!$C$2</definedName>
    <definedName name="CBCR_71b83a2dba2742c5b09a91effb5ecad9" localSheetId="5" hidden="1">Uncertainty!$E$4</definedName>
    <definedName name="CBCR_9748e8f389ee41f49166e084b9ce1d89" localSheetId="5" hidden="1">Uncertainty!$C$7</definedName>
    <definedName name="CBCR_b51b9f2b8df240318c0bb341161e1c98" localSheetId="5" hidden="1">Uncertainty!$E$7</definedName>
    <definedName name="CBCR_bec06972b826461f9441c1ab98594083" localSheetId="5" hidden="1">Uncertainty!$E$8</definedName>
    <definedName name="CBCR_d5d3cf756eac452eb86a8fb57f0739f4" localSheetId="5" hidden="1">Uncertainty!$C$3</definedName>
    <definedName name="CBWorkbookPriority" localSheetId="4" hidden="1">-1136971602282290</definedName>
    <definedName name="CBx_b381d8ac5bae45d2bae9ce2f79d122a3" localSheetId="4" hidden="1">"'Uncertainty'!$A$1"</definedName>
    <definedName name="CBx_fe33e4f650f948b984b062b9bdad9084" localSheetId="4" hidden="1">"'CB_DATA_'!$A$1"</definedName>
    <definedName name="CBx_Sheet_Guid" localSheetId="4" hidden="1">"'fe33e4f6-50f9-48b9-84b0-62b9bdad9084"</definedName>
    <definedName name="CBx_Sheet_Guid" localSheetId="5" hidden="1">"'b381d8ac-5bae-45d2-bae9-ce2f79d122a3"</definedName>
    <definedName name="CBx_SheetRef" localSheetId="4" hidden="1">CB_DATA_!$A$14</definedName>
    <definedName name="CBx_SheetRef" localSheetId="5" hidden="1">CB_DATA_!$B$14</definedName>
    <definedName name="CBx_StorageType" localSheetId="4" hidden="1">2</definedName>
    <definedName name="CBx_StorageType" localSheetId="5" hidden="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4" i="8" l="1"/>
  <c r="H23" i="8"/>
  <c r="H21" i="8"/>
  <c r="H19" i="8"/>
  <c r="H20" i="8"/>
  <c r="H18" i="8"/>
  <c r="H22" i="8"/>
  <c r="H25" i="8"/>
  <c r="H11" i="8"/>
  <c r="H10" i="8"/>
  <c r="H8" i="8"/>
  <c r="H6" i="8"/>
  <c r="H7" i="8"/>
  <c r="H5" i="8"/>
  <c r="H9" i="8"/>
  <c r="H12" i="8"/>
  <c r="P2" i="6"/>
  <c r="B5" i="8" l="1"/>
  <c r="H29" i="4" l="1"/>
  <c r="G29" i="4"/>
  <c r="F13" i="2"/>
  <c r="S13" i="2" s="1"/>
  <c r="AH13" i="2" l="1"/>
  <c r="Q13" i="2"/>
  <c r="R13" i="2"/>
  <c r="O13" i="2"/>
  <c r="AG13" i="2"/>
  <c r="Y13" i="2"/>
  <c r="AC13" i="2"/>
  <c r="Z13" i="2"/>
  <c r="U13" i="2"/>
  <c r="AF13" i="2"/>
  <c r="X13" i="2"/>
  <c r="P13" i="2"/>
  <c r="AE13" i="2"/>
  <c r="W13" i="2"/>
  <c r="N13" i="2"/>
  <c r="AD13" i="2"/>
  <c r="V13" i="2"/>
  <c r="AJ13" i="2"/>
  <c r="AB13" i="2"/>
  <c r="T13" i="2"/>
  <c r="AI13" i="2"/>
  <c r="AA13" i="2"/>
  <c r="E28" i="2"/>
  <c r="E27" i="2"/>
  <c r="E24" i="2"/>
  <c r="E23" i="2"/>
  <c r="E22" i="2"/>
  <c r="E21" i="2"/>
  <c r="E19" i="2"/>
  <c r="E18" i="2"/>
  <c r="E17" i="2"/>
  <c r="D12" i="1" l="1"/>
  <c r="C12" i="1"/>
  <c r="E12" i="1" s="1"/>
  <c r="F12" i="1" s="1"/>
  <c r="F25" i="2" s="1"/>
  <c r="A4" i="4" l="1"/>
  <c r="A5" i="4"/>
  <c r="A6" i="4"/>
  <c r="A7" i="4"/>
  <c r="A8" i="4"/>
  <c r="A9" i="4"/>
  <c r="A10" i="4"/>
  <c r="A12" i="4"/>
  <c r="A13" i="4"/>
  <c r="A3" i="4"/>
  <c r="V9" i="1" l="1"/>
  <c r="W21" i="2"/>
  <c r="C7" i="1"/>
  <c r="AB9" i="1" l="1"/>
  <c r="AC9" i="1"/>
  <c r="S9" i="1"/>
  <c r="AA9" i="1"/>
  <c r="R9" i="1"/>
  <c r="T9" i="1"/>
  <c r="N9" i="1"/>
  <c r="M9" i="1"/>
  <c r="X9" i="1"/>
  <c r="J9" i="1"/>
  <c r="K9" i="1"/>
  <c r="AF9" i="1"/>
  <c r="AE9" i="1"/>
  <c r="W9" i="1"/>
  <c r="P9" i="1"/>
  <c r="Z9" i="1"/>
  <c r="Y9" i="1"/>
  <c r="AD9" i="1"/>
  <c r="O9" i="1"/>
  <c r="L9" i="1"/>
  <c r="U9" i="1"/>
  <c r="Q9" i="1"/>
  <c r="V21" i="2"/>
  <c r="U21" i="2"/>
  <c r="AJ21" i="2"/>
  <c r="T21" i="2"/>
  <c r="AI21" i="2"/>
  <c r="AA21" i="2"/>
  <c r="S21" i="2"/>
  <c r="N21" i="2"/>
  <c r="AC21" i="2"/>
  <c r="AB21" i="2"/>
  <c r="AH21" i="2"/>
  <c r="Z21" i="2"/>
  <c r="R21" i="2"/>
  <c r="AE21" i="2"/>
  <c r="AD21" i="2"/>
  <c r="O21" i="2"/>
  <c r="AG21" i="2"/>
  <c r="Y21" i="2"/>
  <c r="Q21" i="2"/>
  <c r="AF21" i="2"/>
  <c r="X21" i="2"/>
  <c r="P21" i="2"/>
  <c r="A16" i="4"/>
  <c r="A17" i="4"/>
  <c r="A19" i="4"/>
  <c r="A20" i="4"/>
  <c r="A21" i="4"/>
  <c r="A22" i="4"/>
  <c r="A23" i="4"/>
  <c r="A15" i="4"/>
  <c r="I16" i="1"/>
  <c r="I17" i="1"/>
  <c r="I15" i="1"/>
  <c r="D21" i="1"/>
  <c r="C21" i="1"/>
  <c r="C22" i="1"/>
  <c r="D20" i="1"/>
  <c r="C20" i="1"/>
  <c r="E20" i="1" s="1"/>
  <c r="M21" i="2"/>
  <c r="A43" i="2"/>
  <c r="M35" i="2" s="1"/>
  <c r="F43" i="2"/>
  <c r="D18" i="1"/>
  <c r="C16" i="1"/>
  <c r="C14" i="1"/>
  <c r="C10" i="1"/>
  <c r="C15" i="1"/>
  <c r="C13" i="1"/>
  <c r="C9" i="1"/>
  <c r="C18" i="1" l="1"/>
  <c r="E18" i="1" s="1"/>
  <c r="E9" i="1"/>
  <c r="E22" i="1"/>
  <c r="F22" i="1" s="1"/>
  <c r="A11" i="4"/>
  <c r="F20" i="1"/>
  <c r="W15" i="1" s="1"/>
  <c r="C11" i="4"/>
  <c r="B11" i="4"/>
  <c r="A25" i="4"/>
  <c r="A26" i="4"/>
  <c r="B18" i="4"/>
  <c r="G18" i="4" s="1"/>
  <c r="A24" i="4"/>
  <c r="C18" i="4"/>
  <c r="H18" i="4" s="1"/>
  <c r="A18" i="4"/>
  <c r="E21" i="1"/>
  <c r="F21" i="1" s="1"/>
  <c r="O17" i="1" l="1"/>
  <c r="J17" i="1"/>
  <c r="B26" i="4" s="1"/>
  <c r="N17" i="1"/>
  <c r="Z17" i="1"/>
  <c r="L17" i="1"/>
  <c r="AB17" i="1"/>
  <c r="M17" i="1"/>
  <c r="W17" i="1"/>
  <c r="R17" i="1"/>
  <c r="AD17" i="1"/>
  <c r="AE17" i="1"/>
  <c r="X17" i="1"/>
  <c r="AF17" i="1"/>
  <c r="AA17" i="1"/>
  <c r="Q17" i="1"/>
  <c r="T17" i="1"/>
  <c r="P17" i="1"/>
  <c r="K17" i="1"/>
  <c r="C26" i="4" s="1"/>
  <c r="S17" i="1"/>
  <c r="AC17" i="1"/>
  <c r="V17" i="1"/>
  <c r="Y17" i="1"/>
  <c r="U17" i="1"/>
  <c r="G11" i="4"/>
  <c r="H11" i="4"/>
  <c r="V15" i="1"/>
  <c r="M15" i="1"/>
  <c r="J15" i="1"/>
  <c r="B24" i="4" s="1"/>
  <c r="AF15" i="1"/>
  <c r="AB15" i="1"/>
  <c r="O15" i="1"/>
  <c r="U15" i="1"/>
  <c r="L15" i="1"/>
  <c r="Y15" i="1"/>
  <c r="Z15" i="1"/>
  <c r="R15" i="1"/>
  <c r="Q15" i="1"/>
  <c r="AD15" i="1"/>
  <c r="T15" i="1"/>
  <c r="X15" i="1"/>
  <c r="S15" i="1"/>
  <c r="P15" i="1"/>
  <c r="AA15" i="1"/>
  <c r="N15" i="1"/>
  <c r="K15" i="1"/>
  <c r="C24" i="4" s="1"/>
  <c r="AE15" i="1"/>
  <c r="AC15" i="1"/>
  <c r="P16" i="1"/>
  <c r="X16" i="1"/>
  <c r="AF16" i="1"/>
  <c r="Q16" i="1"/>
  <c r="Y16" i="1"/>
  <c r="J16" i="1"/>
  <c r="R16" i="1"/>
  <c r="Z16" i="1"/>
  <c r="K16" i="1"/>
  <c r="S16" i="1"/>
  <c r="T16" i="1"/>
  <c r="AB16" i="1"/>
  <c r="M16" i="1"/>
  <c r="AC16" i="1"/>
  <c r="N16" i="1"/>
  <c r="W16" i="1"/>
  <c r="AE16" i="1"/>
  <c r="AA16" i="1"/>
  <c r="L16" i="1"/>
  <c r="U16" i="1"/>
  <c r="V16" i="1"/>
  <c r="AD16" i="1"/>
  <c r="O16" i="1"/>
  <c r="H24" i="4" l="1"/>
  <c r="G24" i="4"/>
  <c r="G26" i="4"/>
  <c r="H26" i="4"/>
  <c r="C25" i="4"/>
  <c r="B25" i="4"/>
  <c r="F1" i="5"/>
  <c r="G25" i="4" l="1"/>
  <c r="H25" i="4"/>
  <c r="F11" i="8" l="1"/>
  <c r="F10" i="8"/>
  <c r="F8" i="8"/>
  <c r="F6" i="8"/>
  <c r="B11" i="8"/>
  <c r="B10" i="8"/>
  <c r="B8" i="8"/>
  <c r="B6" i="8"/>
  <c r="B11" i="6" l="1"/>
  <c r="A11" i="6"/>
  <c r="B2" i="4" l="1"/>
  <c r="G2" i="4" s="1"/>
  <c r="C2" i="4"/>
  <c r="H2" i="4" s="1"/>
  <c r="A27" i="4"/>
  <c r="C9" i="5" l="1"/>
  <c r="C10" i="5"/>
  <c r="D27" i="1"/>
  <c r="C27" i="1"/>
  <c r="E27" i="1" l="1"/>
  <c r="F27" i="1" s="1"/>
  <c r="K30" i="2"/>
  <c r="D16" i="1" l="1"/>
  <c r="E16" i="1" s="1"/>
  <c r="E14" i="1"/>
  <c r="F14" i="1" s="1"/>
  <c r="E15" i="1"/>
  <c r="F15" i="1" s="1"/>
  <c r="E13" i="1"/>
  <c r="F13" i="1" s="1"/>
  <c r="B12" i="8" l="1"/>
  <c r="F12" i="8"/>
  <c r="S10" i="1"/>
  <c r="AA10" i="1"/>
  <c r="T10" i="1"/>
  <c r="AB10" i="1"/>
  <c r="U10" i="1"/>
  <c r="AC10" i="1"/>
  <c r="O10" i="1"/>
  <c r="W10" i="1"/>
  <c r="AE10" i="1"/>
  <c r="AF10" i="1"/>
  <c r="N10" i="1"/>
  <c r="V10" i="1"/>
  <c r="AD10" i="1"/>
  <c r="X10" i="1"/>
  <c r="M10" i="1"/>
  <c r="P10" i="1"/>
  <c r="L10" i="1"/>
  <c r="Q10" i="1"/>
  <c r="Y10" i="1"/>
  <c r="K10" i="1"/>
  <c r="K26" i="1" s="1"/>
  <c r="C14" i="4" s="1"/>
  <c r="H14" i="4" s="1"/>
  <c r="R10" i="1"/>
  <c r="Z10" i="1"/>
  <c r="U12" i="1"/>
  <c r="AC12" i="1"/>
  <c r="O12" i="1"/>
  <c r="W12" i="1"/>
  <c r="AE12" i="1"/>
  <c r="R12" i="1"/>
  <c r="P12" i="1"/>
  <c r="X12" i="1"/>
  <c r="AF12" i="1"/>
  <c r="Y12" i="1"/>
  <c r="K12" i="1"/>
  <c r="Q12" i="1"/>
  <c r="Z12" i="1"/>
  <c r="S12" i="1"/>
  <c r="AA12" i="1"/>
  <c r="T12" i="1"/>
  <c r="AB12" i="1"/>
  <c r="M12" i="1"/>
  <c r="L12" i="1"/>
  <c r="N12" i="1"/>
  <c r="V12" i="1"/>
  <c r="AD12" i="1"/>
  <c r="P11" i="1"/>
  <c r="X11" i="1"/>
  <c r="AF11" i="1"/>
  <c r="Q11" i="1"/>
  <c r="R11" i="1"/>
  <c r="Z11" i="1"/>
  <c r="AB11" i="1"/>
  <c r="K11" i="1"/>
  <c r="S11" i="1"/>
  <c r="AA11" i="1"/>
  <c r="T11" i="1"/>
  <c r="AC11" i="1"/>
  <c r="U11" i="1"/>
  <c r="N11" i="1"/>
  <c r="V11" i="1"/>
  <c r="AD11" i="1"/>
  <c r="M11" i="1"/>
  <c r="L11" i="1"/>
  <c r="O11" i="1"/>
  <c r="W11" i="1"/>
  <c r="AE11" i="1"/>
  <c r="Y11" i="1"/>
  <c r="F16" i="1"/>
  <c r="J10" i="1"/>
  <c r="J26" i="1" s="1"/>
  <c r="B14" i="4" s="1"/>
  <c r="G14" i="4" s="1"/>
  <c r="J12" i="1"/>
  <c r="J11" i="1"/>
  <c r="D10" i="1"/>
  <c r="E10" i="1" l="1"/>
  <c r="F10" i="1" s="1"/>
  <c r="C19" i="4"/>
  <c r="H19" i="4" s="1"/>
  <c r="B19" i="4"/>
  <c r="G19" i="4" s="1"/>
  <c r="C21" i="4"/>
  <c r="H21" i="4" s="1"/>
  <c r="B21" i="4"/>
  <c r="G21" i="4" s="1"/>
  <c r="C20" i="4"/>
  <c r="B20" i="4"/>
  <c r="G20" i="4" s="1"/>
  <c r="F7" i="8"/>
  <c r="B7" i="8"/>
  <c r="J13" i="1"/>
  <c r="R13" i="1"/>
  <c r="Z13" i="1"/>
  <c r="L13" i="1"/>
  <c r="T13" i="1"/>
  <c r="AB13" i="1"/>
  <c r="N13" i="1"/>
  <c r="AD13" i="1"/>
  <c r="U13" i="1"/>
  <c r="AC13" i="1"/>
  <c r="K13" i="1"/>
  <c r="V13" i="1"/>
  <c r="O13" i="1"/>
  <c r="W13" i="1"/>
  <c r="AE13" i="1"/>
  <c r="P13" i="1"/>
  <c r="X13" i="1"/>
  <c r="AF13" i="1"/>
  <c r="Q13" i="1"/>
  <c r="Y13" i="1"/>
  <c r="M13" i="1"/>
  <c r="S13" i="1"/>
  <c r="AA13" i="1"/>
  <c r="X8" i="1" l="1"/>
  <c r="M8" i="1"/>
  <c r="AF8" i="1"/>
  <c r="T8" i="1"/>
  <c r="W8" i="1"/>
  <c r="Y8" i="1"/>
  <c r="N8" i="1"/>
  <c r="S8" i="1"/>
  <c r="V8" i="1"/>
  <c r="AC8" i="1"/>
  <c r="K8" i="1"/>
  <c r="C17" i="4" s="1"/>
  <c r="P8" i="1"/>
  <c r="R8" i="1"/>
  <c r="O8" i="1"/>
  <c r="U8" i="1"/>
  <c r="AE8" i="1"/>
  <c r="AD8" i="1"/>
  <c r="L8" i="1"/>
  <c r="AB8" i="1"/>
  <c r="AA8" i="1"/>
  <c r="Q8" i="1"/>
  <c r="J8" i="1"/>
  <c r="B17" i="4" s="1"/>
  <c r="G17" i="4" s="1"/>
  <c r="Z8" i="1"/>
  <c r="H20" i="4"/>
  <c r="C22" i="4"/>
  <c r="H22" i="4" s="1"/>
  <c r="B22" i="4"/>
  <c r="G22" i="4" s="1"/>
  <c r="F9" i="1"/>
  <c r="F18" i="1"/>
  <c r="D7" i="1"/>
  <c r="E7" i="1" s="1"/>
  <c r="H17" i="4" l="1"/>
  <c r="Q7" i="1"/>
  <c r="Y7" i="1"/>
  <c r="K7" i="1"/>
  <c r="R7" i="1"/>
  <c r="Z7" i="1"/>
  <c r="S7" i="1"/>
  <c r="AA7" i="1"/>
  <c r="U7" i="1"/>
  <c r="AC7" i="1"/>
  <c r="V7" i="1"/>
  <c r="T7" i="1"/>
  <c r="AB7" i="1"/>
  <c r="M7" i="1"/>
  <c r="L7" i="1"/>
  <c r="AD7" i="1"/>
  <c r="N7" i="1"/>
  <c r="O7" i="1"/>
  <c r="W7" i="1"/>
  <c r="AE7" i="1"/>
  <c r="P7" i="1"/>
  <c r="X7" i="1"/>
  <c r="AF7" i="1"/>
  <c r="O14" i="1"/>
  <c r="W14" i="1"/>
  <c r="AE14" i="1"/>
  <c r="Q14" i="1"/>
  <c r="Y14" i="1"/>
  <c r="K14" i="1"/>
  <c r="AA14" i="1"/>
  <c r="T14" i="1"/>
  <c r="R14" i="1"/>
  <c r="Z14" i="1"/>
  <c r="S14" i="1"/>
  <c r="AB14" i="1"/>
  <c r="U14" i="1"/>
  <c r="AC14" i="1"/>
  <c r="N14" i="1"/>
  <c r="V14" i="1"/>
  <c r="AD14" i="1"/>
  <c r="X14" i="1"/>
  <c r="AF14" i="1"/>
  <c r="P14" i="1"/>
  <c r="M14" i="1"/>
  <c r="L14" i="1"/>
  <c r="J14" i="1"/>
  <c r="J7" i="1"/>
  <c r="K33" i="2"/>
  <c r="K31" i="2"/>
  <c r="B16" i="4" l="1"/>
  <c r="G16" i="4" s="1"/>
  <c r="B23" i="4"/>
  <c r="G23" i="4" s="1"/>
  <c r="C23" i="4"/>
  <c r="H23" i="4" s="1"/>
  <c r="C16" i="4"/>
  <c r="F7" i="1"/>
  <c r="F23" i="1" s="1"/>
  <c r="E23" i="1"/>
  <c r="F17" i="2"/>
  <c r="F27" i="2"/>
  <c r="H16" i="4" l="1"/>
  <c r="X6" i="1"/>
  <c r="J6" i="1"/>
  <c r="M6" i="1"/>
  <c r="AE6" i="1"/>
  <c r="K6" i="1"/>
  <c r="AD6" i="1"/>
  <c r="AC6" i="1"/>
  <c r="V6" i="1"/>
  <c r="N6" i="1"/>
  <c r="T6" i="1"/>
  <c r="W6" i="1"/>
  <c r="AA6" i="1"/>
  <c r="O6" i="1"/>
  <c r="S6" i="1"/>
  <c r="Q6" i="1"/>
  <c r="U6" i="1"/>
  <c r="Z6" i="1"/>
  <c r="AF6" i="1"/>
  <c r="AB6" i="1"/>
  <c r="R6" i="1"/>
  <c r="P6" i="1"/>
  <c r="Y6" i="1"/>
  <c r="L6" i="1"/>
  <c r="F28" i="2"/>
  <c r="N22" i="2" s="1"/>
  <c r="F40" i="2"/>
  <c r="F18" i="2"/>
  <c r="F33" i="2"/>
  <c r="B23" i="2"/>
  <c r="B21" i="2"/>
  <c r="F21" i="2" s="1"/>
  <c r="F30" i="2"/>
  <c r="F15" i="2"/>
  <c r="F14" i="2"/>
  <c r="C15" i="4" l="1"/>
  <c r="H15" i="4" s="1"/>
  <c r="B15" i="4"/>
  <c r="G15" i="4" s="1"/>
  <c r="F22" i="2"/>
  <c r="H22" i="2"/>
  <c r="AI22" i="2"/>
  <c r="F23" i="2"/>
  <c r="AG22" i="2"/>
  <c r="Q22" i="2"/>
  <c r="P22" i="2"/>
  <c r="O22" i="2"/>
  <c r="U22" i="2"/>
  <c r="X22" i="2"/>
  <c r="V22" i="2"/>
  <c r="S22" i="2"/>
  <c r="AJ22" i="2"/>
  <c r="AA22" i="2"/>
  <c r="AC22" i="2"/>
  <c r="Y22" i="2"/>
  <c r="AD22" i="2"/>
  <c r="AF22" i="2"/>
  <c r="AB22" i="2"/>
  <c r="AH22" i="2"/>
  <c r="W22" i="2"/>
  <c r="T22" i="2"/>
  <c r="Y15" i="2"/>
  <c r="AG15" i="2"/>
  <c r="S15" i="2"/>
  <c r="AA15" i="2"/>
  <c r="AI15" i="2"/>
  <c r="AC15" i="2"/>
  <c r="T15" i="2"/>
  <c r="AB15" i="2"/>
  <c r="AJ15" i="2"/>
  <c r="U15" i="2"/>
  <c r="AD15" i="2"/>
  <c r="V15" i="2"/>
  <c r="W15" i="2"/>
  <c r="AE15" i="2"/>
  <c r="P15" i="2"/>
  <c r="X15" i="2"/>
  <c r="AF15" i="2"/>
  <c r="Q15" i="2"/>
  <c r="Z15" i="2"/>
  <c r="AH15" i="2"/>
  <c r="R15" i="2"/>
  <c r="O15" i="2"/>
  <c r="AC23" i="2"/>
  <c r="W23" i="2"/>
  <c r="AE23" i="2"/>
  <c r="Z23" i="2"/>
  <c r="P23" i="2"/>
  <c r="X23" i="2"/>
  <c r="AF23" i="2"/>
  <c r="Q23" i="2"/>
  <c r="AG23" i="2"/>
  <c r="R23" i="2"/>
  <c r="Y23" i="2"/>
  <c r="AH23" i="2"/>
  <c r="S23" i="2"/>
  <c r="AA23" i="2"/>
  <c r="AI23" i="2"/>
  <c r="T23" i="2"/>
  <c r="AB23" i="2"/>
  <c r="AJ23" i="2"/>
  <c r="U23" i="2"/>
  <c r="V23" i="2"/>
  <c r="AD23" i="2"/>
  <c r="O23" i="2"/>
  <c r="V14" i="2"/>
  <c r="AD14" i="2"/>
  <c r="P14" i="2"/>
  <c r="X14" i="2"/>
  <c r="AF14" i="2"/>
  <c r="R14" i="2"/>
  <c r="AH14" i="2"/>
  <c r="AI14" i="2"/>
  <c r="Q14" i="2"/>
  <c r="Y14" i="2"/>
  <c r="AG14" i="2"/>
  <c r="Z14" i="2"/>
  <c r="S14" i="2"/>
  <c r="AA14" i="2"/>
  <c r="T14" i="2"/>
  <c r="AB14" i="2"/>
  <c r="AJ14" i="2"/>
  <c r="U14" i="2"/>
  <c r="AC14" i="2"/>
  <c r="AE14" i="2"/>
  <c r="W14" i="2"/>
  <c r="O14" i="2"/>
  <c r="R22" i="2"/>
  <c r="AE22" i="2"/>
  <c r="Z22" i="2"/>
  <c r="B12" i="4"/>
  <c r="G12" i="4" s="1"/>
  <c r="F41" i="2"/>
  <c r="F32" i="2"/>
  <c r="N14" i="2"/>
  <c r="N15" i="2"/>
  <c r="N23" i="2"/>
  <c r="F42" i="2"/>
  <c r="F34" i="2"/>
  <c r="F19" i="2"/>
  <c r="O16" i="2" s="1"/>
  <c r="F36" i="2"/>
  <c r="C4" i="4" l="1"/>
  <c r="H4" i="4" s="1"/>
  <c r="C12" i="4"/>
  <c r="H12" i="4" s="1"/>
  <c r="B4" i="4"/>
  <c r="C5" i="4"/>
  <c r="C6" i="4"/>
  <c r="C13" i="4"/>
  <c r="I22" i="2"/>
  <c r="F24" i="2"/>
  <c r="R20" i="2" s="1"/>
  <c r="F38" i="2"/>
  <c r="S33" i="2"/>
  <c r="AA33" i="2"/>
  <c r="AI33" i="2"/>
  <c r="O33" i="2"/>
  <c r="T33" i="2"/>
  <c r="AB33" i="2"/>
  <c r="AJ33" i="2"/>
  <c r="V33" i="2"/>
  <c r="Q33" i="2"/>
  <c r="AG33" i="2"/>
  <c r="Z33" i="2"/>
  <c r="U33" i="2"/>
  <c r="AC33" i="2"/>
  <c r="AD33" i="2"/>
  <c r="AH33" i="2"/>
  <c r="W33" i="2"/>
  <c r="AE33" i="2"/>
  <c r="N33" i="2"/>
  <c r="P33" i="2"/>
  <c r="X33" i="2"/>
  <c r="AF33" i="2"/>
  <c r="Y33" i="2"/>
  <c r="R33" i="2"/>
  <c r="V34" i="2"/>
  <c r="AD34" i="2"/>
  <c r="W34" i="2"/>
  <c r="AE34" i="2"/>
  <c r="Q34" i="2"/>
  <c r="AG34" i="2"/>
  <c r="AJ34" i="2"/>
  <c r="AC34" i="2"/>
  <c r="P34" i="2"/>
  <c r="X34" i="2"/>
  <c r="AF34" i="2"/>
  <c r="Y34" i="2"/>
  <c r="N34" i="2"/>
  <c r="T34" i="2"/>
  <c r="O34" i="2"/>
  <c r="R34" i="2"/>
  <c r="Z34" i="2"/>
  <c r="AH34" i="2"/>
  <c r="S34" i="2"/>
  <c r="AA34" i="2"/>
  <c r="AI34" i="2"/>
  <c r="AB34" i="2"/>
  <c r="U34" i="2"/>
  <c r="T26" i="2"/>
  <c r="AC26" i="2"/>
  <c r="V26" i="2"/>
  <c r="AD26" i="2"/>
  <c r="W26" i="2"/>
  <c r="AE26" i="2"/>
  <c r="Y26" i="2"/>
  <c r="Z26" i="2"/>
  <c r="AH26" i="2"/>
  <c r="P26" i="2"/>
  <c r="X26" i="2"/>
  <c r="AF26" i="2"/>
  <c r="Q26" i="2"/>
  <c r="AG26" i="2"/>
  <c r="N26" i="2"/>
  <c r="R26" i="2"/>
  <c r="S26" i="2"/>
  <c r="AA26" i="2"/>
  <c r="AI26" i="2"/>
  <c r="O26" i="2"/>
  <c r="AB26" i="2"/>
  <c r="AJ26" i="2"/>
  <c r="U26" i="2"/>
  <c r="AB18" i="2"/>
  <c r="V18" i="2"/>
  <c r="AD18" i="2"/>
  <c r="AF18" i="2"/>
  <c r="Q18" i="2"/>
  <c r="W18" i="2"/>
  <c r="AE18" i="2"/>
  <c r="X18" i="2"/>
  <c r="Y18" i="2"/>
  <c r="P18" i="2"/>
  <c r="AG18" i="2"/>
  <c r="R18" i="2"/>
  <c r="Z18" i="2"/>
  <c r="AH18" i="2"/>
  <c r="S18" i="2"/>
  <c r="AA18" i="2"/>
  <c r="AI18" i="2"/>
  <c r="T18" i="2"/>
  <c r="AJ18" i="2"/>
  <c r="U18" i="2"/>
  <c r="AC18" i="2"/>
  <c r="O18" i="2"/>
  <c r="F46" i="2"/>
  <c r="V16" i="2"/>
  <c r="AC16" i="2"/>
  <c r="U16" i="2"/>
  <c r="Y16" i="2"/>
  <c r="AI16" i="2"/>
  <c r="X16" i="2"/>
  <c r="P16" i="2"/>
  <c r="AA16" i="2"/>
  <c r="S16" i="2"/>
  <c r="AE16" i="2"/>
  <c r="AJ16" i="2"/>
  <c r="AG16" i="2"/>
  <c r="B13" i="4"/>
  <c r="G13" i="4" s="1"/>
  <c r="B5" i="4"/>
  <c r="G5" i="4" s="1"/>
  <c r="W16" i="2"/>
  <c r="AB16" i="2"/>
  <c r="AH16" i="2"/>
  <c r="AF16" i="2"/>
  <c r="T16" i="2"/>
  <c r="Z16" i="2"/>
  <c r="AD16" i="2"/>
  <c r="Q16" i="2"/>
  <c r="R16" i="2"/>
  <c r="F35" i="2"/>
  <c r="F37" i="2"/>
  <c r="N18" i="2"/>
  <c r="N16" i="2"/>
  <c r="H5" i="4" l="1"/>
  <c r="G4" i="4"/>
  <c r="H13" i="4"/>
  <c r="H6" i="4"/>
  <c r="AJ20" i="2"/>
  <c r="F39" i="2"/>
  <c r="F44" i="2" s="1"/>
  <c r="U20" i="2"/>
  <c r="C8" i="4"/>
  <c r="AB20" i="2"/>
  <c r="AC20" i="2"/>
  <c r="AA20" i="2"/>
  <c r="O20" i="2"/>
  <c r="T20" i="2"/>
  <c r="X20" i="2"/>
  <c r="AI20" i="2"/>
  <c r="P20" i="2"/>
  <c r="AG20" i="2"/>
  <c r="AF20" i="2"/>
  <c r="S20" i="2"/>
  <c r="W20" i="2"/>
  <c r="AH20" i="2"/>
  <c r="Q20" i="2"/>
  <c r="Y20" i="2"/>
  <c r="AD20" i="2"/>
  <c r="Z20" i="2"/>
  <c r="AE20" i="2"/>
  <c r="N20" i="2"/>
  <c r="V20" i="2"/>
  <c r="U29" i="2"/>
  <c r="AC29" i="2"/>
  <c r="V29" i="2"/>
  <c r="AD29" i="2"/>
  <c r="AA29" i="2"/>
  <c r="AJ29" i="2"/>
  <c r="W29" i="2"/>
  <c r="AE29" i="2"/>
  <c r="O29" i="2"/>
  <c r="P29" i="2"/>
  <c r="X29" i="2"/>
  <c r="AF29" i="2"/>
  <c r="AB29" i="2"/>
  <c r="Q29" i="2"/>
  <c r="Y29" i="2"/>
  <c r="AG29" i="2"/>
  <c r="R29" i="2"/>
  <c r="Z29" i="2"/>
  <c r="AH29" i="2"/>
  <c r="S29" i="2"/>
  <c r="AI29" i="2"/>
  <c r="N29" i="2"/>
  <c r="T29" i="2"/>
  <c r="T36" i="2"/>
  <c r="AB36" i="2"/>
  <c r="AJ36" i="2"/>
  <c r="U36" i="2"/>
  <c r="AC36" i="2"/>
  <c r="O36" i="2"/>
  <c r="R36" i="2"/>
  <c r="V36" i="2"/>
  <c r="AD36" i="2"/>
  <c r="N36" i="2"/>
  <c r="W36" i="2"/>
  <c r="AE36" i="2"/>
  <c r="AH36" i="2"/>
  <c r="AA36" i="2"/>
  <c r="AI36" i="2"/>
  <c r="P36" i="2"/>
  <c r="X36" i="2"/>
  <c r="AF36" i="2"/>
  <c r="Q36" i="2"/>
  <c r="Y36" i="2"/>
  <c r="AG36" i="2"/>
  <c r="Z36" i="2"/>
  <c r="S36" i="2"/>
  <c r="X27" i="2"/>
  <c r="O27" i="2"/>
  <c r="Q27" i="2"/>
  <c r="Y27" i="2"/>
  <c r="AG27" i="2"/>
  <c r="R27" i="2"/>
  <c r="Z27" i="2"/>
  <c r="AH27" i="2"/>
  <c r="T27" i="2"/>
  <c r="AJ27" i="2"/>
  <c r="U27" i="2"/>
  <c r="S27" i="2"/>
  <c r="AA27" i="2"/>
  <c r="AI27" i="2"/>
  <c r="N27" i="2"/>
  <c r="AB27" i="2"/>
  <c r="AC27" i="2"/>
  <c r="V27" i="2"/>
  <c r="AD27" i="2"/>
  <c r="W27" i="2"/>
  <c r="AE27" i="2"/>
  <c r="P27" i="2"/>
  <c r="AF27" i="2"/>
  <c r="B8" i="4"/>
  <c r="G8" i="4" s="1"/>
  <c r="B6" i="4"/>
  <c r="G6" i="4" s="1"/>
  <c r="H8" i="4" l="1"/>
  <c r="W31" i="2"/>
  <c r="W24" i="2" s="1"/>
  <c r="T31" i="2"/>
  <c r="T24" i="2" s="1"/>
  <c r="S31" i="2"/>
  <c r="S24" i="2" s="1"/>
  <c r="AE31" i="2"/>
  <c r="AE24" i="2" s="1"/>
  <c r="V31" i="2"/>
  <c r="V24" i="2" s="1"/>
  <c r="O31" i="2"/>
  <c r="O24" i="2" s="1"/>
  <c r="C27" i="4" s="1"/>
  <c r="H27" i="4" s="1"/>
  <c r="Q31" i="2"/>
  <c r="Q24" i="2" s="1"/>
  <c r="AC31" i="2"/>
  <c r="AC24" i="2" s="1"/>
  <c r="N31" i="2"/>
  <c r="N24" i="2" s="1"/>
  <c r="B27" i="4" s="1"/>
  <c r="G27" i="4" s="1"/>
  <c r="AA31" i="2"/>
  <c r="AA24" i="2" s="1"/>
  <c r="Y31" i="2"/>
  <c r="Y24" i="2" s="1"/>
  <c r="U31" i="2"/>
  <c r="U24" i="2" s="1"/>
  <c r="AH31" i="2"/>
  <c r="AH24" i="2" s="1"/>
  <c r="AF31" i="2"/>
  <c r="AF24" i="2" s="1"/>
  <c r="AJ31" i="2"/>
  <c r="AJ24" i="2" s="1"/>
  <c r="Z31" i="2"/>
  <c r="Z24" i="2" s="1"/>
  <c r="X31" i="2"/>
  <c r="X24" i="2" s="1"/>
  <c r="AB31" i="2"/>
  <c r="AB24" i="2" s="1"/>
  <c r="R31" i="2"/>
  <c r="R24" i="2" s="1"/>
  <c r="P31" i="2"/>
  <c r="P24" i="2" s="1"/>
  <c r="AD31" i="2"/>
  <c r="AD24" i="2" s="1"/>
  <c r="AI31" i="2"/>
  <c r="AI24" i="2" s="1"/>
  <c r="AG31" i="2"/>
  <c r="AG24" i="2" s="1"/>
  <c r="B10" i="4"/>
  <c r="C10" i="4"/>
  <c r="M29" i="1"/>
  <c r="B29" i="4"/>
  <c r="C29" i="4"/>
  <c r="C28" i="4"/>
  <c r="B28" i="4"/>
  <c r="Q22" i="1"/>
  <c r="AD22" i="1"/>
  <c r="AF22" i="1"/>
  <c r="AA22" i="1"/>
  <c r="X22" i="1"/>
  <c r="N22" i="1"/>
  <c r="L22" i="1"/>
  <c r="P22" i="1"/>
  <c r="AC22" i="1"/>
  <c r="V22" i="1"/>
  <c r="Z22" i="1"/>
  <c r="U22" i="1"/>
  <c r="R22" i="1"/>
  <c r="AE22" i="1"/>
  <c r="S22" i="1"/>
  <c r="M22" i="1"/>
  <c r="W22" i="1"/>
  <c r="AB22" i="1"/>
  <c r="Y22" i="1"/>
  <c r="O22" i="1"/>
  <c r="T22" i="1"/>
  <c r="K22" i="1"/>
  <c r="J22" i="1"/>
  <c r="G28" i="4" l="1"/>
  <c r="H28" i="4"/>
  <c r="H10" i="4"/>
  <c r="G10" i="4"/>
  <c r="C3" i="4" l="1"/>
  <c r="H3" i="4" l="1"/>
  <c r="O19" i="2"/>
  <c r="U19" i="2" l="1"/>
  <c r="X19" i="2"/>
  <c r="AB19" i="2"/>
  <c r="V19" i="2"/>
  <c r="AF19" i="2"/>
  <c r="AC19" i="2"/>
  <c r="AD19" i="2"/>
  <c r="AH19" i="2"/>
  <c r="AJ19" i="2"/>
  <c r="Z19" i="2"/>
  <c r="W19" i="2"/>
  <c r="S19" i="2"/>
  <c r="P19" i="2"/>
  <c r="Y19" i="2"/>
  <c r="C9" i="4"/>
  <c r="H9" i="4" s="1"/>
  <c r="AE19" i="2"/>
  <c r="AA19" i="2"/>
  <c r="R19" i="2"/>
  <c r="AG19" i="2"/>
  <c r="T19" i="2"/>
  <c r="AI19" i="2"/>
  <c r="Q19" i="2"/>
  <c r="Z17" i="2" l="1"/>
  <c r="U17" i="2"/>
  <c r="X17" i="2"/>
  <c r="X45" i="2" s="1"/>
  <c r="AH17" i="2"/>
  <c r="AH45" i="2" s="1"/>
  <c r="AJ17" i="2"/>
  <c r="W17" i="2"/>
  <c r="W45" i="2" s="1"/>
  <c r="AB17" i="2"/>
  <c r="AB45" i="2" s="1"/>
  <c r="S17" i="2"/>
  <c r="O17" i="2"/>
  <c r="AE17" i="2"/>
  <c r="AA17" i="2"/>
  <c r="AA45" i="2" s="1"/>
  <c r="AI17" i="2"/>
  <c r="AI45" i="2" s="1"/>
  <c r="R17" i="2"/>
  <c r="R45" i="2" s="1"/>
  <c r="AC17" i="2"/>
  <c r="AC45" i="2" s="1"/>
  <c r="P17" i="2"/>
  <c r="P45" i="2" s="1"/>
  <c r="Q17" i="2"/>
  <c r="V17" i="2"/>
  <c r="Y17" i="2"/>
  <c r="AF17" i="2"/>
  <c r="T17" i="2"/>
  <c r="AD17" i="2"/>
  <c r="AD45" i="2" s="1"/>
  <c r="AG17" i="2"/>
  <c r="AG45" i="2" s="1"/>
  <c r="AJ45" i="2" l="1"/>
  <c r="AF45" i="2"/>
  <c r="T45" i="2"/>
  <c r="Y45" i="2"/>
  <c r="AE45" i="2"/>
  <c r="U45" i="2"/>
  <c r="V45" i="2"/>
  <c r="Z45" i="2"/>
  <c r="S45" i="2"/>
  <c r="O45" i="2"/>
  <c r="O55" i="2"/>
  <c r="C7" i="4"/>
  <c r="H7" i="4" s="1"/>
  <c r="H30" i="4" s="1"/>
  <c r="H31" i="4" s="1"/>
  <c r="C2" i="8" l="1"/>
  <c r="C13" i="5"/>
  <c r="C30" i="4"/>
  <c r="C31" i="4" s="1"/>
  <c r="C34" i="4" s="1"/>
  <c r="B3" i="4" l="1"/>
  <c r="G3" i="4" l="1"/>
  <c r="N17" i="2" l="1"/>
  <c r="N19" i="2"/>
  <c r="Q45" i="2" l="1"/>
  <c r="B9" i="4"/>
  <c r="N45" i="2"/>
  <c r="B7" i="4"/>
  <c r="G7" i="4" s="1"/>
  <c r="G9" i="4" l="1"/>
  <c r="G30" i="4" s="1"/>
  <c r="G31" i="4" s="1"/>
  <c r="B30" i="4"/>
  <c r="B31" i="4" s="1"/>
  <c r="B34" i="4" s="1"/>
  <c r="C1" i="8" l="1"/>
  <c r="B13" i="5"/>
</calcChain>
</file>

<file path=xl/sharedStrings.xml><?xml version="1.0" encoding="utf-8"?>
<sst xmlns="http://schemas.openxmlformats.org/spreadsheetml/2006/main" count="303" uniqueCount="190">
  <si>
    <t>thickness (nm)</t>
  </si>
  <si>
    <t>area (m2)</t>
  </si>
  <si>
    <t>density (kg/m3)</t>
  </si>
  <si>
    <t>utilization efficiency</t>
  </si>
  <si>
    <t>mass (kg)</t>
  </si>
  <si>
    <t>note</t>
  </si>
  <si>
    <t>Substrate patterning</t>
  </si>
  <si>
    <t>-</t>
  </si>
  <si>
    <t>Substrate</t>
  </si>
  <si>
    <t>Ethanol</t>
  </si>
  <si>
    <t>Cleaning</t>
  </si>
  <si>
    <t>Deionized water</t>
  </si>
  <si>
    <t>ETL deposition</t>
  </si>
  <si>
    <t>Perovskite layer deposition</t>
  </si>
  <si>
    <t>Solvent of PbI2</t>
  </si>
  <si>
    <t>Isopropanol</t>
  </si>
  <si>
    <t>Solvent of CH3NH3I</t>
  </si>
  <si>
    <t>HTL deposition</t>
  </si>
  <si>
    <t>Cathode deposition</t>
  </si>
  <si>
    <t>ITO glass</t>
  </si>
  <si>
    <t>Ni(NO3)2·6H2O</t>
  </si>
  <si>
    <t>Ethylene glycol</t>
  </si>
  <si>
    <t>Ethylenediamine</t>
  </si>
  <si>
    <t>ITO</t>
  </si>
  <si>
    <t>NiOx</t>
  </si>
  <si>
    <t>perovskite</t>
  </si>
  <si>
    <t>ZnO</t>
  </si>
  <si>
    <t>Al</t>
  </si>
  <si>
    <t>Solvent of Ni(NO3)2·6H2O</t>
  </si>
  <si>
    <t>ZnO powder</t>
  </si>
  <si>
    <t>Chlorobenzene</t>
  </si>
  <si>
    <t>Concentration of 2%</t>
  </si>
  <si>
    <t>The thickness is controlled by the spin speed</t>
  </si>
  <si>
    <t>density</t>
  </si>
  <si>
    <t>NiO</t>
  </si>
  <si>
    <t>Ni2O3</t>
  </si>
  <si>
    <t>NiOx precursor solution</t>
  </si>
  <si>
    <t>Direcet process energy</t>
  </si>
  <si>
    <t>Power (W)</t>
  </si>
  <si>
    <t>Time (s)</t>
  </si>
  <si>
    <t>Electricity consumption (MJ)</t>
  </si>
  <si>
    <t>Sonication</t>
  </si>
  <si>
    <t>Drying</t>
  </si>
  <si>
    <t>Hole transporter layer deposition</t>
  </si>
  <si>
    <t>Electrode deposition</t>
  </si>
  <si>
    <t>Total</t>
  </si>
  <si>
    <t>kWh</t>
  </si>
  <si>
    <t>Direct emissions</t>
  </si>
  <si>
    <t>Mass of module</t>
  </si>
  <si>
    <t>NiOx spin coating</t>
  </si>
  <si>
    <t>ZnO spin coating</t>
  </si>
  <si>
    <t>1st-step spin coating</t>
  </si>
  <si>
    <t>2nd-step spin coating</t>
  </si>
  <si>
    <t>Post-annealing</t>
  </si>
  <si>
    <t>Annealing</t>
  </si>
  <si>
    <t>ZnO nanoparticles</t>
  </si>
  <si>
    <t>total</t>
  </si>
  <si>
    <t>Dimethylformamide</t>
  </si>
  <si>
    <t>Primary energy consumption</t>
  </si>
  <si>
    <t>Carbon footprint</t>
  </si>
  <si>
    <t>UV/O3 cleaning</t>
  </si>
  <si>
    <t>agricultural land occupation</t>
  </si>
  <si>
    <t>climate change</t>
  </si>
  <si>
    <t>fossil depletion</t>
  </si>
  <si>
    <t>freshwater ecotoxicity</t>
  </si>
  <si>
    <t>freshwater eutrophication</t>
  </si>
  <si>
    <t>human toxicity</t>
  </si>
  <si>
    <t>ionising radiation</t>
  </si>
  <si>
    <t>marine ecotoxicity</t>
  </si>
  <si>
    <t>marine eutrophication</t>
  </si>
  <si>
    <t>metal depletion</t>
  </si>
  <si>
    <t>natural land transformation</t>
  </si>
  <si>
    <t>ozone depletion</t>
  </si>
  <si>
    <t>particulate matter formation</t>
  </si>
  <si>
    <t>photochemical oxidant formation</t>
  </si>
  <si>
    <t>terrestrial acidification</t>
  </si>
  <si>
    <t>terrestrial ecotoxicity</t>
  </si>
  <si>
    <t>urban land occupation</t>
  </si>
  <si>
    <t>water depletion</t>
  </si>
  <si>
    <t>ecosystem quality</t>
  </si>
  <si>
    <t>human health</t>
  </si>
  <si>
    <t>resources</t>
  </si>
  <si>
    <t xml:space="preserve">ReCiPe Midpoint (E) </t>
  </si>
  <si>
    <t>ReCiPe Endpoint (E,A)</t>
  </si>
  <si>
    <t>emitted to</t>
  </si>
  <si>
    <t>Cleaning solvent</t>
  </si>
  <si>
    <t>Wasted effective component of NiOx ink</t>
  </si>
  <si>
    <t>Solvent in NiOx ink</t>
  </si>
  <si>
    <t>wastewater</t>
  </si>
  <si>
    <t>air</t>
  </si>
  <si>
    <t>Wasted PbI2</t>
  </si>
  <si>
    <t>Wasted aluminum</t>
  </si>
  <si>
    <t>Wasted effective component of ZnO ink</t>
  </si>
  <si>
    <t>Solvent in ZnO ink</t>
  </si>
  <si>
    <t>Wastewater</t>
  </si>
  <si>
    <t>MAI</t>
  </si>
  <si>
    <t>Treatment</t>
  </si>
  <si>
    <t>item</t>
  </si>
  <si>
    <t>unit</t>
  </si>
  <si>
    <t>module 1</t>
  </si>
  <si>
    <t>Insolation</t>
  </si>
  <si>
    <t>kWh/m2/yr</t>
  </si>
  <si>
    <t>EPBT</t>
  </si>
  <si>
    <t>performance ratio</t>
  </si>
  <si>
    <t>CO2 emission factor</t>
  </si>
  <si>
    <t>module efficiency</t>
  </si>
  <si>
    <t>epsilon</t>
  </si>
  <si>
    <t>MJ/kWh</t>
  </si>
  <si>
    <t>lifetime</t>
  </si>
  <si>
    <t>yr</t>
  </si>
  <si>
    <t>primary energy consumption</t>
  </si>
  <si>
    <t>MJ/m2</t>
  </si>
  <si>
    <t>CO2</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</si>
  <si>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</si>
  <si>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</si>
  <si>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</si>
  <si>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</si>
  <si>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</si>
  <si>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</si>
  <si>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</si>
  <si>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</si>
  <si>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</si>
  <si>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</si>
  <si>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</si>
  <si>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</si>
  <si>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fe33e4f6-50f9-48b9-84b0-62b9bdad9084</t>
  </si>
  <si>
    <t>CB_Block_0</t>
  </si>
  <si>
    <t>㜸〱敤㕣㕢㙣ㅣ㔷ㄹ摥㤹摤㔹敦慣敤搸㡤㤳戶〹愵㌵㉤愵戴づ摢㌸㙤㈸〵㐲昰愵戹ㄴ㈷㜶㘳㈷〵ㄵ戴ㄹ敦㥥戱愷搹㤹㜱㘷㘶ㅤ扢㔴愲搰ㄶ挴晤㈲ち愲㉤ㄷㄵ㠴挴ぢ㠵㤷㐲愱て㈰㈱㠱㔰㉢㈱〴て㐸㍣ㄴ㠴㐰〸㠴㈲㜸攱〱〹扥敦捣捣敥散慥㜷散㙥㕢㜰㤱㑦扡挷㘷捥㙤捥昹敦攷晦捦㌴愳㘴㌲㤹㝦㈳昱㉦㔳㡥㠵慢收搷晤㐰搸愵㈹户㔶ㄳ㤵挰㜲ㅤ扦㌴攱㜹挶晡㡣攵〷㔹㜴挸㤷㉤戴晢㕡搹户敥ㄷ㠵昲慡昰㝣㜴搲㌲㤹㐲㐱㔷搱捥㐹昸ㅢ㡥ㅦ㜴㡥ㅡ挸㈱㕢㤸㥡㥣㕤扣ㄷ戳捥〷慥㈷づ㡣㥥ぢ挷ㅥㄹㅦ㉦㡤㤷㙥扤㙤晣捤愵㠳〷㐶愷敡戵愰敥㠹㈳㡥愸〷㥥㔱㍢㌰㍡㔷㕦慣㔹㤵㜷㠹昵〵昷㠲㜰㡥㠸挵㠳户㉣ㅡ户扥㘵晣搶挳㠷捤摢㙦㝦换〰㕥㥤㌹㍤㌵㌹攷〹搳㝦㤹收搴戸攴㕢愷㐵挵攲摥㠴昰㉣㘷愹㌴㌵㠹晦ㄲ敢挷搳㙤愵昹㘵㈱〲扥㕡㜸挲愹〸㕦挷挰㝥㝢挲昷敢昶ち㠱愷摢挷戰搵㡡攱〷㥡㍤㈵㙡㌵摤㡥㘷㉤搸戳㠰㕤捤㔸ㅦ戰攷㠵攳㕢㠱戵㙡〵敢㜹㝢〱ㄳ㔵〷敤戳扥㌸㘳㌸㑢攲戴㘱ぢ捤㍥㕥户慡戹㌰㘵戲㌷挴㔳㈴ㄷ㈶户㕦㥡昰敤愹㘵挳㤳㉢昲〹㤸㤴扥挷扣㑡㙢摦敢扡捦换愵换㌷㜰捥敢扢昷㐳换㌹挳㙢昴ㅣ敢摥㌳摡㝣敢ち㙥敥摥㍦〱愳搶㌱㌷㜶ㅦ㈳㐱搹摡㕢改㡦攸㕢㐲ㄴ㥢搱昳捣晡㤸ㄵ㤸ㄱ㠱㝡㤱㔹㍦戳〱㘴㑡敥ㅦ攰㤲攴㐰㌶愹㘵㐳㉤㉦慡攵㡡㕡慥慡㘵愱㤶㑤戵扣愴㤶㤷搵戲愵㤶敦㔵换ㄷ搰㈷㑥㠵扥㍥㌵㑡㍦摡㕢㝡㍣ㄸ扦攷昸攷扦晥搴㐳て晤昹敦扦ㅣ搸㠵㑥㜷㐵㡢㥡昶㡣㡢㈰戵㈶ㄵㅦ㉡ㅤ攴扦捤戹〲㑣㘱ㅥ㌶㙦㌳挷挷慢㠷てㅡ户ㄸㅡ户㤵㠲晣ㄶ㐲ㄹ㐶摦〱昳㙥换愹扡ㄷ㈵敥慥㥡㌴㝣搱〴摣㔸搴㌶改搶㥤慡晦㥡㡤ㅢ攷〳㈳㄰晢摢摢㥡㤳㜴っ㥢〷㕢〹㕦扥敦敡昶㘱攷㡣㕡㕤㑣慣㔹㘱昳㙢摢㥡敤㌹捦㕤散摥㝡捣ㄳ昷㌵㕡㍢㔶㌴〱愱戶㉡攷敥搸㘵搸ㄴ慥㙢㜴㙡搹昵㠵㈳㤷㌷㘶捦㔹㤵ぢ挲㥢ㄷㄴ㠹愲㉡户扡㤷㑤ㄱ搷㡦捤㍡搸㈸戸戵㝡㙤戲搶扣㘳㉤〰㌳㡢㉡搶扢㈲扣㘰㝤挱㔸慣㠹换㕢扡㠴敦㐴挳扥㤶敡㘳㙥愵敥㑦戹㑥攰戹戵搶㤶㠹敡慡〱㐹㔳㍤攵㔶㐵㉥㤷㤱㐲〱〲㌷㥢㔵㤴捣㑤摤㜹㐱㈲㈲㠱㘲㌲昲㤵慤㘴㔷㍡㠳摤㘱ㄷ㌵㐱㥡㔴㕦扦挹㘴㕣慦㤴㌱㈹ㅣ㤸搸ㄳ昵〷㕦晡挶㑤愶㙤㘰敥㤵敤慣慡㈳搱敥敦㔸ㄵ㑥㜰挲㜰慡㌵攱愵㙡㍦㠵㉢搲㠷㤰㘹㤷㈰㄰扡㐲㡦慡㑥㔹㔳搶戵㡢㔶㌵㔸捥㉦ぢ㙢㘹㌹㐰ㅤ㌴㘴愱㐰搰㜶㈴晤㌲㔴改扢㤹㡤㈰㉢ㄶ㌳昹㍤散㤴㉦㈲㘵㌴㑡愷ㄴ㕥㙥ㄱ攴ㅣ搷挲换〳收㌱慢ㄶ㠸㔰㈸て㤹挰㐸愸搵㈴晡〶㐹愲㥥㔱〹ㄵ挶ㅥ㜳ち㔴㙡㔸㑥戰摥攴摢づ㉥〹㠹㘸㐷ㄶ㙣㍢㔹㐰㔱搰㉡て㔲㜸つ㐴搳㈶つ搲㍢㈷㠸㠸㙣㤰愲搹㌱㜳㉢㤱戱㝦㡡㡣㐰晦㈴ㄱ戲昷挱敥㌲㠲挴摥㐹愴ㅣ搴㤵ㅦ㜷愴搹㐶戶㝣㈸捤昶〲㜰晡攵捣慥㘰㜶㈵戳㝤挸㤴㍦㐲挲㔱捡愱摣㥡昴搷攰㔹扦㡡搹㙢㤱㐱㍥改㤴㌹㤱愸愲つ戵ㄵ㍢㤲晤〶㘱㈷㑢愳㌸ㄴ㐵戴㡣ㅢ㜶收愰㉤ㄱㅤ㔹㥤摢㐳搷收愴㡥㝤㐳㜷摡㑣㙥㠷ㄴ㤹搲㌵戹搷㑤扡㈶〱挱慥㍤敡慤㙢㌰㔴ㅦ㘵昶㍡㘴㐵晤㕡收㔰㉥㌴㜸户㘶搱搳愴㝣㔵㤸㐵愱㌱搴愳㠲㡦〸㤹㐷㠰ㄴ㈱搷㜱㝣搹戱愱㘹づ㡥㤹慦㝡ㅢ晡㐰㜷晥㡥㤰摥愶㌷㜷昴づ晤㐵㉦搲㡡扥づ散愵晣戶慢㡥戹ㅥ捤晡ㅢ㤸摤㠰慣㑤挷昰昴晤㘲㍤〵搲㉣戶ㄳ㤸摢㑤慦㡢戴㜲ㄷ搶㔷㠴搴㐰〳收㠲攱㉤㠹〰ㅥ㡣㤳搳戰㠵㕤捦ㄳ㌵ㅣ㙡慢戲㠲攷㤷㉢㕡㉢晤㘳㥥㙢戳㝥挷㐶昶㕦ㄵ㡡㈱㤷㔳戳㤹㌶ㅢ㌹挵搶㑣昸㥣ㄲ㤴㐳ㅤ㝣㑢㜷㈱㤱ㄸ搴㑡㕥ㅣ㤷㝥扥摣㤱㈴㍤㐸㤲ㅢ〱㔶晤㈶㘴㤰ㄲ捡慦扢㑡㤴〳散昶㈶搹慤搵㘲愵㠷㉦攵㜴搲收㐳散㤰㈳晤愱挳㜶ㄲ晥〳㝦搰㥥户散㠶戰攸户攷㠴㔷㠱㙦挱慡㠹㘲攸㤶愵愸搹㤱ㄵ慦ㄲ㔹㤱捤㜶㥣愷㔳晣㙢㤲㑥摡愴㐴㉡户愷㌶愶㥣挵㥢㐴㐵㌷㈴㠵㑡㡡㙢愸㈱㠱㐸㜹散扢㈳㘲㝡㄰㌱㌷〳㜰晡㐱㘶攳捣づ㈱搳㥥㠷愴搹㉡攰ㄹづ敢㕢愵㑢扢㕣捥ㄴ㠸〶改㈲㝣慥慢戰㍡捣搷扣㤹搹㙤挸摡捣ㅦ㍡㈰㔳〸㔱愲㍣㐱㠸㌲㡣㘱㥥戳挴㐵搲挰㉥ㄳ㠱愵愹扡ㅦ戸㌶㈳㑢㠳收戴㝢摡つ愶㉤㝦〵㤱愸ㄱ㌳㉡摣扤㉣ㅣ㔰㤷〷摢愷慤捥㕤㔹ㄱ㔵摤㥣㜷敢㄰㙤㈷愷户挳挱ㅣ攰㠰㉤㈹捦收慡㠲搴摢昹ㄸ㔳㈸㠰戴昴户搲ㅢ扢㈵敦㌷て㝤㐳㑤㠸㉥㔸㐱㑤昴㥢㈱搳戱㕣㌰〱㐵㐴づ慡㝤收挲戲㈷挴昴愰㜹摣戳慡㌵换ㄱ㐴〶㙣㑣〶敢㘶挴ㄲ愲〴㜳㉥㘳㠰慥㌳㘸㉥㜸㠶攳慦ㄸっ㈸慥敦㙥㜹㤲㘱ㄱ捤㥣戴ㅣㅦ慦㤱㔸㘴㜹挸㥣㕦㜶㉦㈲㘲㕢户㥤攳挶㡡扦㉤戰㐲愲て㤳㐴㡤愲㉡慡慡ㄴ搴㐲慦昸攱㠱㍣㤳㈱敦攵㤸㐹㕣㘵㌴晡捣㔳戴㌷敤晡㈸㐶㐳㍢㥤㙢ㅡ㐰昴愸㔱㤹㑤㤵挲攴㔴晤㜶㡥㜹㉢戲㍢㡦㥦㍤搹㡣捣扤愴㤸戵㐶㉦㝦㡡㡣㤷㘴搱〸㠴搰㐷户㉢㈴ㄵ搶㤱㜲挰㠱挰㌸㥦摡挹慦㘸捡㍥愴扥㕤捤攲㌱㐴㤲〶捣ㄹ㘳㔱搴㄰㡦戶㡤㘰㔷昸㐰㌳搶㌶㙡㝥搴㌶攵摡戶㐱搲㈲㔹捥㔷っ㔲昰㐴㍤㜰㑦㔹㡥㙥㈲㤳昴ㄷ㔵ㄹ㙢愸㌲搶㘴搵㠰㜹㠶愱㐱㔹收㕣敥㤲攱㔹挱戲㙤㔵ち㝣㘰昸㙥㕢搰㈴㤸㥣㤲㌷㑥戱捣ㄸ㙤戳收捦挲㘴昳㑢㐰㜷〹㜲㤴愰㈳晡㐱戹慡㤲挷㍦愵㐷挷ㄲ〴㡣昴㤴敡㙦挷㙣㥡扣ㅤ〱㤱㈳搳愵昸づ挶愵て愰㈶ㄴ㐲挴㝡ち㠹挰㉢㤸㄰昲㜴㜱攷捤戳㡥ㄵ〰㝢挴搸㌱㉢㤸昶㠱㜲㘴㈸捡攳敤㝥㠹搵挴愰戱㠶㔶戸愶戳愹㐵㑤㕣摤搹㥥搴ㅢ慦摦愰㌹搴㈸〹㐵戲㔹㈷愹㔹㌶㔸攳㜶㔲㌵㡡㔴摣戱戶㔱搲摣愶㑤戸㔳㡡扣〴挵㈴㘹㈶愳扦㐳ㄲち〲扤㤱㡥愲捦㍥㥤㍣ㄲㄱㅢ摡〰㐵敡愹戰㙥㌰ち〹㥥挴戵㤳慡㈸㐶㑦攰敦㕤㔱㜱戶ㅥ戴戴ㄸ㙢㈳㔱换㐴慤㌶敢挰㑡愸ㄸ㕥㜵㥢戰㌴昶ㄶ㙡ㄸ挹㥤扤㙡晦㄰扣〹㐶㡣搸㤰㘱㤱ㄴ㍦㌰搸㄰捣㤵㠸愸搲㍡ㅢ㈴愸ㅢ搵〵㍥㥤ㄲ㠶㈳㌱㌰ㅦ㔴愷挵慡㌴挳㥡㤶晣㠸ㅣ搰㌸㉤㑡㌹慡㥢ㄳ㡢㍥㔴㝡㐰㌹ㅥ㤵㈴㠳敢收ㄹ扡愵㜰㠹〱㘲㌷㉡捤㔵〲㠴㜶ㅢㄳ昰㘴戰㝤戰〳㠸㠴愱ㄳ㕡㘷㤴愰昹ㄴ挲㙤摤〴㜹愷㐷㡣㐲㤰㥡㌲晤敤愸昲搸㤷㤸扥㜵㌴ㄳㄷ㈲㈶㘲戸㉢挵㝡〰㜲㤳㤱㐹㜲搱㐸ㅣ㌰て㈵㥢ㄴ㕡〳㜱ㅤ㑤㡣㐱㥡㝣㕥㠰㕢㍣㡣㘵つ㤱㙤㙡戸攷ㄶ㔸搰愶戵昵㕤收㐹愷㔲慢㔷㠵㔴挵戱慣㤶ㅡ㜹㕢攰㑢㕥〱っ戹㈹〵㉥ㄱ㔰㑥攲㈸挵㉤ㄳ㐹扤摢摤晡㔱っ㤷㐲づ㜳㠴慡㡦〱挸ㄴ户㥣っ㠸㜵摣㔳愰㝤戸扢㜹㠱㐱㕥㥥㠳㐸敢愸愲㉣㥢挱㝤扣㐶ㄴ㔹㜲㕢愲摢㡣㍢攳搲㘶㑦㔴㥤戰挲慡㙤㠱㈳散㌳ㄴ㜸昹㍣㡣㤱ㅥ戹㠳㤳㘴㉥㐵搱摤㑢ㅦ㤰㡦㤹㑢㐰㠵挴㠰挲ㄸ㉦㑦㐱ㄹ㐰ㄵ㡣㐴㠳㕢㙤㕡摤ち愳扦戴扣昵〹㘴ち挳挰㌴㘸搱㌳㌴㜰愶㔰摥摣挰戹〶扤㔲㈲愴挹㘰㉡㘳㤴㈳㜰搸〳㘹攰㈶ㅥ愴ㄷ㕣㈸愱㘰㡦扣ㄸㄶ摦㑤ㅣ戳㜱〴㜲扤换摢㉡攷㡣〰搷㕦㥣㝤㙤搵ㄳ搵㉡捤㕤昸攷戶〵㔶㜱㜵㈳㌴㐷昷戴㕤捡㤲㝢愲㝤㜷㕤㕢㐳㜴㔹昰搰㜴改㠴ㄱ㔴㤶攷㠳昵昰攲㔶慦㈴愱㍤ぢ㝦挴㠶㙦愷捤㥣㜳㜸ㄱ㜵㤵戰㉦㕥㜰摣㡢㡥㕣㤷收昳搶ㅦ㈸〴㔷㈸晢戸挸㘲收摦昸㈷㤳㥡搱㝥㠸ㄹ户戲㙣㑥搰㜴㤰㜰ㅥ㤹㐲㘹㌰㡡㜲ち㥤挰㜶㙦摣ㅡ㈰㥤散㘹愳ㄳ㈹〸㜶〸挵㔹㝡搹〸㐵昹〱搰㑡㘲〹㡦攴㠰昹㌷挱晡捡㌳愸㈱挲昱ㅣ㠹ㄱ敤㜵㈸愵愰㑥ち昲攸㡡〷㉦㠴晣晦㘰㈹收收つ搹改扦挰捣捡昷摢㔱㜴㌵㔱昴扤づㄴ㈹扣〶㈲昹昷捥愸挰〷㡤攱搹ㄷㄵ〸攷㥥㜶づ愰慦昸㠵摦晦攱〱㜴〶ㄸ㘶㤲㌶ㅡ㐲㙤搷愳摣㌰ㄱ戲ㅤ㈶〲㠳昷搲㐴㌸挵㌱㡣攲㠷㈶㐲攴〳㤹㐵挵收㈶〲㘳㝢㈹㠶㘰㈲搴㥡㜰㙢昰〴㜶戹㑤晦搸〹㕣扣ㄵ㍥攲昹㔰㕡晥ㄴ㍣㔲㔷㜴㔶捦ㄹ㥥㘱敦㤳昵挷㍤〱㘵收㉤攰㈶户ㅣ挲ㄱ晢㌷㙣㤱㠳㌶昰㔵挴㕥昶ㅤ㝦捡搶敥慦〳㔳㘱ち摤昷㑡㐱挹扦〴㑦㠹挲㜳㐳收晤㝢扥㝤晣㜷昷㍦㝣㤴户搵㈲㕡搵㙥㐲戹㤷㤰㍤敤〹〴㜵ㄳㄷ㐵昶昲挳㥣㔳昸㐴挹㕡愹㠹㐹挳㤳㔶㤰慦摢㜱㌱㈴扣〴㘱㠶挴户ㅤ㑣㑣摣㝢〸㑤捣㔲㥢扢㔳㝥搸㈴㕤㠴愵挴挲愵㑦㉦づㅢ㉡㕤ㄵ㔹㡦搶愶昶ㅤ愸愲ㄷ戹㤰㔶㉢㤱愷㑥㈶㐵㜹慡㕤搷ㅤ愶慥ぢて㌲っ晢挷㔲ち昱〷㔲㐸昲㈰挳ぢ〱㔲㑡㥤㐱㐱扢ㄹ㔹㑡㘴慤㍤挴㑢㝦挰㡥㄰㄰㡤㑢㝦㍤㝥挴〲㈸〲㡢戱㉦扥搷ㄳ㉤㙤搱㔸㌵㌱㔴㉢㙤㥡㜹ㄴ攴攱㠵ㄵ攳㜱敤〲ち㜱搲づ愱戴㘵㜷ㄴ㕦㌲㘸㠷㠱户㤰戱㌵㥢扥戶愲㝤㠷㔳挷捤て攸㤹扣㔴ㄸ捥㙥㔶攳㐰㉡㘳㜴㘱搷㘲㔸挵㝣㈸㉣㌶〶昵㐷㑤搰㔹捥㍥㥣㑡ㄱ晣攳㤷㐲㙣ㅦ㙢㑥扤户扤㠵㍡捥改挳〶昹㠳晤㜵㜵ち㘳攳慤攴ㄸ㐸搸㉤昵㉡㠴搷挳捦㘲〸㌷㥤㔱昴㘶㔱㍥㉢㠷昱㈷收慣慣摡愱晦ㄹ扤㤶㥣㜵㡥愳ㄹ挶㙥搱晦敦㐶挵愶晡㕦㘱散㑤㈲昲㍤㔱㐱ㅡ愷㡣㥦㙣ㅡ戲㈱㐴攰搹㐶昰㐶ㅥ㡣㜵㔹㘴挸㍢㉣捤攳攳搵戰㔹㑡㜰昸扤㜲敤㔷㈳ㅡ㘳㘹摢昶㜷ㄵ㠰㡣つ㘹摦㠴〸敡㍡扥㔵㙥挵愷摢晣㍤ㄸ戸攷㤴㔵昱㕣摦㌵㠳搱㜹〴㝤㐷昹敤㤹〹㥢㘷㐲昹㐶扢㔰扢づ㤰ㄸ㜸ㅦ挶㥣㥥㠵挰㍥㉤㠲㤷㉢ㄶ挹挸挲搶㈲ㄹ晣づ㘹㌸ㄱ㕥愲㜶昰㉦㌳敦慡ㅢ㌵㝣扡㍡ぢ㕦㘷挰慡㙤愱散㐲㡦㜳晢つつ㠲づ㜷戴摥〵㝦㤰愸㤵㄰ㅣ㤳㕢戸攷㝤㠴㙢㍢っ㕡晢㐶㝢昳搹戳㌷㥦㕢㔱㝢ㄲ㌸摤摡㕢㕡㐹㠶敦攴ㄷ挹㐵扤捣ㅣ㤷昶㡦攲敦搶ㅤ戴㥣㙤〴㜴ㅥ㝤搰㑤㐷搸㔸つ敥戳㉤㐴扦捦㘳愸㌲挱っ㍦摤㠸ち㝣㔰攸攵㈳㉢㉡㕦挱戶挸〰㈸㘷昲ㄵ㘴摤愹晡㠹㡤愸㝡昸㑥㡣㈱扦敡〲搹㘰㔶攱㔱㠳㔴㔹㔴ㅥ㐳㝦㐲㉤摣晤ㄲ敢㜰昴㤰㐷ち㤴昵愴㈴㔷㜸愴㤰敢昹㈲〶㌴搶㜳㉦㙡扢慦攷搱㡤搶愳搰ㄸ㤰晢㑤捥㍦ㅣ㉢ㄳ摤收慢ㅤ㘶㉥戳ㄵ㘴挳㜱捦㈱㡡㐹敥㈵ㅦ㠶ㅡ㥥㈱愶㤰㝥ㄱ晤㝤攱攸昳捦㌱晤昵愸㈲〵㈳㥡㕡㜷㐱挱㈸㜷昱愹攴㉥㝣搴㜶摦挵㈷㌶摡挵㌰㘵愶㠴㙡ㅤ〵㐰戵㡣㍦㜲㔷慢㈸㄰愰晣㈹攷㤹攱搷戲㡡㘱〳㌵㜲散ㅡち㠳㔹㡤㠸㜹㕢㜷敤㐲攳㌱晥ㄴㄶ挱㠱㤶㙦㕥敦挰㌷慣敢㡣㜶㘷昱〹扦㈶㔵㘱㑥㝤㙢㙦㜳挵收㈸㌵㤹昶ㄱ散晡㈵捣挳㑤㌷㝤㡥㥣㜱㍦㝥〵〴㈱㐸㘶ㄲ㈴昷愳㄰〳㑡㈳搶㔳扥㙣㤲挶㈱㙦㠱搲㤱㤵て㍤搱昹搰㈴㈸搸㤱ぢ㝡㕢〸㐶㙣㠹㥦ち㜷搵㘷昹ㅥ慦㌷㈸㡦挴㔴㜸攲㐴晣搹㤸ㅡ〵摣挰〵愱㌹㑥慥㈱㈰㤵㠷攳捥摦㝤扡改㉦㐶〳ㄲ㔸㈵散㑣敥㤲㥤ㅦ㡡㍢ㅦ挲㈷㘹戲㑦㠶〴挵昴㐲摣㤹㕣㈸㍢㝦㈸敥晣㤷㐳晢ㅡ㥤㘳愶ぢ㘷搶挸ㄱ㈹㠶扥㍣晡㈴㍥㑦ㅦ㐲㜷捤愴昱搰㙦㠶搵㈴㐴ㄹ㌷慦㐹昳㘱〰㌷㘱㍣㝣㈰㍥㠳㡢㕤戸晦〲つㄳ晥㝦㈲㑥攲挲搷戴ㄱㄸ昸晥㝢ㄵ㤱㜶㑦㤷㑦ㅣ㥣㌷㘷㍤㔴昴㤹㈷㝤ㅣ㈸慢摢㡡㐴㘰ぢ攵㐲昸㙥ㄲ㤱㐸戱㥢㥢昰㠸㈳㠴㉡㉦搰昴愶㌹㘵㔴㈹愷㍣ㄸ㘳㌶昳㘰㤳㘶昴て〲㌹搰〹挸㔹搰㍦㠴㍣㡣㐲敤㘱挵㌰㠵㥤㤴㘴て戳攱ㄱ㘶ㅦ㐶㔶㔴㈸搹㐸〷昹㡦㈰ㅢ㡡晦㉦ㅤ愳慢搲㔹愴㉡㙢昱换㤲㘴愴㝦㤴〳㍥㠶㉣ぢ摦戵ㄲㄱ㘱㔱晦㌸㙡㤲㉦愵攰㤰㉦晤㈴ㅢ㍥挵散搳挸㡡ㅡㄷ扢㘵愸㜱㑦㍤慡敤捦㘰愸㐲㔰㜰づ晤戳㔱㠱てち攱㐰㜱慥㌸搸㈱㘵㈸戵㑤㐱捤㉢㠴㡤㙣戰愳㠶㈳戲㐱㔱〸㉦搹㔰㡢ㅡ愸换昴㐷㤱㈹㠴〷昷愴㝦㠱㑦〴㠳㝣攱ㄷ愳㠲㝣㈱㘱㈰㠷㉦户扤㤰㜰㤱つ㑢㙤㉦㈴慣㘴㠳㤹㝣攱攳㥣㔴㙥っ㠵㔶㜵挵つ㑡㜸㝦ㄹ㠵挱散㄰搷㜶㌷㝥敡㥡㔲㌹㕦㍤㝦晥㥦㐳戹搱晤戹㜷扦㜳攰㑢㉦晣晣昷㥦晢搵㝢㡦晣改㕦㑦㍣昱慢㍦㝣敥戹㝦㍤扢㜸攴愷㑦㍥昹㤳㍢扦晡摣敦㜷㥢㕦㔳㥦晥攷捣搷ㅥㄸ扦昰挰㝤收搹㥢㡥㍦昰㥥㝢敦ㅡ㥦扢㙣㉣㥢敤敢扢㘱攴㘷㔷扥㜱昸挱晢扥慦晣昸㌷㔷㌸㡡摣㉥㕥搰扡っ㙥㕢㉥攳慢㈸㘰ㄹ㕣昱㉢扡っ㙥㔷〲敡㝣〴愸㐹㔴ㄴ攰晣攰〲㘴㐳戹戵愱晦㍦愹户扤っ</t>
  </si>
  <si>
    <t>Decisioneering:7.0.0.0</t>
  </si>
  <si>
    <t>b381d8ac-5bae-45d2-bae9-ce2f79d122a3</t>
  </si>
  <si>
    <t>CB_Block_7.0.0.0:1</t>
  </si>
  <si>
    <t>㜸〱敤㕣㕢㙣ㅣ㔷ㄹ摥㤹摤㔹敦慣敤搸㡤搳愶〹扤戸㌷㝡㜱㜰攳戴愱ㄴ〸挱㤷㍡㐹㜱㘲㌷㜶搲㈲愸㌶攳摤㌳昶㌴㍢㌳敥捣慣㘳㤷㑡㉤㤰㠲戸㤵㡢〴㠸㔲㉥慡〰㠹ㄷ㉥㉦㕣换〳ㄲㄲ〸戵ㄲて攵〱挴㐳愹㄰㐸㠰㔰㄰㉦㍣㈰挱昷㥤㤹搹㥤摤昵㡥摤㙤ぢ㉥昲㐹昷昸捣戹捤㌹晦晤晣晦㤹㘶㤴㑣㈶昳㙦㈴晥㘵捡戱㜰搵晣扡ㅦ〸㝢㜴搲慤㔶㐵㌹戰㕣挷ㅦㅤ昷㍣㘳㝤挶昲㠳㉣㍡攴㑢ㄶ摡㝤慤攴㕢㡦㠸㐲㘹㔵㜸㍥㍡㘹㤹㑣愱愰慢㘸攷㈴晣つ挶て㍡㐷昵攵㤰㉤㑣㑥捣㉥㍥㠴㔹攷〳搷ㄳ〷㠶捦㠶㘳㡦㡣㡤㡤㡥㡤摥㜹搷搸㥢㐷てㅥㄸ㥥慣㔵㠳㥡㈷㡥㌸愲ㄶ㜸㐶昵挰昰㕣㙤戱㙡㤵摦㈵搶ㄷ摣昳挲㌹㈲ㄶて摥戱㘸摣昹㤶戱㍢てㅦ㌶敦扥晢㉤㝤㜸㜵收搴攴挴㥣㈷㑣晦㔵㥡㔳攳㤲敦㥣ㄲ㘵㡢㝢ㄳ挲戳㥣愵搱挹〹晣㤷㔸㍦㥥敥ㅡ㥤㕦ㄶ㈲攰慢㠵㈷㥣戲昰㜵っ散戵挷㝤扦㘶慦㄰㜸扡㍤㡤慤㤶つ㍦搰散㐹㔱慤敡㜶㍣㙢挱㥥〵散慡挶㝡㥦㍤㉦ㅣ摦ち慣㔵㉢㔸捦摢ぢ㤸愸搲㙦㥦昱挵㘹挳㔹ㄲ愷っ㕢㘸昶戱㥡㔵挹㠵㈹㤳扤㌹㥥㈲戹㌰戹晤搱㜱摦㥥㕣㌶㍣戹㈲㥦㠰㐹改㍢敤㤵㥢晢摥搰㜹㕥㉥㕤扥㠱㜳摥搴戹ㅦ㕡捥ㅡ㕥扤攷㐸攷㥥搱收㥢㔷㜰㝢攷晥〹ㄸ㌵㡦戹戵昳ㄸ〹捡收摥㑡㙦㐴摦ㄲ愲搸㡣㥥㘷搶挳慣挰㡣〸搴㡢捣㝡㤹昵㈱㔳㜲晦〰㤷㈴〷戲㐹㉤ㄹ㙡㘹㔱㉤㤵搵㔲㐵㉤〹戵㘴慡愵㈵戵戴慣㤶㉣戵昴㤰㕡㍡㡦㍥㜱㉡昴昴愸㔱晡挷昴摦捦晦昶㈷ㄷ㘷㍦㝥㍣㍦㜴摤㥦扦扥户㙦ㄷ㍡摤ㄷ㉤㙡捡㌳㉥㠰搴ㅡ㔴㝣㘸昴㈰晦㙤捥ㄵ㘰ち昳戰㜹㤷㌹㌶㔶㌹㝣搰戸挳搰戸慤ㄴ攴㌷ㄱ捡㈰晡昶㤹昷㕢㑥挵扤㈰㜱㜷搵㠴攱㡢〶攰㐶愲戶〹户收㔴晣㌷㙣摣㌸ㅦㄸ㠱搸摦摡搶㤸愴㙤搸㍣搸㑡昸昲㝤搷戴づ㍢㙢㔴㙢㘲㝣捤ち㥢慦㙥㘹戶攷㍣㜷戱㜳敢戴㈷ㅥ慥户戶慤㘸ㅣ㐲㙤㔵捥摤戶换戰㈹㕣搷昰攴戲敢ぢ㐷㉥㙦挴㥥戳捡攷㠵㌷㉦㈸ㄲ㐵㐵㙥昵㜲㌶㐵㕣㍦㌲敢㘰愳攰搶捡昵挹㕡昳㥥戵〰捣㉣㉡㔸敦㡡昰㠲昵〵㘳戱㉡慥㘸敡ㄲ扥ㄳつ晢㥡慡愷摤㜲捤㥦㜴㥤挰㜳慢捤㉤攳㤵㔵〳㤲愶㜲搲慤㠸㕣㉥㈳㠵〲〴㙥㌶慢㈸㤹摢㍡昳㠲㐴㐴〲挵㘴攴㉢㥢挹㙥昴㌴㜶㠷㕤㔴〵㘹㔲扤㜱㤳挹戸㕥㈹㘳㔲㌸㌰戱㈷敡て扥昴㤶㑤愶慤㘳敥戵敤慣慡㐳搱敥敦㔹ㄵ㑥㜰摣㜰㉡㔵攱愵㙡㍦㠵㉢搲〷㤰㘹㤷㈰㄰㍡㐲㡦慡㑥㔹㔳搶戵ぢ㔶㈵㔸捥㉦ぢ㙢㘹㌹㐰ㅤ㌴㘴愱㐰搰戶㈵晤㌲㔴改扢㤹つ㈱㉢ㄶ㌳昹㍤散㤴㉦㈲㘵㌴㑡愷ㄴ㕥㙥ㄲ攴ㅣ搷挴换㝤收戴㔵つ㐴㈸㤴〷㑣㘰㈴搴㙡ㄲ㝤晤㈴㔱捦㈸㠷ち㘳㡦㌹〹㉡㌵㉣㈷㔸㙦昰㙤ㅢ㤷㠴㐴戴㈳ぢ戶㥤㉣愰㈸㘸㤶〷㈹扣〶愲㘹㤱〶改㥤ㄳ㐴㐴㌶㐸搱散㤸戹㤹挸搸㍦㐵㐶愰㝦㤲〸搹晢㘰㘷ㄹ㐱㘲㙦㈷㔲づ敡挸㡦㍢搲㙣㈳㕢㍥㤴㘶㤷〳㜰晡ㄵ捣昶㌲扢㤲搹㍥㘴捡ㅦ㈱攱㈸攵㔰㙥㑥晡ㅢ昰慣㕦挵散㙡㘴㤰㑦㍡㘵㑥㈴慡㘸㐳㙤挵㡥㘴扦㝥搸挹搲㈸づ㐵ㄱ㉤攳扡㥤搹㙦㑢㐴㐷㔶攷昶搰戵㌹愹㘳摦搸㤹㌶㤳摢㈱㐵愶㜴㑤敥㜵㤳慥㐹㐰戰㙢㤷㝡敢㕡っ搵㠷㤹㕤㠷慣愸㕦捦ㅣ捡㠵〶敦搶㉣㝡㥡㤴慦ぢ戳㈸㌴㠶扡㔴昰ㄱ㈱昳〸㤰㈲攴摡㡥㉦㍢㌶㌴捤挱ㄱ昳㜵㙦㐳ㅦ攸捣摦ㄱ搲㕢昴收㡥摥愱扦攸㘵㕡搱㌷㠰扤㤴摦㜵搴㌱㌷愱㔹㝦㈳戳㥢㤱戵攸ㄸ㥥扥㕦慥愷㐰㥡挵㜶〲㜳扢改㜵㤱㔶敥挲晡㡡㤰ㅡ愸捦㕣㌰扣㈵ㄱ挰㠳㜱㘲ち戶戰敢㜹愲㡡㐳㙤㐵㔶昰晣戲户戹搲㥦昶㕣㥢昵㍢㌶戲晦扡㔰っ戹㥣㥡捤戴搸挸㈹戶㘶挲攷㤴愰ㅣ敡攰㍢㍡ぢ㠹挴愰㘶昲攲戸昴昳攵㡥㈴改㐲㤲摣ち戰敡户㈱㠳㤴㔰㝥摤㔱愲ㅣ㘰户㌷挹㙥捤ㄶ㉢㍤㝣㈹愷㤳ㄶㅦ㘲㥢ㅣ改つㅤ戶ㄳ昰ㅦ昸晤昶扣㘵搷㠵㐵慦㍤㈷扣㌲㝣ぢ㔶㔵ㄴ㐳户㉣㐵捤㡥慣㜸㥤挸㡡㙣戶敤㍣㥤攲㕦㤳㜴搲㈲㈵㔲戹㍤戵㌱攵㉣摥㈰㉡扡㈱㈹㔴㔲㕣㐳㜵〹㐴捡㘳摦ㅤㄱ搳㠵㠸戹ㅤ㠰搳て㌲ㅢ㘳㜶〸㤹昶㍣㈴捤㔶〱捦㜰㔸捦㉡㕤摡愵㔲愶㐰㌴㐸ㄷ攱㜳ㅤ㠵搵㘱扥收捤捣敥㐲搶㘲晥搰〱㤹㐲㠸ㄲ攵〹㐲㤴㘱っ昳慣㈵㉥㤰〶㜶㤹〸㉣㑤搶晣挰戵ㄹ㔹敡㌷愷摣㔳㙥㌰㘵昹㉢㠸㐴つ㤹㔱攱晥㘵攱㠰扡㍣搸㍥㉤㜵敥捡㡡愸攸收扣㕢㠳㘸㍢㌱戵ㅤづ收〰〷㙣㐹㜹㌶㔷ㄵ愴敥捥挷㤸㐲〱愴愵扦㤵摥搸㉤㜹扦㜹攸ㅢ㘸㐰㜴挱ち慡愲搷っ㤹㡥攵㠲〹㈸㈲㜲㔰改㌱ㄷ㤶㍤㈱愶晡捤㘳㥥㔵愹㕡㡥㈰㌲㘰㘳㌲㔸㌷㈳㤶㄰㈵㤸㜳ㄹ〳㜴㥤㝥㜳挱㌳ㅣ㝦挵㘰㐰㜱㝤㜷搳㤳っ㡢㘸收㠴攵昸㜸㡤挴㈲换〳收晣戲㝢〱ㄱ摢㥡敤ㅣ㌳㔶晣㙤㠱ㄵㄲ㝤㤸㈴㙡ㄴ㔵㔱㔵愵愰ㄶ扡挵てて攴㤹っ㜹㉦挷㑣攲㉡愳搱㘷㥥愲扤㘹搷㐷㌱ㅡ摡改㕣㔳ㅦ愲㐷昵捡㙣慡ㄴ㈶愷敡㜷㜳捣㕢㤱摤㝢散捣㠹㐶㘴敥ㄵ挵慣㌵㝡昹㔳㘴扣㈴㡢㝡㈰㠴㍥扡㕤㈱愹戰㡥㤴〳づ〴挶昹搴㑡㝥㐵㔳昶㈱昵敤㙡ㄴ愷ㄱ㐹敡㌳㘷㡣㐵㔱㐵㍣摡㌶㠲㕤攱〳捤㔸摢愸晡㔱摢愴㙢摢〶㐹㡢㘴㌹㕦㌶㐸挱攳戵挰㍤㘹㌹扡㠹㑣搲㕦㔴㘵慣愱捡㔸㤳㔵㝤收㘹㠶〶㘵㤹㜳戹㑢㠶㘷〵换戶㔵㉥昰㠱攱扢㙤㐱㤳㘰㜲㑡摥㌸挵㌲㘳戸挵㥡㍦〳㤳捤ㅦ〵扡㐷㈱㐷〹㍡愲ㅦ㤴慢㉡㜹晣㔳扡㜴㉣㐱挰㐸㑦愹晥㜶捣愶挹摢ㄱ㄰㌹㌲㕤㡡敦㘰㕣㝡っ㌵愱㄰㈲搶㔳㐸〴㕥挱㠴㤰愷㡢㍢㙦㥥㜱慣〰搸㈳挶愶慤㘰捡〷捡㤱愱㈸㡦户晢㈵㔶ㄳ㠳㐶敡㕡攱摡昶愶㈶㌵㜱㑤㝢㝢㔲㙦摣戸㐱㜳愸㔱ㄲ㡡㘴戳㑥㔲戳㙣戰挶敤愴㙡ㄴ愹戸㘳㙤愳愴戹㑤ㅢ㜰愷ㄴ㜹〵㡡㐹搲㑣㐶㝦㠷㈴ㄴ〴㝡㈳ㅤ㐵㥦㝤㍡㜹㈴㈲㌶戴〱㡡搴㔳㘱㕤㝦ㄴㄲ㍣㠱㙢㈷ㄵ㔱㡣㥥挰摦扢愲攲㙣㉤㘸㙡㌱搶㠶愲㤶昱㙡㜵搶㠱㤵㔰㌶扣捡㌶㘱㘹散㉤搴㌰㤲㍢扢搵晥㈱㜸ㄳ㡣ㄸ戱㈱挳㈲㈹㝥㘰戰㈱㤸㉢ㄱ㔱愵㜵搶㑦㔰搷慢ぢ㝣㍡㈹っ㐷㘲㘰㍥愸㑣㠹㔵㘹㠶㌵㉣昹㈱㌹愰㝥㕡㤴㜲㔴㌷挷ㄷ㝤愸昴㠰㜲㍣㉡㐹〶搷捤搳㜴㑢攱ㄲ〳挴㙥㔴㥡㉢〷〸敤搶㈷攰挹㘰晢㘰〷㄰〹㐳㈷戴捥㈸㐱昳㈹㠴摢扣〹昲㑥㤷ㄸ㠵㈰㌵㘵晡摢㔱攵愹㉦㌰㝤昳㘸㈶㉥㐴㑣挴㜰㔷㡡昵〰攴㈶㈳㤳攴愲愱㌸㘰ㅥ㑡㌶㈹戴晡攲㍡㥡ㄸ晤㌴昹扣〰户㜸ㄸ换ㅡ㈰摢㔴㜱捦㉤戰愰㑤慢敢扢捣ㄳ㑥戹㕡慢〸愹㡡㘳㔹㉤㌵昲戶挰㤷扣〲ㄸ㜲㔳ち㕣㈲愰㥣挰㔱㡡㕢㈶㤲扡户扢昵愳ㄸ㉥㠵ㅣ收〸㔵ㅦ〳㤰㈹㙥㌹ㄹ㄰㙢扢愷㐰晢㜰㜷攳〲㠳扣㍣〷㤱搶㔶㐵㔹㌶㠳晢㜸昵㈸戲攴戶㐴户ㄹ㜷挶愵捤㥥愸㍡㙥㠵㔵摢〲㐷搸㘷㈸昰昲㜹ㄸ㈳㕤㜲〷㈷挹㕣㡡愲扢㤷ㅥ㤳㡦㤹㑢㐰㠵挴㠰挲ㄸ㉦㑦㐱ㄹ㐰ㄵ㡣㐴㠳㕢㙤㔸摤ち愳扦戴扣昵㜱㘴ち挳挰㌴㘸搱㌳㌴㜰㈶㔱摥摣挰戹ㄶ扤㔲㈲愴挹㘰㉡㘳㤴㐳㜰搸〳㘹攰㈶ㅥ愴ㄷ㕣㈸愱㘰㡦扣ㄸㄶ摦㑤ㅣ戱㜱〴㜲扤㉢㕡㉡攷㡣〰搷㕦㥣㝤㉤搵攳㤵ち捤㕤昸攷戶〵㔶㜱㜵㈳㌴㐷昷戴㕣捡㤲㝢愲㝤㜷㐳㑢㐳㜴㔹昰搰搴攸㜱㈳㈸㉦捦〷敢攱挵慤㙥㐹㐲㝢ㄶ晥㠸つ摦㑥㥢㌹攷昰㈲敡㉡㘱㕦㍣敦戸ㄷㅣ戹㉥捤攷慤㍦㔰〸慥㔰昶㜰㤱挵捣扦昱㑦㈶㌵愳晤ㄸ㌳㙥㘵搹㥣愰攱㈰攱㍣㌲㠵搲㘰ㄸ攵ㄴ㍡㠱敤㕥扦㌵㐰㍡搹搳㐲㈷㔲㄰散㄰㡡戳昴慡ㄱ㡡昲㈳愰㤵挴ㄲㅥ挹〱昳㙦㠰昵㤵ㅦ愲㠶〸挷㜳㈴㐶戴敢㔰㑡㐱㥤ㄴ攴搱ㄵて㕥〸昹晦挱㔲捣捤ㅢ戲搳㝦㠱㤹㤵ㅦ戴愲攸ㅡ愲攸晢㙤㈸㔲㜸つ㐴昲敦扤㔱㠱てㅡ挳戳㉦㉢㄰捥㍤敤ㅣ㐰㕦昳ぢ扦晦挳〳攸っ㌰捣㈴㙤㌴㠴摡㙥㐲戹㙥㈲㘴摢㑣〴〶敦愵㠹㜰㤲㘳ㄸ挵て㑤㠴挸〷㌲㡢㡡捤㑤〴挶昶㔲っ挱㐴愸㌵攱搶攰〹散ち㥢晥戱攳戸㜸㉢㝣挴昳愱戴晣㐹㜸愴昶戶㔷捦ㄹ㥥㘱敦㤳昵挷㍣〱㘵收㉤攰㈶户ㅣ挲ㄱ晢㌷㙣㤱㠳㌶昰㔵挴㕥昶ㅤ㝦捡搶敥慦〳㔳㘱ち摤昷㑡㐱挹扦〲㑦㠹挲㜳㐳收㝤㝢扥㜵散昷㡦㕣㍣捡摢㙡ㄱ慤㙡户愱摣㑤挸㥥昶〴㠲扡㠹㡢㈲㤷昳挳㥣㤳昸㐴挹㕡愹㡡〹挳㤳㔶㤰慦摢㜱㌱㈴扣〴㘱㠶挴户ㅤ㑣㑣摣㝢〸㑤捣搱ㄶ㜷愷晣戰㐹扡〸㐷ㄳぢ㤷㍥扤㌸㙣愸㜴㔴㘴㕤㕡㥢摡㜷愰㡡㕥收㐲㥡慤㐴㥥㍡㤹ㄴ攵摢慤扡敥㌰㜵㕤㜸㤰㘱搸㍦㤶㔲㠸㍦㤰㐲㤲〷ㄹ㕥〸㤰㔲敡㌴ち摡敤挸㔲㈲㙢慤㈱㕥晡〳㜶㠴㠰愸㕦晡敢昲㈳ㄶ㐰ㄱ㔸㡣㝤昱摤㥥㘸㘹㡢挶慡㠹愱㕡㘹搳捣愳㈰て㉦慣ㄸ㡢㙢ㄷ㔰㠸㤳㜶〸愵㉤扢愳昸㤲㝥㍢っ扣㠵㡣慤搹昴戵ㄵ敤㝢㥣ㅡ㙥㝥㐰捦攴愵挲㜰㜶戳ㅡ〷㔲ㄹ愳ぢ扢ㄶ挳㉡收〳㘱戱㍥愸㌷㙡㠲捥㜲昶攱㔴㡡攰ㅦ扦ㄴ㘲晢㐸㘳敡换㕢㕢愸攳㥣ㅥ㙣㤰㍦搸㕦搷愴㌰㌶摥㑡㡥㠱㠴摤㔲慦㐲㜸㍤晣っ㠶㜰搳ㄹ㐵㙦ㄴ攵戳㜲ㄸ㝦㘲捥捡慡㙤晡㥦搱㙢挹㔹㘷㌹㥡㘱散㈶晤晦〰㉡㌶搵晦ち㘳㙦ㄲ㤱敦㡥ち搲㌸㘵晣㘴搳㤰つ㈱〲捦㌶㠲㌷昲㘰慣换㈲㐳摥㘱㘹ㅥㅦ慦㠶捤㔲㠲挳敦㤵㙢扤ㅡ㔱ㅦ㑢摢戶户愳〰㘴㙣㐸晢〶㐴㔰挷昱捤㜲㉢㍥摤收摦㠳㠱㝢㑥㕡㘵捦昵㕤㌳ㄸ㥥㐷搰㜷㤸摦㥥㤹戰㜹挶㤵慦戵ち戵ㅢ〰㠹扥〷㌱收搴㉣〴昶㈹ㄱ扣㕡戱㐸㐶ㄶ戶ㄶ挹攰㜷㐸㠳㠹昰ㄲ戵㠳㝦㤹㜹㕦捤愸攲搳搵㔹昸㍡〳㔶㙤ぢ㘵ㄷ㝡㥣㕢㙦㘸㄰㜴戸愳昵㉥昸㠳㐴㜵ㄴ挱㌱戹㠵昷㍣㐸戸戶挲愰戹㙦戴㌷㥦㍤扢昳戹ㄵ戵㘷㠰搳慤扤愵㤹㘴昸㑥㝥㤱㕣搴㑢捣㜱㘹晦㈸晥㙥摤㐱换搹㠶㐰攷搱〷摤㜴㠴㡤㔴攱㍥摢㐲昴晢ㅣ㠶㉡攳捣昰搳㡤愸挰〷㠵㕥㍥戲愲昲㘵㙣㡢っ㠰㜲㈶㕦㐶搶㤹慡㥦摥㠸慡〷敦挵ㄸ昲慢㉥㤰昵㘷ㄵㅥ㌵㐸㤵㐵攵㈹昴㈷搴挲摤㉦戱づ㐷て㜹愴㐰㔹㑦㑡㜲㠵㐷ち戹㥥捦㘳㐰㝤㍤て愱戶昳㝡㍥扢搱㝡ㄴㅡ〳㜲扦挹昹〷㘳㘵愲摢㝣戵挳捣㘵戶㠲㙣㌰敥㌹㐰㌱挹扤攴挳㔰挳て㠹㈹愴㕦㐵㝦㕦㍣晡晣㜳㑣㝦㍤慡㐸挱㠸愶收㕤㔰㌰捡㕤㍣㤹摣㠵㡦摡捥扢昸昸㐶扢ㄸ愴捣㤴㔰慤愱〰愸㤶昰㐷敥㙡ㄵ〵〲㤴㍦攵ㅣ㌳晣㥡㔶㌱㘸愰㐶㡥㕤㐳愱㍦慢ㄱ㌱㙦敢慣㕤㘸㍣挶㥦挲㈲㌸搰昴捤敢㍤昸㠶㜵㥤搱敥㉣㍥攱搷愴㉡捣愹㙦敤㙥慥搸ㅣ愵㈶搳㍥㡣㕤扦㠲㜹戸改㠶捦㤱㌳敥挷慦㠰㈰〴挹㑣㠲攴ㄱㄴ㘲㐰㘹挴㝡捡㤷㑤搲㌸攴㉤㔰㍡戲昲愱㈷㍡ㅦ㥡〴〵㍢㜲㐱㙦ぢ挱㠸㉤昱㔳攱㡥晡㉣摦攵昵〶攵㠹㤸ち㡦ㅦ㡦㍦ㅢ㔳愳㠰ㅢ戸㈰㌴挷挹㌵〴愴㜲㌱敥晣摤敦㌵晣挵㘸㐰〲慢㠴㥤挹㕤戲昳〷攳捥㠷昰㐹㥡散㤳㈱㐱㌱扤ㄸ㜷㈶ㄷ捡捥ㅦ㠸㍢晦攵搰扥㝡攷㤸改挲㤹㌵㜲㐴㡡愱㉦㡦㍥㠹捦搳〷搰㕤㌳㘹㍣昴㥡㘱㌵〹㔱挶捤慢搲㝣攸挳㑤ㄸてㅦ㠸捦攰㘲ㄷ敥扦㐰挳㠴晦㥦㠸ㄳ戸昰㌵㘵〴〶扥晦㕥㐵愴摤搳攵ㄳ〷攷捤㔹てㄵ㍤收〹ㅦ〷捡捡戶㈲ㄱ搸㐲戹㄰扥㥢㐴㈴㔲散收〶㍣攲〸愱捡ぢ㌴摤㘹㑥ㄹ㔵捡㈹㡦挷㤸捤㍣摥愰ㄹ晤晤㐰づ㜴〲㜲ㄶ昴て㈰て愳㔰㝢㔸㌱㐸㘱㈷㈵搹㐵㌶㍣挱散㐳挸㡡ち㈵ㅢ改㈰晦㘱㘴〳昱晦愵㘳㜸㔵㍡㡢㔴㘵㉤㝥㔹㤲㡣昴㡦㜰挰㐷㤱㘵攱扢㔶㈲㈲㉣敡ㅦ㐳㑤昲愵ㄴㅣ昲愵㥦㘰挳㤳捣㍥㠹慣愸㜱戱㕢㠶ㅡ昷搴愵摡晥ㄴ㠶㉡〴〵攷搰㍦ㅤㄵ昸愰㄰づㄴ攷㡡㠳ㅤ㔲㠶㔲摢ㄴ搴扣㐲搸挸〶㍢㙡㌸㈲ㅢㄴ㠵昰㤲つ搵愸㠱扡㑣晦㉣㌲㠵昰攰㥥昴捦昱㠹㘰㤰㉦晣㝣㔴㤰㉦㈴っ攴昰攵㤶ㄷㄲ㉥戲㘱愹攵㠵㠴㤵㙣㌰㤳㉦晣㈲㈷㤵ㅢ㐳愱㔹㕤㜱㠳ㄲ摥㕦㐲愱㍦㍢挰戵摤㡦㥦扡愶㤴捦㔵捥㥤晢攷㐰㙥㜸㝦敥㠱㜷昶㝤攱挵㕦扥昴㤹ㄷ摥㝢攴㑦晦㝡晡改ㄷ晥昰㤹攷晥昵散攲㤱㥦㍦昳捣捦敥晤捡㜳㉦敤㌶扦慡㝥敦㥦㌳㕦㝤㜴散晣愳て㥢㘷㙥㍢昶攸扢ㅦ扡㙦㙣敥戲㤱㙣戶愷攷收愱㕦㕣㜹换攰攳て晦㐰昹改㙦昶㍡㡡摣㉥㕥搰扣っ㙥㕢㉥攳㉢㈸㘰ㄹ㕣昱㙢扡っ㙥㔷〲敡㕣〴愸〹㔴ㄴ攰晣攰〲㘴㐳愹戹愱昷㍦㜱挲扣㐱</t>
  </si>
  <si>
    <t>End of life</t>
  </si>
  <si>
    <t>all</t>
  </si>
  <si>
    <t>CF</t>
  </si>
  <si>
    <t>PEC</t>
  </si>
  <si>
    <t>Wasted CH3NH3I</t>
  </si>
  <si>
    <t>HTL spin coating</t>
  </si>
  <si>
    <t>PL 1st-step spin coating</t>
  </si>
  <si>
    <t>PL 2nd-step spin coating</t>
  </si>
  <si>
    <t>PL annealing</t>
  </si>
  <si>
    <t>PL drying</t>
  </si>
  <si>
    <t>HTL annealing</t>
  </si>
  <si>
    <t>ETL spin coating</t>
  </si>
  <si>
    <r>
      <t>PbI</t>
    </r>
    <r>
      <rPr>
        <sz val="11"/>
        <color rgb="FFFF0000"/>
        <rFont val="Times New Roman"/>
        <family val="1"/>
      </rPr>
      <t>₂</t>
    </r>
  </si>
  <si>
    <r>
      <t>CH</t>
    </r>
    <r>
      <rPr>
        <sz val="11"/>
        <color rgb="FFFF0000"/>
        <rFont val="Times New Roman"/>
        <family val="1"/>
      </rPr>
      <t>₃</t>
    </r>
    <r>
      <rPr>
        <sz val="11"/>
        <color rgb="FFFF0000"/>
        <rFont val="Calibri"/>
        <family val="2"/>
        <scheme val="minor"/>
      </rPr>
      <t>NH</t>
    </r>
    <r>
      <rPr>
        <sz val="11"/>
        <color rgb="FFFF0000"/>
        <rFont val="Times New Roman"/>
        <family val="1"/>
      </rPr>
      <t>₃</t>
    </r>
    <r>
      <rPr>
        <sz val="11"/>
        <color rgb="FFFF0000"/>
        <rFont val="Calibri"/>
        <family val="2"/>
        <scheme val="minor"/>
      </rPr>
      <t>I</t>
    </r>
  </si>
  <si>
    <r>
      <t>Ni(NO</t>
    </r>
    <r>
      <rPr>
        <sz val="11"/>
        <color rgb="FFFF0000"/>
        <rFont val="Times New Roman"/>
        <family val="1"/>
      </rPr>
      <t>₃</t>
    </r>
    <r>
      <rPr>
        <sz val="11"/>
        <color rgb="FFFF0000"/>
        <rFont val="Calibri"/>
        <family val="2"/>
        <scheme val="minor"/>
      </rPr>
      <t>)</t>
    </r>
    <r>
      <rPr>
        <sz val="11"/>
        <color rgb="FFFF0000"/>
        <rFont val="Times New Roman"/>
        <family val="1"/>
      </rPr>
      <t>₂</t>
    </r>
    <r>
      <rPr>
        <sz val="11"/>
        <color rgb="FFFF0000"/>
        <rFont val="Calibri"/>
        <family val="2"/>
        <scheme val="minor"/>
      </rPr>
      <t>·6H</t>
    </r>
    <r>
      <rPr>
        <sz val="11"/>
        <color rgb="FFFF0000"/>
        <rFont val="Times New Roman"/>
        <family val="1"/>
      </rPr>
      <t>₂</t>
    </r>
    <r>
      <rPr>
        <sz val="11"/>
        <color rgb="FFFF0000"/>
        <rFont val="Calibri"/>
        <family val="2"/>
        <scheme val="minor"/>
      </rPr>
      <t>O</t>
    </r>
  </si>
  <si>
    <r>
      <t>NiO</t>
    </r>
    <r>
      <rPr>
        <sz val="11"/>
        <color rgb="FFFF0000"/>
        <rFont val="Times New Roman"/>
        <family val="1"/>
      </rPr>
      <t>ₓ</t>
    </r>
    <r>
      <rPr>
        <sz val="11"/>
        <color rgb="FFFF0000"/>
        <rFont val="Calibri"/>
        <family val="2"/>
        <scheme val="minor"/>
      </rPr>
      <t xml:space="preserve"> precursor solution</t>
    </r>
  </si>
  <si>
    <t>(0.45+0.56)/1.5*(1+4)/2*10000</t>
  </si>
  <si>
    <t>(0.45+0.56)/1.5*1*10000</t>
  </si>
  <si>
    <t>(0.45+0.56)/1.5*5*10000</t>
  </si>
  <si>
    <t>Spin casting (previous assumption)</t>
  </si>
  <si>
    <t>assume the spin speed</t>
  </si>
  <si>
    <t>Nitrogen</t>
  </si>
  <si>
    <t>Nitrogen glove box</t>
  </si>
  <si>
    <t>Cooling</t>
  </si>
  <si>
    <t>Evaporation</t>
  </si>
  <si>
    <t>Vacuum pump</t>
  </si>
  <si>
    <t>Vacuum evaporation</t>
  </si>
  <si>
    <t>Substrate cleaning</t>
  </si>
  <si>
    <t>Tem</t>
  </si>
  <si>
    <t>80% active area</t>
  </si>
  <si>
    <r>
      <t>UV/O</t>
    </r>
    <r>
      <rPr>
        <sz val="11"/>
        <color rgb="FFFF0000"/>
        <rFont val="Times New Roman"/>
        <family val="1"/>
      </rPr>
      <t>₃</t>
    </r>
    <r>
      <rPr>
        <sz val="11"/>
        <color rgb="FFFF0000"/>
        <rFont val="Calibri"/>
        <family val="2"/>
        <scheme val="minor"/>
      </rPr>
      <t xml:space="preserve"> cleaning</t>
    </r>
  </si>
  <si>
    <t>Celic, 2016</t>
  </si>
  <si>
    <t>Inert gas purging</t>
  </si>
  <si>
    <t>Key input parameters</t>
  </si>
  <si>
    <t>Current value</t>
  </si>
  <si>
    <t>Notes</t>
  </si>
  <si>
    <t>Recycling level of substrate</t>
  </si>
  <si>
    <t>0%--&gt;no recycling</t>
  </si>
  <si>
    <t>100%--&gt;current practice</t>
  </si>
  <si>
    <t>Consumption of HTL spin coating</t>
  </si>
  <si>
    <t>Consumption of ETL spin coating</t>
  </si>
  <si>
    <t>Utilization efficiency of spin coating</t>
  </si>
  <si>
    <t>60%--&gt;no recycling</t>
  </si>
  <si>
    <t>Consumption of HTL post-annealing</t>
  </si>
  <si>
    <t>Consumption of PL annealing</t>
  </si>
  <si>
    <t>Consumption of vacuum pump</t>
  </si>
  <si>
    <t>Consumption of cooling</t>
  </si>
  <si>
    <t>UV/O₃ cleaning</t>
  </si>
  <si>
    <t>Utilization efficiency of spin coating (80%)</t>
  </si>
  <si>
    <t>Recycling level of substrate (90%)</t>
  </si>
  <si>
    <t>Energy consumption of HTL anneal, kWh (43.20)</t>
  </si>
  <si>
    <t>Energy consumption of PL annealing, kWh (28.80)</t>
  </si>
  <si>
    <t>Energy consumption of cooling, kWh (16.00)</t>
  </si>
  <si>
    <t>Energy consumption of vasuum pump, kWh (9.200)</t>
  </si>
  <si>
    <t>㜸〱捤㔸㕤㙣㈳㔷ㄵ㥥㍢昶搸ㅥ挷摥昵晥㜵晦摡慤搵㕤戴㉤㔹㜹攳㘴挳晥㤴㔵ㅢ㍢㠹㤳㤲㑤搲戵㌷㉢㐰㘸ㄸ㝢慥攳㘹收㈷捣㡣㤳戸㍣㈱慤㜸攰〱敤〳〲昱挶㥦㐴㉢㐱〵敡〳㙡㐵㤱攸ぢ㉣ㄲ㉢㠱㄰攲〵㈴愴㤵㔰愵昲挰〳㈰㈴㑡㌸摦ㅤ㍢戱ㅤ愷摤つ㐱摡㐹㝣㝣敦㍤昷㥥㝢收摣㜳扥㜳慥㈵㈶㐹搲㈶㍤昸挶ㄳ㐵攳挹㜲换て戸㥤㉢扡㤶挵㙢㠱改㍡㝥㙥挲昳昴搶㥣改〷ㄱ㥡㄰搳㑣攲晢㡡收㥢慦昲㠴戶挶㍤㥦㈶㈹㤲㤴㐸愸㌲昱㍢㥦㑣愷愱㘲㤵ㅡ㈵㤲愲㔹㔲愵㔸㔸愸扥㐲愲换㠱敢昱ぢ搹愵㔰挰昵㝣㍥㤷捦㕤扡㥣晦㐴㙥攴㐲戶搸戴㠲愶挷慦㍢扣ㄹ㜸扡㜵㈱扢搸慣㕡㘶敤㔳扣㔵㜱㔷戸㜳㥤㔷㐷挶慡晡愵㉢昹㑢攳攳昵慢㔷慦愴㘲㈴㜹戱㔸㤸攱搶㉡挹摢㉦愹㜱㤲㍡㕦㉣㉣㝡扣扥㕦㌲ㄵ㔸㈳㍦挹㙢㈶捣挶戹㘷㍡换戹㘲㠱晥扢慣㐲扤换戹㠵㜲㤹㍢扥ㄹ㤸㙢㘶搰㠲攵㔴㝢愱㔶㕤搲慤㈶㡦搹㐲愵㠴扤愴㝢昳扡捤搳昶㉤㥦摦搴㥤㘵㡥㥥㘲㤷㥡愶ㄱ愵攳㡣㍣㌷㘸愳戶㤱㜲ぢ挵㐲戱愱㝢㐱㈸㤲㌶戸㌸㘸戶搸㈹搷愵㡡㔸㈳㐶㘱ㅥ㌶搴㜶ㄸ散㈹戴㑣㐰㔵㤵㐸㉣㐹攴㐸搷捡慣㔸㥡捤戳攸摦挹敤扡ㄷづ搱㑣㔹搳㘵慤㉡㙢㌵㔹㌳㘴㡤换㕡㕤搶㤶㘵慤㈱㙢愶慣扤㈲㙢㉢㌴愷昳㈴攲㜱戹晤摣晦㠵㜷攸㜴晡晣摣摤慦晣改晥㡦攳ぢ〵〶㑦ㄳ㉥㤷愲㠶㥡㈶ㄲ㍢㐰㘴㠰㈲愳㡣晤㡤ㄴ㠱㌲㥦晦昲摣㔷㐷敥㉥捤㝣敦ㅢ㈷慣攴扤慢户㔳ㄹ㕡㌲㑦ㄶ捡捤昳㘰㥦摣㐹㠱㘵ㅥ晥㐴愰扥㘲㠷〷㍡挹晤㥡㡡搳㥥㜵っ扥ㄱ愳ㄶ㜹㐱捡㉥扡㑥挰㌷㠲㐹㍤搰攳昶愲敥㜱㈷㔰㘹搲戰㔸ㄵ戶戰㌲㉤挶㍡慢㤳敤ㅥ㐹挸㠸㘶㤷㤴㈱㌱㄰㑡㘲〴〷㤱㘸㐸ㄳ戱㐱戸㌰愳晢㡤㐰慦㕡晣㕣㥦攳挰㙥攴慢户〲搳昲㜳㈴戲攴戹捤㔵㔸㜴扦攴㈰摣㔵戸㔷散㌰ㄱ㠱㘲昸愶つ㕥㔴㡦搰㔷㔲㌰㔵㌰改㜰㌷挱搹收愵㡥㔳㠷㔴㥣㜴㙤摤㜴昶改㜰㔳㈷㐸攸换敤㔸㤸昴昴㜵㡡敢㙤搱愳戹ㄱ晣㝤㌴戰ㄱ慥搵挷敢㤷敢昹扣㌱㍥愲㡦改ち〲改㔱攳昲㈸慤㐹搹户㑤挷㜰搷㐵愰ㅥ戶㈹ち㐵昰㔵㕡慢㕣っ愵敡ㄵ摤㕢收ㄴ晣摥散攴搱㝡搱昵㍣㙥改〱㌷挴〰挰晥㜸敦愰㍦敤戹㌶挶㥦㉣攸㍥摦〶㠱攱㝡戸㔱挱㙤㍡㠶㝦㝡㌰戳ㅣ㤰攸㔳晤扣㙤㈱㍢㤶㤵〹ㄸ戹㉦㌴㍤搳扦㑣㌸晦挴㠶ㄹ戲㥦敡㘳ㄳ㌴扡搵摤戹搳ㅥ晦挲ㄶ㜷㠷㐶ㄳ㤴昱搶㌸昸㍢摥㌲㘴㠵㝡ㄱ㤰戹㍥㜷㠴㝡挳昶愲㔹㕢攱㕥㤹㈳㕦㜲㐳扣敡㌱戰㌸挵㘳㡤晢挳ぢ㌰㍤㘱戳昱㑣昷㘸㝤㙡㈳攰ㄴ捤〶改㑢㌹㉢㘸㔵㄰㐹㑦昴㑣〹昷㈴挶挹㥥攱㘹户搶昴ㄱ戵㥥㙢昵㜲㈶㡣㌵㥤昶㌴㙥戸〶㡦㐶攵㠸ㄴ㤵愲㜸㈴捡〵ㄱち攵㤱扥㐰ㄵ㠹〷戲晤㙥㠴敦昲ㅣ㐰晣搸㐳㉤敡㜵㉦慣ㅢ〴ㄹ㕢愵〴㍢搱ㅢ㉢戹㥢㘴㍤戲㤲挵ㄱ㐸㜲㍦愲㜴㈹扡敤㌵搸㘴㈰㥥㠶㙦搴㘵㌳昸㉤㘶㍦扢晢慢〸戱㕢㥥昱晦㥤㉣换㐷摡㙦㍦戵㐶㤸㍤愳㍢㠶挵扤て户ㄷ㌴㔲㑦㠲㥣〲㌹㑤㈴㈹㈹て〸摤㜶戵㈴㌲㈱摢㘰㉤㘵摤㌴㠲㐶慣挱捤攵㐶㐰㘳㔴慡㈵ㄲ㌰昳敦晥扤戹昹㠰㘰晥㔷昴㜹て搵㥦晡ㄴ挸ㄹ㈲挹㘴㔲ㄲ昸ㄹ㑢慡㔹搱㤷ㄸ㌲㤲挸敥挸愷㍢挱昵㉣愶愹ㅦ挲㘳㐸挶〰㌴昵㍣挸戳㈰捦ㄱ㐹㑡散昷昴ㅥ㜸㤷搹て㌶㌷㑦㔲攵㜸㙦㑢愳㘱捣扡㠰㔹㕤ㅡ攵愸ㅦ扢㐸㈴㕥攲づ愷ち㌱挹愲挰晤㐱㈶摣捡㔲戰㘰㜲捥搵㡤㘹扤㐶戵㘷扣㕤㜹㈶㡡慥扤㑡戹搳换㘰㘶㤱㈲㠷㈲㜲捤㌴戸㤷挰㐰㤹捡摣㈸ㄵ㥥㝥㑣攰㡥㑦㐹㌱㈲㈹捡㔰㘲搰㕥戳ㅤ㔹攷摡攷摢㕤㐶捦敥㤰晦晥换㔷㕥㐰㤹㥣㑣㡡㠲㘵㠴㥡㙡㥥㠸㠲㜳㝥攴㔸㍤㐸㡢㥥戰换つ㜷㝤㠶づ㥡晢㘱㘱攷ㄷ㍤㌳㌸扥㜳㤸㤲扣㙥㥦ㄴ攳㈵㡦ㄳ㍣㝢ㄵ㐲㈹昱㡥㔸㜱㙡㈰㐷㉣㍡㈵㐲愵ぢ㈴㠶敢㑢㈶㕦㐷㙡㜹㝡㈷㡢㉡搳㘲搳て㕣㔱㤳㥣搹挹㥦㜴攷摤㘰搲昴㔷㉤扤㜵㙥〰㍢攴摣㙥㜰㠷㤰搵㈳㠰晤愸㐹敥敡㉡㌷〶攸㔸㜶㥢㕥㡤捦㑥㍥づ搸㑣㈷ㄵ㍥㑣挰㌲㑢戰㤸捣攸搹ㅢ㉣㌰戸㡢昴挵愳㙦㤴晥晣敡㥤ㄷ㘲〴昶㡣㠲㠵挲㐵〱㔴散〵扥ㄱ愴改㥥愲攱ㄸ慥ㄸ㌷攸㕡㘶慥㕡扣愰㝢攴搸慥攷慢㜶愷ㄹ㍡㕥㔷戱ㅦ㐶换攳㘰㙣捡㠱㘱昶换敤㡥晥㕤㡡ぢㅦ㠴㌳〳㉦搸搱扥㌴㈵摥ㅢ搸戹挷戳㔲敥ㄳ捡㍤愲㈲㐰收昸ㅡ㑡㝥㑤㤳ㄲ㔰ぢて㔳㝥㑤愲〶敡〷攰㡦㍡戸ち㡡㔵挹ㄵ挷㕤㜷㠴收㡡㡦㑡㑣㐰㝤㍣㡥搷㐰ㄱ㉤㥥昱㡥摢㐸ち㜲换昰㈰㕢㠵ㄵ昳搶㕤㜵搶愰攴搵扥㥣愶㜰㌹慤㜸㕣摣㐰ㄳ愲㐳㈶㑣摢户㕤㙦愵敡扡㉢戸挷ㅣ㄰㍤扦挱㜹㠰摢攲㤰ㅤ㕥㜹搱㈶摦㡦㐴㝡㙥㠴㙤扢㠳㠹㝡㍤捣㐵攳搴㡡㑣㝢㌵搱㘳昷攸晤㜱㜹晢挱ㅦ扥昴收ㅢ㥦晤敤搴摢敦摤扦搸晡捤㌳摦㘵扦㙣㌳摥㕦搳搶摦晤搸晡㑢㕦㍦昰昱㍦晥昵㥦捡㥢ち搲摢㐳㤵ㄶ戸慣ㅣ慣㙦㘱㔷挵っ㉣㍥㔴て㕤〳敤㐴㥤搰㠸捡㍥㈳㕥慦㌴攸慤㈷搳昵㤲㘷ㅡ㤶改㜰戸づㄵ搴戸㔹捦昱㘵㉡昱ㄶ㕤摣攲㕤㈷㕤慦㜸扡攳㈳搷㌸戵搶攱㥥㥥㠸ㄶ愵㕥㌰ㅤ㥦戶ㄱ㜸㠹昶挱㍡攰㥣㑥慥㘹㍢㈵㝤搵㝦ㅣ挲㠹晣愴昳㠴攰㈵㌳㔹㘶〹㌹戱挷㠸㤰㘲㔷㐹摥愱慥〸扣㤶㥤㕡㉣㔴愸ち㤴〵戲挹愳搸㉦〴㌴㤴㈶て㕦昲㐱搳㤴昸慤愴㕤㡢㐷〶㈵敤慤㥡ㄴ㤱愵㕥㈳挲戲㈰昴㔱㥦㙦㌷搰㘱㈸㜰㔰㘵昴愵敤㑦搲㤰㝡ㅤㄳ捥ㄳ〱ㄶ敦ち挸っ㌵て㐰㤹扤㑢㉥ち㈸愰戶挴搸捦愹㠵㘸ㅥ㄰㡤っㄵㄲ㈲㔲昸扣㡡〸〸扤晦ㅤ㥡㍦搰晢㝦摡㘶晣捣昹换捤昹捣攸搴㑦敥㥣晤昴改㘳㌷扦挶㔰㑡㈱〲㔸㙣㡡㘸戶挷攲愵㤹㔲㤶摢愶㡦㕦愵戲㜵㔱㈰つ㍡〰㠶㑡っ㠷愰㑥㐳㄰敡㌰㘱愷㔲扢㠱㑥〶㜵っ捡㥡搸っ㤱㐳挵㠲ㄶ挶㜹〷㉥㘲戳㌴㝣㠰㠶扢ち昴っ捡ㅥ慣㔱㕦〲㐱晥㘱攲㈴搰㥢㈳搲㜹㌲㌸ㄱ攰㥢㝡㠳㐸㍡㤲㠱昵挵㐲㙣愶㐲㜴〶㘷㈱㠶ㄶ㌱㠴愲㤳〹㙤搱敢㤱〵慤㠵慣㌲㌵搲ㄱ㠶扤㘱敡ㄸ㌹㥦㤴㥥戰慣㙣〷扥晣搸㉤っ昵晥㘴戶㐴㐳㘷改慡搵戴戸㌶慡搹㍣搰慤慣扢㐱㤵愳收昱㕡慢㐶㘰戰㥣摢戰㝣㥢扤摥㍥㤱㝦㍣ㄸ晢捦扦ㄶ摦㥡戹昳愳敡㕢敦晣昰敥ㅤ昶㕡㥢搱晦㈳㔶愶愳愶㠲户㝣㝥㄰ㄶ敦戸攳っ昷㕦㈸愷攸㠲搸㠲ㅤ㈲㔴扥㉡〲㘱愲昲戵扤挹敡攴㐳㠴㠸昲㝤搲晡㝦㤰〳ㅦ改㑤㘷㑦搳㠸晡ㄹ㈲っ㈷㈶㥣ㅤ㈷愰挲收㉡慣捣扥戳㥢〵扦摤㘶昴晦㠰挷㜰愴㌰ㅥ晢ㄶ捤㠰挶㘲ㄳ㥤㐶ㄴ散搴㥦㌷㔱收㑦挳㔸㝤㤷愵愱㈱㘴挹昲㌷摦㝥昱㠳戱捦㑤㌰慣挷昲捥挰搰㝦〱㉦㜲㉢㔲</t>
  </si>
  <si>
    <t>㜸〱敤㝣㜹㜸㕣挵㤵㙦㔷㑢㝤愵㙡㑢㔶㝢挱㉣㌶㈰㠲ㅤ挰㌶愲㕢敡㤶扡〱㘳挹昲㈶昰㠶㘵㌰扣㤰㠸㕥敥戵ㅢ昷㘲扡㕢戶挵㘳挰㈴扣昹㐲摥㈴〱挲㤰挱㤳っ㑣㐸挸〳戳㝥捣扣㑣㌲㐹㠰挰㘴ㄲ㍥㘶㈱㠱㙣㤳㤷〷㑣㈶㠱㌱〴ㄳ㈶敢㄰㜸扦摦戹昷戶㙥㉦㤲㤷㤰敦昹㡦戹㔲㥦㍥㜵敡搴㜶敡㔴搵愹㔳㜵摢愷㝣㍥摦㍢㜸昸捤愷㤵挸㠲搱㠹㜲挵捣昷っㄷ㜳㌹㌳㕤挹ㄶぢ攵㥥愱㔲㈹㌹戱㉥㕢慥戴㠰挱ㄸ换㈲扥ㅣㄸ㉢㘷慦㌱摢挷㜶㤹愵㌲㤸〲㍥㕦㝢扢昶㈳扥摤昹㠴摣㠰㘶㉡摤㑡〰㉥㥦㌶〸摡〸挸慡㌵㐱㄰愰㘳〶挰㤶攱ㄵㅢ㔳㔷愱攰搱㑡戱㘴㉥敤扥搴捥㝥㔹㈴搲ㄳ改㠹づ㐴晡㝢挲㑢扢㠷挷㜳㤵昱㤲戹慣㘰㡥㔷㑡挹摣搲敥㑤攳愹㕣㌶㝤㤱㌹戱愵戸挳㉣㉣㌳㔳攱扥㔴㌲ㅡ㡦㐴㘳㌱㉢㤱㠸㜷㜴㈰攷つ挳㉢㌶㤵㑣慢晣㙥攵搹挹㍣㌷づ慦攸搹㘰㔶摥慤㍣㘷㈲㑦㘴戹戲㤸㑦㘶ぢ敦㔲愶〱㡡㍦戶搲㑣㘷搹㑦愶㔹捡ㄶ戶昵愰摡㌵㠲㐶㘸愰㘷愸㕣ㅥ捦敦㘴㤷て㥢戹摣㘶搳㤲晥挹慦㉣㔷㌶㈵㑢昹㜲㐷㥥昲㌳㑢㘶㈱㙤㤶㘷收㔷敤㐹㥢㌹㠷戱摣㥥扦㌴㔹摡㤰捣㥢慤㐴扡昲㜶ㅦ㡥㘴捣㐲㈵㕢㤹攸捣㕦㔲㌶㌷㈷ぢ摢㑣戲〴昲㙢挶戳ㄹ搵摡㡡㝦㕦换ㄹ捤㙡㈶ㅤ㠵晡攴㠷户㈷㑢ㄵ〹戱ぢ㈳捤㜸㍤敡㈲慤愸愹ㄷ㔵慡扢㉥ㄵ晢㙣㌴㥢扦挸㉣ㄵ捣ㅣぢ㘱㑦㉥愹㘳ㄲ〱搹晤㔰㤵㤴摢ㅣ昶㤲㥡攱㡣ㄳ戶㠵愵ㄸ㕤〰㘷慦㉢㙥摢㔰㉣攵愱㤳㙢捣攲㝡㌳㔹㔸ㄶ㈳㌶㕡挹慣㌴㜷㉤㠳づ挷㤶慥㉢愶㤳㤴昱戲戰づ㈱㠹㥥挵挴戳〱收收戲㤶㔹挹收捤敥慦㝤愱㍢㕦捣㡣攷捣敥㠸㥥㐳㥥戹〰慡昵〰挶㙡㝤戱晥戱愴㝦㉣攵ㅦ㑢晢挷㌲晥㌱搳㍦㘶昹挷戶昹挷戶晢挷戲晥戱慢晣㘳㍢㤰搲㝤摡摢摡晣捥昳昰㐷晥慤晣㝣晥㌷敢昷扦晣捤〷搷捥晡晥㐷ㄴ㠷愷㡣敥㜹㐰捥㙦㙣㐶愴㝦㈰摡搳ㅦ敤㑦挴㝡㝢ㄳ攱晥㘸㙤慢㈲摥㔶ㅤ㡦ㅣ昴〹〰挶㠹〰敦摤㔹捡收㤳愵㠹㙥戳㘰㤶戶㑤㜴愷㌱愱㌸㕡㔶搳捥㤳㤸㙡㍥㠰㔲㍦㐶㍢搹搶换㑦晣搶户敥㔹昱昶挸挷扡㕡敦摣㝤㝥㜰㙥㠰搳㐷㕦戳㡥慡搷㠱搵㤸㍢搲挹㜲挵㔱㑦㑥㌶敦慥昶ㅥ㕡㜹㔷㤷搲㝦㜸攵㐵㈱敦㡡昲敡㤳㈹晤㔳〰㡣㔳〱收っ㙦散敤㌶昳搹㌲㘷㡣㙥㉢㤹挶㕣慣扢挹㜲ㅡ㠰㔲㍦㜲㍡攸慢㠵㥦㙥摥㄰敡㕤昵㠵ㅢ㑦扦㝣晥㜱㥢㙦㔳㥣摡㐵㡢㑥〷戲挰ㄹ〹㌲っ㈲〳攱昰㔲㘷ㄸ挴攲㍤〹扤㤰搹㉤〲㌰摥ぢ㌰㙦愴㔰㉥收㘴㕣搴㘸挵ㄹ攴㍡ㄳ㐰愹敦㍡㠵戶摤㝤戱㕡㌹晥戳搵㝦晣挲搶攳㝦昵摢㜳㙥㔲散㕤㔹㔸ㄶ㤳㜹〹㠰戱ㄴ愰㜵搵愶ㄵ㕢昴搹愴昵〰㈸昵慣㤳挱慢扢挶㜶㝦㙤搱敥ぢ㙦㥦戹昸晦扣昶慢挰愳㡡搳㥣搴㍡っ㈴摣愸晢攱㥥㠱摡㔱摣摢攷搵昷〸㡢攸〵㌰晡〰㑥摥㘹㤶㉣㑥〱㤸㈵扢㑢㙣㔱㑤㠳愲㘴㡥〱㈸昵戴㔳㥦摣昵㔷㍤昷攵㥦㥣㌸昴搷㜷㝣晡㤳て摤㜰㐲㔰㜱㐵㤴晡っ〰戹愰戱㍥㠹㔸㑦㉣ㅣ㡤昶昷挵㈲搱㐴㕦慣㉦ㅥ㤹㘶㌴挶㔹㘰〲挰㌸ㄷ愰㡢㍤敢㥤㕥捥㘳昴昹〰㑡㍤改搴攷愶㜳㥥㕤晥收捦摥ㄸ扣扤攵散ㅦ敥㥣昸昱㘲挵挵㔹敡㜳〱㤰摥挶晡㠴㝢㈲㤱晥㜸㑤ㅤ挲㌵昳摣㜲ㄶ㌲〸㘰っ〱㥣散捣㙤愶㘵㘵搳㔹慣㈶ㄳ㌵㌵㕡㐱收㘱〰愵扥散搴㈸晡搴ㅤ攷摤扦晦挲搵㥦㜸㌳㄰㍦㘷昶ㄵ慤ㅤ慢㄰㝤戱㌳〱慦㉣㈵㜷㘳㐹㥢㕣㉤㝢㝢挲晣㍢戴㤹〰㉢挱㡡㔹〳㔶㈴㤲㠹㠵㤳㝤挹〰攷攳挳㕤㡦挸摢㘱㙤捤ㄶ㌲挵摤戲㐰㉤㔸㤱㉣㥢㤳㐳㝥㠹ㄳ户愲㌸㕥挸㤴攷㌷㡦ㅣ慤㈴㉢收㐹昵㜱㤳㤹㌴㈴ㅢ挵昲㙤㤶愵扣㔳敡㤳㕤㥡捣㡤㥢㐳㝢戲㜶昴挹㜵搱㔸扣㡢愹愹㘳㔷㤷捣慢慢戱つ㌵ㅡ㠲㈱戸㑢昲㙥㘸愵ㅤ㘵搷慢㝢㜸㝢戱㙣ㄶ愴㝡㑢昲㥢戲改ㅤ㘶㘹搴愴ㄹ㘹㘶愴愹挷㌱捡戱㈰㤶㙣㉣愰愱戰〹㌲敦昱㔲慤㔵㝢㉡㘶㈱㘳㘶㔰㕦っ愵捡挴㤶㘴㉡㘷捥慢㘱戱换㐴挴㠹㌵攴搵挵昴㜸㜹戸㔸愸㤴㡡戹摡㤸愱捣㉥㡥挷捣晡㘲挶㠴搱搱捡挷愷㝣㉤㉤㑡昹ㄶ㌷㕢㔰㤸㙦戹㐷㍡挲搳挵戴㐱㑥愸㔵扢㥥捤㘸ㅤ㕡㤱㌳愹㤳晥㠵㠷挸㑣昲㘵㌶㘷㑤捤攸㘹ㄳ㙤㙥㜲㥦㌹㌵户搴戱摡㜳㝦㔸㘶扦㝦㡥搳晡㔵扢㘰搹慤㑤ㄶ㌲㌹戳㌴敤㡥㐱戱㐶㝡㌵㐰攰㡢ㄸ捤㔳㑡㡦昶㠷摡愳㈶〲扢戳㤹捡㜶㘳扢㤹摤戶扤〲ㅡ㜶ㄵ敤敤ㄴ㙤挳愳搷㠲愴㐷〸㉥〴〸〶㝤挶㐵㘴㌲㠲㝡㥤ㅤづ搰戴㍡㜲㥢㤱晢ㄶ㉤㌶㉡㌶ㄴ攵㐰ㅥ挶㐴戹愵愵㔹㉢搷㈶换摢㉢㔴捦㘹㈳㘷㌰扦昵〴ㅢ〰〲㌴攸づ㘹㤲搲㤸㙣愵攵摤㤹㕦㘹㕡㐹散㜷㘴㜴慢㘴㈰㙦㥢搰㉢捤㜲㕡搳搶ㅥ挱㔸搹㘳〰挳攰敦挸㔳晢捤㍤㤵㤵挹㑡戲㉤て慢ㅤ扤愴挱戴㐴㔲搹ㄸ㔳㜶ち捤㑤ㅤ㜴㐲挸㈱㈴愸㈷㤷ㄹ㐲戰㜳挲挰挱㜸昱戵㌸㜰晡㐶戰敥㘸㠴㔱慦攸戵搶㌷㌶〵㤹㌵㘶㘱换挴㑥戳㑣昶㜶㘳㕡㔱搶て㉦㘶戶㌱㥤扡愴㤲捤㤵㝢㔰搳㌵愵攲昸捥㜷㌳ㅦ收愵㌷〲戸㑦攰㘱㘸昱攱户㠹㍢敡戶㕤散㥢戱㌱㕦㍢㜳㈳㐵搳摣搷搴㔶㘴昶づ扥攴搱愳昸ち㑥ㄷㄷ攰㍥攰㐸㜶㉡㌴㡢㍡昲㤰搰㤶㤲㈹㝢慦㜶〹㐰摡㥤昹慤挵搲㡥㔴戱戸㠳晡㌴㔳㐲攵敤愶㔹㤱晤㡣戳㝦㤳㝤㥡㔲㉤㉤㌵扢づ捦挶㠷㍢㈱㘳㉢㐰攷㔰㉥搷敤收㔸㌶㉥〳愹〵㍢㉢攳㜲㈰愷㘳搶挵㕥㘶慣㜷㉣㙦㔶㤲戹敥攲㥥㙣挶ㅣ㠳㠱㍥㤱捥㜱㉦扡㈷㔷捥慢㝢㈰〸摡晣昷㝦敦㠶㐷ㅦ㝣摦户㔶㝤改㤵㝦㍣㘷攲搹昷摣慤㍥攷㐴㌴散㔸戸捤㤰つ搴ㄵ㐰搴摤㘰攳〴〳扣昶搱ㅦ㐰㔸㡦ㄱ㕣〹㠰㘹㐲〴㡦㔹㈲㘵〷ㄵ户㉡㥣㈹㜴㥡㈰〳愰戸ㄹ㤱㡤㤷〹挴㝤搴㍥攴捦敥㤷㉥攴摥愶戱ぢ戳愰〶昵㌴㜱㡡㕢ㅣ㜶愳愶搸㌴〵愵㈹㈴㜵㌳㌲㙥㉡㠰㡦㍢ㄱつ扢㈱摡散搳㔸㉢㌵ㅢ㄰㤶㔸㘳慤㜴㔸慢戳戹㡡㔹㤲〵愹换挲㤷敤ㅦ㤰㜰㈷ㄷ攱ㄲ捣㝥〹捤戵㠶戱づ挳㈱㔱㤹㤸戴㑣ㅡ散〰㝢㤹晣㉦㙢攷㤸戳㜶挴搶愹戱㜸愶戱㈶愰㌴㜵昶捥昴捣ㅥ㈵攲㐲摦㜴㙥ㄲ㈵敡㐱捥戵㑡㐶晥晡㠹㔴扣㉥㔵㝥慦ㄲ㤲㍢㍣戵ㄵ㐴㘵㙦㔴㔲㈶㥡搲攲昸㉦㝢慤㤹㠷搷戶搷㑡㄰㥣㉥ㄳ搰〶搳攳〴扢〰搴㑤㤸㡣㌸捤晥攷㕢敦扣㜳〶っ愵愷昰昹戱捣㠷㝢挸㌳㐱㜰つ〰慤戱晦㡥敦づ㜴っ户ㄶ攳摣收㘱捥扤ㄶ㌴攳㡦挸㈰㔳㐹㌷ㄷ晥愰㔲昴㍣挸ㄴ㝣ㅤ㄰㝤㍤㐰挷㕥㠰つ㙢捤ㅣ昶〰敦㤶换㌶搰㡤㍣愷户㕡㔰㕤慥捤昳昲愳ㄳ㠵昴昶㔲戱〰ㅦ㌷㡤愹愱㌴㝣㥥㘵㤵㌴昲敢㡡挳攳ㄵ㈳扦㌶㡢慦㡥晣㘶㜳愷㤹慣っ㘳㡦〷㑢㙤ㅤ㍣㑥㘲㠷㡤㘴昶晣晦戴搳㝣㌴愶戱㝤㥥㌴搵㔴晤㈸戶㉤㈶㐷扣㍤㉢㡢昰㥦㥢攲攵摦㡢㤴㠶〱㥢晢ㄸ㌴挴㝣晡〶搴敥捥㌷敥㍢㙦搱愷ㅦ㝡挷昹扥ㅥ摡㈸㡦㍥ㄵ㤱㡤㉢昲㡤愰〶愷㡢㔳愷㠱愳扡㈲ㅢ㌷㈱搴〲㌵戰㔷攵㜱㘴摤㜴㔵慥㌸ㄱつ㉥戰㠵㐸㉦㘶挹㐷㠱愸ㄲ搸㥡㥢㈵ㅦ㐷戴扥㤹攰ㄶ〰㡦㔹昲〹㍢愸ㄶ攱㕢挶挴㙤㘴晡㔳〰㐵㙦㤸㤸㈵户〳㜱ㅦ㤵㐵ㄹ㔵戳㠴捥戴㐶㈱散〳㌵愸愷㠹㔳昴戱㔵㠵攰㌱㑢挶㥣㜶㌶搸㘵ㅦ㜰㈲ㅡ摣㜱昴挲㠹㍢昱㙥㔶攵戳〴㥦㈳戸㠷攰昳〰敡㌲㈴愵㔰㝥㡤㐹攴㈰〸㤳㤳挸扤攴戹㡦㘰㍦㠰㐷㈸て㤰㈶昳㠶㔲㑢㠰㡢㘰ㅥ㈲昱㘱〰㜵㌶㐰㌷㍥㍥晤〸挰㤴ㅡ戲㤴ㅣつ㘶昷㕦㠱ㅡ搴搳挴㈹晡て㈷㠵㐳つ戱戵㘳搵㔴挲㔹改㐴㌴戸ㅡ㈳㐸㉢摡昱ㄵ㈰㙡㠵㈳〸攰戵㡦㝥っ㘱晤㌸挱ㄳ〰ㅥ㐱㍣㘹〷ㄵ晤㡤㈲㠴愷挸昴㜷〰㉡ち㈰摡昱㜵㈰敥愳ㄲ㈸愳慡ㅤ㝤㈰㌷ち攰㘹㔰㠳㝡㥡㌸㐵㠷攵愴〰㈶㡤搶㜳愶ㄲ㐰㡦ㄳ搱攰摢㡣㈳㈷ㄱ挰户㠱愸愵㔳ち攰㜹㐴敢敦㄰㝣ㄷ挰㈳㠰敦摢㐱㤵挰户〸攰〷㘴晡ㄷ〰㐵㕦愶〸攰㠷㐰摣㐷㥤敥ㄵ挰戹㈰㌷ち攰〵㔰㠳㝡㥡㌸㐵て㘹㌳〱㥣㌸㤵〰㑥㜰㈲ㅡ㥣愹换㤱㤳〸攰ㄵ㈰㙡摥㤴〲㌸㠰㘸晤㉡挱㙢〰ㅥ〱扣㙥〷搵㈰扥㐵〰〷㠱攸㌷〰搴ち〰ㄱ挰捦㠱戸㡦敡昴ち㘰〸攴㐶〱晣ㄲ搴愰㥥㈶㑥つ㠳愳㤹〰㕡愶ㄲ㠰摦㠹愸昷摤〶㔶㈳愷㈳昰戹捤㘰㠵慤㑢戳收㙥摡ち㌳㉤㥣㈴づ㡦㤷㉢㐵昱㘸㜴㕡㉢㡢ㅢ㡡㤵㤵搹昲捥㕣㜲㘲㡥攵㈰㕢户㥢〵昸ㅢ㑢㜰㍢搶搱㡡㍢㜷㥡ㄹ㙤㡤ㄶ挷㑢㘹㜳㘴攵戱攰㡦㐴晢搰㜵攲㡡昴㉢㍣㐷攷㘲挳㜲慦愰㈵㜸㝣〱㍡挶敡㍤㈵ㅥ换㝡㜲ㄳ㐷㍤散㥡㤴攸㤶㙣㈵㘷捥戰㈴㕥昰㜶ぢ㔲㠴ㄳ㌷搳㘶㙤搹づて挲捡㑥㙢㑤㈹㥢挱慥摤㘴㘷㘰㘳挸攳搹㜵收㌶㌸㙣㌷ㄵ换㔹ㅥ㙢㜶㕡㕢㑡挹㐲㜹㈷㝤㑦改㠹搹㌵㈱㌱㡥〲搶㡡㙣愱㡣㘲愴ㄷ㠹㜷㔹愳摢㡢扢㜱攱㘰㍣㕦㔸㤳摣㔹㍥㈶㝡㐵戱㕢攴㤱慥㔱㝥攵昷慢㜶㝦晢搱昶㡦昱づ㌲㥢㠷挳㤳㠲㥣て㜷㐳㔵㉢愵㙣㙡㥣㌲㤳㘲㌸愳户ㄲ㐸㌷晡〲㈳挰愶搹ㅦ㜱㤷攴㜸搲改㈵㘶㜵㙢㡥㌸㥢㍡㉣慢ㄷ㌹戸㌳搲昴㐵㜵搰㑣扣㜰捤㈵㈳㤳攷㈷扦搷㔵㡢挰㠵挸戹摥摡慣㔷扥慡扢晡㌸㌰捦戴戵㠸㌴㉡ㄵ〶㈷㤴㠱愱㝡捤っ㕡挲㐳㈵㥤㌹㠹慥㠶挷戳挳㕡㤷㑣㤹㌹㌸㙡昳挹捡㑣㍢挰扤㈲捥攱换㑥摣㜰㌱㥦㑦㔲敢愸戱愳改㘴捥㙣户㠶挶㉢挵昵搹㠲戶〰㐴㌵ㅤ㔲㜲て㐸挹㍤㐲敡戰㌶昳〰㐷㜰收㔵摣㤶㉣㘵㉢摢昳搹㜴㍢〳㍣㘴㌹㈶搴ㄵ㔳㐸㉢㠴改㍥敥㜴㔲扦摢戱敤㝥㜴㜷て戶昹ㄴㅤ扢ㅦ㑡敤㔷〶晥搴㔱晡昷㌱昹挸㥡愲㕢㤰㕢〰㕢㐲㤹㡤愴㉥〷摤摢㐵〷慦㐷㥣捣㑦㙡ㅤㄹ昰搱扣㜰㐴㠴㥦搶昵〰搳㍡㝦㜹捥ㅢ㕣㔷㑣㘶㔶挳㌳㔵㉣戵㌹㔷㠳摡搱戵㥣㙤㑡㈱扡攳㠷㜱挲㠳㤳愳㕤搹㡣㔹㙡㈷㘱ㄴ㍢戸㔶㍡昲つ扢て㘱摤户昸〲㠱ㄹ敤捤捡ㅡ㜱昳㕡攸㌸㌹扤户愰㐶ㅡ昲㝦昵攲昸㜲㑡㍤ㄸ㙣〱搴〱戴㐳ㅢ㙣ㄳㅤ晤㙣㑦ㅤ㐳ㅢㄹ摡〱〲ㅢㄱ㔹摦㌷戵㥥㜱昸捦㌵㤸㕡攵㔲つ㝤昶敤昰㙦㡢戳㍦㈰つ㤹攱㜱搲ㅢ戶㝦扥摤扤愹㘳㡣㐲换捤㑣搰㥥㘲戹㝦㤵㙥昶户愲慢㡤㝡㤷㘱㐳戱挸㉣㍦㙡㡡昷㕥㜵愲ち㠶㐶㡤ㄷ㜰戰㈰晦戱愶㤷㔴敡㙤敡㘰㔰捦㐰㈲㕦㔰㡤〲扡㤲攰ㅥ㈳ㄸ㘴㌷敡づ㑡愲ㄳ㐰搱㝢㑢㤳挰戳㠰㈹扡㙣戹㠸昹㡣㤹㘰㌹㠲㐹㔳㡤㈱ㄱ㈷㑥摤挵扣慦〴挶昹愸慡㥦戳㐰㍤戴㝥愶㤸〲ㅦ㍤㥢㤹㌸〱㤵〶攲戶㠴㉡敥㜴晡ㅣ㌰攸戹㘴捣㌴㘷㌸㡥っ昳挸㘰㠲㠱ㅤ㙦ㅣ㡦㔰㡦㉢搰挳扣ㅦ搳㐴挴㈷㈲ㅢ㠸㌸敢㈹昷㉣㔲㙣ㄱ㥦挴㜲攷〳〴㑡㈰㑥㌳㈵㘳戳敢昱昹㠹㑢摦扡愴㤰慤㘰戶㘴ㅤ㔷㘷㉢攸昷づぢ〰愸㌸攷㑥㤲㔹搴㤳㘸㐹搵㐰㍢戵㌱慡挶㘲㍢愵㌱摥㙢挲㉤㙣ㄲ㙤ㅢ㜷ㅥ㥢敥㔰㑣㘲攴㌵愹攳戱㘴昵㈹摢㐹攳ㄸ㝥㙡搱搴慥㑤㡦摣戹㙡晦ㅥ㌶愲戱〰摡搰戱慤ㅢ㜷㐰捥㌶慦㍥㘷挷搶敤㍥㝤㌲㜵㐸攱て㐳昶ㄴ攰戴ㅦ换㠷搴ㄷ㡦摢㤷昶㜹㤰㌶愴㑤敢㜴捥ㄵ㜰㥦〷㔳㜰搰〹㘱㠱㥤改愰ㅢ挷㉢㌵㌱挹㍤㜳㥣ㄸㅣ㈱㙤㉣挰㉣㑡㈷㑢㤹㘳㘴㑤㐵摢㙣敢㑦㤶挷愳戴捣㤱〹ㅦ捦㑡㠸扤搶愹㡥慣㉢㠸㌹ㄲ慦㜹ㄷ昸㍢㈹敥慡㌳扤㥤㈱摥戱㤲㕥戰慦㔸挹㌶㘹㤳㠹㍤づ敥㕦收捣㌹㤲愰ㅡ㤴昵㐳㕢㐳㈹㕣戹ㅡ慦搰㤸㜲㌰ㄹ昵摡摡㙣昲㈶搶㉥ㄳ戶㡦㠳㙤㑡㔷㜰㐶㔴捤㠰㜷㌹㡥㥤ㅥ㠲㐴㕡㥤㕥㔲搲㑦挶㌴㤳㕤㙤㈳㌸愰㡥戲㔷搱㝦㤶㍣㍦㕢慥昶摤挱攷摥攵㍥ㄷ㜱㌶㘲攳挸㝥ㅡㄳㅥㄳ慦昷㠸㠳㈳㘹㡥㝢昲㘶㑦㜷㌲㤳㜵戸㌴摡昹㥤摣㤲㤵㉡㌸㌷攵摤挶㉥づ㥤ㅣっ愱㑡ㄶ㈶㙤㙥㘲愶㌵㔲㐸攷挶㌳愶搸挳敥〴㉥㘶昱㌱搱㕦㜲挳摣敥慢㘹攴攲〸㘵〴搷捣摤ぢ㌰㐷扦㉦搶摤攸㈹戱㑥㤱㐷㔰扦挷ㄹ㜷㍣捤㌸攲昳愴㈰ㄲ捤㥥㍣つ㤵ㅢ捤㤸摡ㅡ㐸㥣搳㜸ㄸ㔰㍤㤲㤲ㄱ攷㘱㕢㔷挴㉤㘰散慢㍤愴戵㔹㥢㜴㑣昴ㄳ摡㘹㑦㝣㠶㠱㕤挱搱㡤㤰戱敦扦晥摡㙦昷㙦ㅥ㝣攴挰换愷敤戸㜳挷愰㍢㕡戸挶㘰㤵㔱㍣㌰愲㤱愷㡣搳搱㈷㜳搶慣㕤㔳㝦攵㤴戵昰㜱㐷摣㌲戹㉤㔶㍣㘲ㄲぢ㙦㈱㔲愹㙢㄰戲㉤㍣㥦收敡愶摦ぢ㜰㘸ぢ㡦挷㔰㘰昴改㌳㤸㠹ㄳ㔰㍣㝣㜲㉤㍣愰愸愷㤸昵㘷㠲㐱㥦㐵挶敢㥢㌳㉣㈶挳ㄲ㠰挰つ㘰愸㥦㝣愶㍣㙡㘱收㠱㍣慤昳昶㍣㜷㈹ㄸ扡〶㉥昰攰㈸〹㈶戲㌱愳㝤㉦攲昵㔲㘴晢て捦㍣戳っ戸㑦摤〸攰㔶㤰㐷㘶㡥愵㜷㌶换敦〱㔰ㅦ〵戱摥㤸晥㌸㘸戶㌱㝤づ㔸收搸㤷㜲て改㝥㔰㌷㈳㤹挸㌹捣㡣㙦㐱愸挶㤲敥〵昵搰㜲晥〴㤲㠱搱愷晢㤸㠹ㄳ㔰户〱㜱㥢攱戱愴愳㘰搰㌱㌲晥㘹㜳㠶㝥㌲っ㤰㠱攷ㅦ㘲㐹挷ㄱ㍡挵戵愴愷戸㐳摣挴㜲㍥ㄷ挹㘰㌹敦昳㤴㜳〶㈹戶攵㝣ㅥ换㌹㥦攵摣つ㈲慤㘷㘳ㄹ㐲慤ㄳ㘶戲攴搳ㄷ㌰慤㘳㌱㉤〷㑥㕤晥㉣㐸戴㥡摣愷㜶慤ㅦ㜴戸㜸っ挲昵㥥㤲㜰㐷挳㔴㙢㠷扡〷㝣㕣㍦㝣㝡〸散㤳ㄳ搸戰㤳搹攷ㄱ挵㐹散㙦㙦晣搱挲敢晣㉦㉤㝦敢㝢搷摦扦戶晢㔷换摤㡣㔹㌱㔶敤㕥昰㐸昷换〹〷〲㡤㐳敡㍥搰愴慢㔷㈱㙦戵ㅦ㈱㜷㐸戱搹㝡つ挰愱扢晡〱㈴〳愳㑦慦㘵㈶㑥㐰㍤〴挴敤㙡愰愸㤳っ愹ㄱ㌰攸ぢ挹昸㜰㜳㠶㡢挸戰㡥っ㡦㠰攱〶㝣昴㝡㠴慡㈳攱慦㍣挹ㄶ〰㜷㝡㙥〳㤳㙤㘴㌲㥥慦搴㡦㠴挷㐰戳㐷挲㈶戰ㅣ挹戶昲㜱愴ㄴ〹㕤捣扣㥦㐰愸㘶㌰㡣㠲㝡㘸〹㍤㠹㘴㘰昴改㉤捣挴〹愸愷㠰戸ㄲ昲っ㠶㑢挰愰㉦㈵㈳捦㜶㥡㌰㙣㈵挳㘵㘴昸㍡ㄸ㘴㌰㕣㡥搰㈲㜷㌰攰摣㝣㥡㙢攸㑤挶挴晢㤰ㅡ㘳攲㘹㑦㜱㘷㤲㘲㡦㠹㉢㔸摣晢㔹摣户㐱慣㤷散昳愰搹㤲晤〰㔸㡥㐴戲摦㐱㑡㤱散ㄸ昳收㔹㑦㡤㘴㤳愰ㅥ㕡戲㍣ㄳ〲愳㑦愷㤸㠹ㄳ㔰㍦〰搲㐴㜰㘹㌰攸っㄹ㜹㘸搴㠴挱㈴㠳㐵㠶ㅦ㠲㐱㈴扢つ愱攳㕤挹搶㕦愱㙦㈲换㉣昸㈱换ㄷ㍣〵㜸㘴㜹ㄵぢ搸挱〲㕥〱㐳扤㉣て㠰㘶换㌲〷㤶㈳㤱攵慢㐸㈹戲捣㌳敦搷㄰慡㤱㘵ㄱ搴㐳换昲㜵㈴〳愳㑦敦㘴㈶㑥㐰昱㡣愹㠹愸慥〶㠳㉥㤱㤱攷㑦㑤ㄸ捡㘴愰㜳㕡晤ㅣっ㈲换㜱㠴慡㕡㍡晤慢〰㑤㈴扢ㅢ愹㈱搹㕦㝡㡡㍢㡢ㄴ㕢㑢昷戰戸〹ㄶ挷慡㤳㔵㕦攳㈰戲摡搲㍦㔹敦㜶㙢㜰㠹戶㌲㍦㡢捥搱搱捡㐴づづ㘹愲㜴挳搹ㄸ㤷㙡㍢ㅡ捥挱㘲〹㈶㙤㙢晤ㅤ愳㙡摡㔵挸㙡挶摣扡ㅢ攳㤲㡣㌱㜴捡〵晥挷摢㡤户愲慢改搹㠲挹敢愳㑣挳挷戸ㄶ昴戹敢戳改㔲戱㕣戴㉡摤愳㌸㙦改收つ㝣ぢ㌶敤㔰攰㐳挸戱㘹㤹㙣㔸㙢㠱㙦攰敤攲㡤搴攰㡥㐲㜱㜷㐱㙡ㄳ㈸昳㐵〴㤶愶摢摡㔸㑣㄰ㅦ㜹㑥㠷ㄴ㐳㘸愳戸㉢昴㜵㐰㍡㕢㐲㜴㜴㜲慥㌲攸搳㕤㌴扣㘲㜸昳㔸㉦摥愴㠸挴㘳㝤扤㠹㘴㝦㌴ㄵ敤㑤挵㔳㤹扥㐸戸㌷ㅤ敢㡤愷ㄳ㝤晤挶摥㉡㙢㝦㉣搵㤷戰愲㜸㌷㌳㤶㡡㠶ㄳ改㔴㝦挲㌲攳㘶敦㐰㘴㈰㤶㠹昴昶㠵攸㐲㘵昶晡〶㈰晡㠳〰愱㌶㤷昴㈱㤲㙥㈴㠹㝥㔴攱㈲㠳戰〶攸㜳㍣㕣昷㈶㠵愱㔲㉡慤㌲捡㙣㙤㙢㙢昰挰㌴戸㐵㜹㌸㈱㜷㤴つ愳ㄳ㘹〳ㄳ㄰㜳扤摢愶㜹㈲搴捡搳㡢㑣捣挲昵㠷㔹敦㥢〰㠲㈱扡㐳㐹㌳㍥〲㘴昶昰㡡㌱摣㥤㜵㙦搳㔲昳㡣晦〹㝡〷攸戲㤱搸㡣㜷ㄳ㡣㍦〱㘵㈶㈸㥥㜳㈰攳愳愰捤〲慤昶敤换㔰㈷挸㔲攲攵㉣㜶ㄶ〱㑦晥昴㉤愰㉢㜱㤴㌲㜴㉢㐳㐰㌸㔰ㄴㅤ愵ㅣ㉣㉡㡦㔶㔲㐵㐱昴㘹敡ㅤ㔵㑣敤〰㠵㙡㔶慢㈶㜴㤷㑡㌹户〳㠱㥡搰㌵㉡㙡昲㐹㈰戶㥡愴㘲㤱㔴挲㠲㜶㘴慣摥㘸戸㉦ㄲ㑦㠷㔳愹扥㈸摥ㅦ㡡㤸㤱㜴㈲㙥晣㔹㤵㌵㌱㄰㡤㥢㜱慢㉦㥥㌰捤㘸挴㡡㈶㈲晤晤㘶㌸ㅥ㑤㈵搲㘶㈴ㄳ㑦㠴攸㜴ㄵ〵戸〳㠸摥〷㄰愲慦㔵㐸㝦㑥搲愷㐸愲攷㔵㐸㘴搰㘴㔵㈷〲㔰㔵㔴ㄲ㑤㘰㌷㑡愵敦㘲晣㕦〲〴㐳㈷〱ち㡤摤愱㈹㝢㑤㜱㙢捡㌷㐴㤷敡愴㌴㑦愰㕣㜸ㄵ㔹摦ぢ㝡㠰敥戴㝡愵昰㥣㝥㜹㝣㜹㜴㠳㠷㍣づ㔶㔱慦㔹搶挵攳挹ㅣ摥㤸摤㠸㡤㝤㠵愴㘳㘱㍢搸㙡扢㔷づ㌹戲愴〹敦㝢㍦ㄵ扣㕥〶戵〳挳㘹㥢㡣愶愳摢㕣〶〳㤷愲摦づ慦ㄴ㜴㐹摤昰愳㡡〷昵㝥㐴搰㐲愶摢㤳㍣晡㝥㐲攷㔱㜴搰㌵㔰〳摤㈰ㅤ扥攷㠲改攷㘰㠲㜵㕥愴攷㘱攱㤲ㅣ㥣㌸㠷㜱㌶晢〰㡢愷戳㠲㜹搴搶㙣愱㑢㝤挸㐱愸㝥㡡ㅢ㕦ㄹ戱㥢㈰ㄸ㜷挴ㅡ㡦㠰㍡攵㑡愱㌶㠰戵㜱ㄸ㥦㠱㌴愲攰㡦〲挱㌰收晥㤷㑦攸㉣ㄷ㔹散㈲㑢ㅣ愴㙢㈹㄰㑥〶㠶㜰扥㡢㈰㜴㌶㜲㘶㝦搹㈳㔰挶愲っ㐳敥㜷㠵㝥㌲㈳戹ㅢ搶㕦〴㐹挹㜶㤵愱㉦㌱〴㐴收㌳㙥㔷㐵㍡慢㍣搲㤹㥣捦㠶㥢ち愲て㠹㐴㄰㕦〵〲㐱㜰㠳㉡昳搹㘳㐰散昹慣慦㉦㘶㘵㈲昱㘸㌸ㄹ㡢㐷晢㌲攱㐴慡户㍦ㄵ敦挵ㅣ㤵敡㌷㘳挹㠸昱㜸㤵戵ㅦ敢㘲㍡㙣㘲昲敢㡢㐷捤扥㘸㙡㘰㈰㡤㤷慡㘳㤱㠱晥㘴㝦愶㌷ㄲ攲搶㔷㘶慡㈷㠰攸慦〱㠴戸攳ㄵ搲㤳㈴㍤㐵ㄲ昷扦㐲㈲㠳㈶慢㍡ㄷ㘰〶㤱〴㥡挱昹㑣攴昲つ挶㝦ㄳ㈰ㄸ攲㠶㜶捡昹散㝣㌷㔲㔶㠷㐵ㄴ摤㐲㠲㘷㐱㔷ㄷ〰㜰㑥ぢ慡ㅥ攴换㌱挷扣㠳晡摢愴㘱散㉣㈷ㄳ戹㙢挶捥㘰㔳敡㄰愸摤昸攸攷ㄹ㍤摣㤴㐷㜶愰捣敦扢㑥昴㙣〴搴ㅡ〴愴昷捥㐴〵㕣摤搶搴㙤㔹㡤摥ぢ㙡愳ㅡ慦㐵戴㌴晡㕦㠰愰昷㐶㠴ㅤㄲ扣搰㐵㉥㜲㤱㜵づ搲戵ㅥ挸ㅦ㐶㡤戹㌳㤵㙥昹ㄳ㈰昶㤲㈲㙡捣捤慡搰ㄷ戳搵㑢〸㕥〴㐹㕤㑣挰搰㑢づ㐲㈶㌵㡡㠰〸攲㘴慦㈰慡换昲晣愶㠲攰㜶㔳〴昱ㄳ㈰㄰挴㈵昸ㄲ㌵晥㈹㄰㕢㡤挳扤收㐰戴慦㉦ㄲ敢て㠷愳㘶㘲㈰摥㤷㠸㔸扤㤹扥㜴㌴㤶戶㔲晤㈹攳攵㉡㙢㈶〶戲㌵㄰敢㌷㤳㠸敤㌵㔳昱晥㘴摣㑡挵〶慣昰〰捤扡㄰㌷慤愲愰慦〰搱晦づ㄰摡敡㤲づ㤰昴㉡㐹摣戹ちㄷㄹ㌴㔹搵晢〰㐴㡤㘷愱ㄹ搵㘵昹㈰攳摦〰〸㠶慥〰㥣㔲㡤戹㌷㤵㐸㔱㘳㍡っ㜵㠴攰㌷愰慢㌱〲㠶㝥敢㈰㈲捤㈴〲㈲捤㐰㔳㘹戶㌴㤵㘶ち㠹愴㥣户㠱㐰㥡㘹㝣㠹㌴摦〱㘲㑢㌳ㄲ㑤㐷〶慣㌸㐴㤳㑣㐵㘱散㈶㘱收愴挲扤〳戱ㄴ㝥㍣㈱ㄲ㑥ㅡ㑣攰搸㐳㘶㍡摣㥦ㄸ㠰㐱搴㡢ㅦ㔷㠸㔸㠹㘸㌴㤲㡥㈴㔳㠹㜸㉣ㄱつ挷晢㐲ㄹ㈷㝢慤㤰㐶晢〱㐲戴搳㔹愲㙥㈱愹㤵㈴敥㔶㠵㔴攵㔲㔹㤰㐴㥡扦昹㥤㐷㥡敤㑣挲㥦㘹〹㠶慥〲挳㤴搲摣攱㐶㡡㌴ㄳ㉣㡤㌷㌷昵㉣㈴㔵㜹㐴攲ㅦ攷攳っ〱㤱て户㤷㈲捤搷㔰㘰㜵㤰㔶㜵昳〰愸㡤㠳㤴㥢㑣愹挴㍣㘴〵㘹㕥㡤㌰㌰ㅣ㤱〳㍡扡㌹㄰て㕢㔱㑣㥢㔶愲㉦㍡㤰㡡㈴㉤㑥愴挹㔴㘶挰㑡挴攲戱愸㜱㐲㤵㜵㈰㤲㡡昷㈵㝢㌳愹㘴敦㐰ㄴ㕢㡦㔴㌸㤱㑣㐴昰㥥㜹㉡㠶㥦㠳挸㈴㐲摣慡㌲㝢㝤㈲愰㍥〹㈰㔴㜶㐹昳㐹㕡㐰ㄲ昷慢昸昶㜰愹摤㈰㠹㌴㕦昴㑡戳㥢㐹㑥〳〸㠶戸昳㥣㔲㥡ㄳ㙥愴㐸㜳㤰㔹㉦㈷㌸㡢愵㕤攳㐶㉥㐶愸戳㈵㜰ㅤ挲攷㑤㝤ㅣ散戱昷㤷攰愰愴收㔵改㔵㜸昵㜹〲戹昸㕡㜰攱挵扥㈶搲敡㍦昷攸昲愲㌱挷攳㌱㝥〲捦愳搵扦㐷㍥㘸㤱挷〲㘳㡥愷攲愳㤷愲慡㠱ㅢ㄰搹昴㈰愶晥㌷㍤扣扦敢㐲㌳攳戸晣㐸ㄹ㍢㈱扣ㅥ戲愵㌸㔴晤㜱㤹㔹敥づ㘹㠹晢〶敦愲㐹㡡㝢捥改㈶摢㔸慡愶挳ㅢ戱搸ㄲ㈳㘲〹摦昷㍤㙥㌲攴戹㘶㌳㝦㤲ち㔷㌳づ摤捣㡣㥢㘳ㄹ㥢昹㔶㝦㑢挳㝢ㄶ㘲晢㍢㍦㈳挳㝢㌵捣つ㙦愷㡦㘴㜸捤㘲㝥㤳㑢㐶㉢戲ㄵ戹愴㌷〳昱㑡㕦て攱ㄸ㍤ㄴ搳戲㠵慢ㄶ昶〷㥥㐵㍦搴㥦㉦㑣㔹㐴慤搴㔹㈰㘷扤愰づ㈳㍦昵㐱挴㔲昴㑡敦㘵ㄹ扤㜶ㄹ挳ぢ晢搵㍦愰っ㤶〳ち㤸愳㘴晥㄰㔸㕣㤲攲收㥢〱㘶搶昵㘱〴〲㐰敡散扥㠳㔴㙦㍥㠳〲㝤ぢ㥣敦敥挱慥㥢敡㔳搴摦搶户㔳捣㜵捥㡢㝥扥㕣摤㠲ㄴ㜳㐱慤㝦㘳昲ㅢ愸㐴搳㜷㌳晥摥㠹愸㝦㘵㌴挴㉤慥っ搲㜳搱慡捥ㄶ挵㝤㉡㠷㥢晡㍢愴愰㡥㡢㕡㥥捦㈶摦〱戲㉤㥦㑦〲㌳㉥〰㑤晡㘰㐰㍤〱㍥户晤㐱㍤㐸收㝤㔵㘶㙥㕦㡤ㄵ㌶昳昰挲〱昵ㄵ㠷ㄹㄴ〸㜳㈵㤹晦ㅣ㉣㔵㘱㝥捡〹㠸㌰敦㐲攰挸㠴昹㤷昵㈹敡㠵㜹敤挸扤搷摣扥㜸摦攰㤳扦㌸昳㡡㡦㝦敤㡤攵敡㕥愴㘸㈶捣扦㐱㐵㥢ち昳ぢ㑥㐴晤敢愷㙡㍦㜲挲㍦晣昸㘸ㄵ敢捦㑦挸戵〳搵〳㙥㜴㤵挲㘸㙥㔹愴〷搶㈱ㄱ㝡攰㔱㠴愵〷ㅥ㐵㌱搵ㅥ搸㐰㌹搱㥡㥦慣改㑤㉣㠹搳愷㝡㜰慡㥡㍥攰㐴搴扦㤲ㄳ晡㤲㕢攸ㄶ扢搰慦扡㠵敥昷ㄶ㝡㈹ぢ㝤〲㔱㜶户㍦〶捣戸っ㌴改昶㕥昵㜹昰㑥㜶晢㝦㈳㌳㉤㜰㥢昹㜱㌲㕦㘱㌳て㉦散㔵㜷㍢捣愰愰摢㍦㐰收㈷挱㔲敤㜶㕡昲㙥㘶㕤㌴搴て愳摢摢〷㤱ㄹ㥥搰㘰搷㌷摤ㄴ敦㔷愷摤㍡ㄴ㜸攱晡晡㙥ㄷ挶㥢昷つ昶昱㈹慦ㅦ㔴捦㈲挵愴㌰㉦㐳扣㉤捣扦㜰㘴搶昰㝡捦愷㥤㠸㠶搷㝢㘸昹攳ㅦ㉥㜴戴捡敤㜶㈵㈶㍤愹㌵扤㑤㈳㕥㝡摢〲㉦㝡㥢㤶戸昴昶ㅤ挸扤摡摢摢㈹㥥ㄷㄱ㌵㔹挱挹摥扥㙤慡ち㝥挲㠹愸㝦挵㈶㐴㠳㔹ち㉤搸㠵搲敡㤵㐲㙦昱ㄶ扡㤳㠵扥㠲㈸扢〳㘹ちㅢ㈵搰愴户晢搴㐷挱敢㜶㔰㔰㔷挸㑣㐳搵㘶愶㌱㙣散戲㤹㠷ㄷ昶愹㥢ㅣ㘶㔰搰摢㝢挸㝣〰㉣搵摥愶挱敢㘶搶㐵㝢昶㌰㝡摢㌳㘳搲昸慤㐹搱戴户㝤㉦㉦㝦㜰捤㡢搷捣㝤昰捤攵㡡㌶敦愴㌰㈷㝢晢㐶㐷㘶つ扤晤㈱㈷愲晥㜵㥤㄰敤㘵ㄱ收㜵㘸ㄵ㝡昰㙤㠴㐵㤸㌷㈰㐵戵〷昷戲挹㌴㍤㙤昹搰ㄲ㌶㍥㠸㈰㠴㌹扣㌰慥晥愸㐶㍥㌷㤲㤹㠶慣捤散〳㘶晣戱捤扣ち捣ㄳづ㌳㔵㉢愸㍦㑣㘶摡戹㔵㘱搲摥慤ち㤳收㙣㡤㘸㤰〸捦㌴换て㙤摦㥡ㄴ昵挲散摣㝦改㘹㈳㉦㙣㥤㥣㌱㘹昲㌶ㄳ㘶挵㤱㔹㠳㌰换㑥㐴晤慢㍦㈱㥡换㈲捣㡦〱㠱㌰㘹昳㡡㌰慦㐶㡡慡㌰㙦〶㔵搱㍥戵攵㐳㐳搸戸ㄵ㐰㠴ㄹ㔵㜹㐷㍥愰㐰㍥户攱㑢搱㡥戵㤹㘹ちㅢ户〳㠸ㅡ㐷㔵搶㘱戶㠵昹㘷㘴愶㤹㕢ㄵ㈶捤摤慡㌰扢㤹づ戹ㅥ晥㕡㑥搳户㈶㐵扤㌰敦㍣㝦改㜳晢㝥昲㤵攵㌸户挵㜳㜰戹愲挵摢㑣㤸ㄹ㐷㘶つ挲㑣㍢ㄱつ慦ㄱ搱㕡㍥搴㙢㐴㥥㕦㑢敡㐲挳〲ㄶ㝤改㌳㉣㥢㑣〳㔷敥㈷收攰愱㉢㤶㍡㜰攵扦㠴摦㉢㕡㠷㤷㕢㜰搱ㅦ㍦㄰攸㜸搱昱搲ぢ敦㘸戸㤷捡戵㠴㤸搸戰㌶㤶㜰换扣捤ㅡ㈹攳〶㕥愶ㅤ扦户㔲挱㉦㉡ㄴ㡥〵㤷㉤づ愵㌸㔰昰挸㙤㉢㝦搳昳愰㔵㠸㙥㙡㑤捡㈵摦㥥㐹㜹戸户戰晣㝣㔳攰攸ㅣ戶挶㕦愰㍡㥥挳捣㡣攷昵㤷㔶㤵㐴㉦摢㥢挳扤扥㜷愴摡㤸ㄶ昴㕤㐸㈲慦愲捡㠲〳㄰搴㥦㈱㠹挷㠲〲㝣〱㙥㈱敡摢挶〳扡搵愰晢敡㝥㑢㘸挶っ㌶搸㝤㕡㘹〶㑦㘷㠱㜳捣戴攵挷㤲晣敤搳昶晣㔸捥㉣㙣慢㙣慦晥摥㈹摣昷㜸㐹㕡㝦ㄶ㤹戰㈸㝥ㄴ㙤㘵收慡㍦〷㐰ち㍦㡡戶㈶㤵搵戸〷㘰㑡〹㕣摥㔴〲晦ぢ㐹敡㈴㜰ㅦ㐹㤳ㄲ㔰戴㔶㈹〵昷㔱㠳〸㐸㉤敥〷挲〸㝥搴㑡㤷晡㠰㠷ㅡ愲改㈶㌳搲㠳㐰昴㐳〴て〳〴ㄵ捤㌳愹昴㈳㐰扡戰㈳㤲㥦㔳散摥挵㑤㔲搹慦㌶戸戵晤昶㈳㝢㈷晢敢㔱愶攷搲捤愵〰㄰晤昵搷㈴㜹㙡㑢换㡥戵ㅤ扤攳㑢㠳扦敢㝢晦㤰愲㐹㈶〵㝤〱㠸㝢㌹愹㔶㌹搶扡㠵昹扣捡昱㐵昰搷㠹收㙦㐹昲ㄴ㐶㡢慥㐶㌴戴摡㐴㌴㕦〱㠲㝦㕢㌴㌴捦㠴晡㔵て㌵㤴㐱㐰㐴昳ㄸ㄰晤㌸挱ㄳ〰㐱㐵㕢㠶㌵搶ㄴ㡤㕦㉤㜳㙢㔷㈳㡡愷挸㔰㉢㡡慦㤳攴愹ㅤ捤㥥ㅡ㔱搰㕥ㄱ㔱㝣〳挸㤴㡡㌲攰㤶㔷㈳㡤愷㤹㌹ㄷ晡挹愱昲っ㐹㥥昲㜶㈲㕣㈳つ㕡㌵搲敥㝦〴㠲㝦㕢ㅡ㌴㕦㠴晡㑦㕥㉡㤷㝦愹摢㍦〳㤹戲㙥攷㌴慤摢户㤰愴慥㙥捦㤱攴愹摢㕥㠴㙢敡㜶㈳〸㔲㡢敦〰挱扦㕤户て扢搴敦㝡愹ㅦ㐳㐰敡昶㍤㈰㔳搶敤㡣愶㜵晢〱㤲搴搵敤㠷㈴㜹敡㜶㌳挲㌵㜵扢つ〴愹摢㡦㠰攰摦慥ㅢㄷ㔷愱晥㕦て㌵㜰ㄷ〲㠷㍤挵挲㙣㍡摡攳愲ㄷ㔰㡥攲攴挸㍣昴㡢づ挲㐰搷㘷㥤㐰㍢㈷戴㉥㑥㑤㈴㑢㐸㜱㝥㘱ㄵ昵㑢㈴摦攷挴改㝦㜵㄰㐹㝦扦ㄳ戰搳㜳晡㤸㑣晦㈰㐲㘲挱㉣㠰㜴㘹挱㥣捦慣晤㠶攲㔴㈲ㄱ昳㥤〸㕥㘰㙣挷扢ぢて扢ㄱ㈷㌹ㄱ昴ㄴ攸㥦㌲㔷㑥ㅦ㔲㤹㤷ㄹ攲捣挱㠲昴㉢㐰昰㉦ㅦ挵㔱㉦㍣晦捥㘸づ㜸攱㌹攰㈰㔲㘱づ敥㙡ㄵ扢㌸愸慢㈱挵挱㉣昵㥡㕢㔷攱挷摤㠸㌹㜵ㄵ收愰㤷ㄴ戳扤ㄵ㝥㥤戹㜲㤰㑢㘵づ㌲挴昱㉤㤵㜹〳〸晥攵愳㥥〶㈶㍣㍦㘷昴㌳〴㙣搴㥢づ挲㐰ㄷ挷㕦戵㡡㕤ㅣ㜷搵㤰攲攰㤱昴晦㐱㌲挷㡤愴晦㠵㠳㐸㝡㡥㤱㙡㡡㉥㡥㡤㙡㐸㔱挱㈵晤㉦㐹愶㙥㑢晡㕦㌹㠸愴愷ㅥ㔷㔳㜴㔱㝦慢㈱昵㠲㥢挲摤搸愱挲扥㄰ㄵ㑣㈶挷摦〰㠱㈵㉢敡挳㜶搵㜰㔱㡤㠴敢㍦㠵慢㡢扤扣ㄵ㕣晥㍤㉡㝤㘵收捡㉢㝦摤搵摡㝤㔲敢㘵㠳ㅤ㜷扣昰昴㑢户㍥㜷挵戲㥦扥昵愹㑦㍤昷攳㕢㥦㜹敢换愹㘵㝦晦㤹捦㍣㜵攱㥤捦扣㌴摢扡换晦扦㝦扤敥慥㙢㈳㍢慥扤摡扡㘴昱㥡㙢㉦扦敡攲挸愶㔹㑢㕡㕡摡摡捥㤸昳㡤ㄳ捥っ敤扤晡㙦搴ㄳ摦㍦扥愰㐴㜱㔸㡤户㔰ㄲㅦ㌹㘴愷〲㐹㌵㝥〷㐴扦つ搰改㔷愲㍦攰愸慤㌱昵㐸㔸戹戳敤㙣改㘲㌷晦㐱㙢㉣㥡挳㙡㈸㡥㑥㍣㔲㘳㙡㤰㔴挳て慡挶晢㡡慣戱㈸㄰㌸㙡㙢㑣㐵ㄲ㔶晥捣㌷㝡㐲搴愴㠱㡢敡㈲㕣㙤㌶㤷㈸〳戹㘴㔰〳攱ㄳ愲㔲〸ㄷ㝦戱ㅤ㜹戱㜳㐵昵㝦㠹ㅦ敡攰攸㕥〱慥㜶㕣慤㘲㝦㑡挴㉦㙡㈳㐲㤴㍢㜳攸㙣㔵ㄴ戶昰晣㐷㉤㡦㘲〷㐸挴㥢㑥㠴摣㐵㤹㠹㈲昱㠳㥣㑥搴ㅢ戵㘹㐲㤴㡥㤳㉦㐵㈲挹て搶昲攰つ㝡㈷攲㜵㙦扥戳㐱㔵㤴㡤愴㜹慤㉥つ挵㈱ㄱ慦搶㐶㠴㕣戹㈸㡡㐲㌸づ搴㜲㈸㔶㔸〶搶㍣㈰㡡挵㐸攸㜸㠶㠴〴㌱㔴扢㡡㕢ㅥ㈵㔱㕥㉡昷㈴㌳晥ㅦㄸ㘳攳㘲</t>
  </si>
  <si>
    <t>Energy consumption of ETL spin coating, kWh (6.701)</t>
  </si>
  <si>
    <t>Energy consumption of HTL spin coating, kWh (6.701)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</si>
</sst>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E+00"/>
    <numFmt numFmtId="165" formatCode="0.0"/>
    <numFmt numFmtId="166" formatCode="0.0%"/>
    <numFmt numFmtId="167" formatCode="0.000%"/>
    <numFmt numFmtId="168" formatCode="0.000"/>
    <numFmt numFmtId="169" formatCode="0.0000"/>
  </numFmts>
  <fonts count="12">
    <font>
      <sz val="11"/>
      <color theme="1"/>
      <name val="Calibri"/>
      <family val="2"/>
      <scheme val="minor"/>
    </font>
    <font>
      <sz val="11"/>
      <color rgb="FFFF0000"/>
      <name val="Calibri"/>
      <family val="2"/>
      <scheme val="minor"/>
    </font>
    <font>
      <b/>
      <sz val="11"/>
      <color theme="1"/>
      <name val="Calibri"/>
      <family val="2"/>
      <scheme val="minor"/>
    </font>
    <font>
      <sz val="11"/>
      <name val="Calibri"/>
      <family val="2"/>
      <scheme val="minor"/>
    </font>
    <font>
      <b/>
      <sz val="11"/>
      <name val="Calibri"/>
      <family val="2"/>
      <scheme val="minor"/>
    </font>
    <font>
      <sz val="11"/>
      <color rgb="FF9C0006"/>
      <name val="Calibri"/>
      <family val="2"/>
      <scheme val="minor"/>
    </font>
    <font>
      <sz val="9"/>
      <name val="Calibri"/>
      <family val="3"/>
      <charset val="134"/>
      <scheme val="minor"/>
    </font>
    <font>
      <sz val="11"/>
      <color rgb="FFFF0000"/>
      <name val="Times New Roman"/>
      <family val="1"/>
    </font>
    <font>
      <sz val="11"/>
      <color theme="0"/>
      <name val="Calibri"/>
      <family val="2"/>
      <scheme val="minor"/>
    </font>
    <font>
      <sz val="11"/>
      <color theme="1"/>
      <name val="Calibri"/>
      <family val="2"/>
      <scheme val="minor"/>
    </font>
    <font>
      <sz val="11"/>
      <color rgb="FF3F3F76"/>
      <name val="Calibri"/>
      <family val="2"/>
      <scheme val="minor"/>
    </font>
    <font>
      <b/>
      <sz val="14"/>
      <color rgb="FF000000"/>
      <name val="Calibri"/>
      <family val="2"/>
    </font>
  </fonts>
  <fills count="13">
    <fill>
      <patternFill patternType="none"/>
    </fill>
    <fill>
      <patternFill patternType="gray125"/>
    </fill>
    <fill>
      <patternFill patternType="solid">
        <fgColor rgb="FFFFC7CE"/>
      </patternFill>
    </fill>
    <fill>
      <patternFill patternType="solid">
        <fgColor rgb="FF00FF00"/>
        <bgColor indexed="64"/>
      </patternFill>
    </fill>
    <fill>
      <patternFill patternType="solid">
        <fgColor rgb="FF00FFFF"/>
        <bgColor indexed="64"/>
      </patternFill>
    </fill>
    <fill>
      <patternFill patternType="solid">
        <fgColor theme="4"/>
      </patternFill>
    </fill>
    <fill>
      <patternFill patternType="solid">
        <fgColor theme="5"/>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theme="7" tint="0.59999389629810485"/>
        <bgColor indexed="65"/>
      </patternFill>
    </fill>
    <fill>
      <patternFill patternType="solid">
        <fgColor theme="9" tint="0.79998168889431442"/>
        <bgColor indexed="65"/>
      </patternFill>
    </fill>
  </fills>
  <borders count="25">
    <border>
      <left/>
      <right/>
      <top/>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
    <xf numFmtId="0" fontId="0" fillId="0" borderId="0"/>
    <xf numFmtId="0" fontId="5" fillId="2"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10" fillId="10" borderId="11" applyNumberFormat="0" applyAlignment="0" applyProtection="0"/>
    <xf numFmtId="0" fontId="9" fillId="11" borderId="0" applyNumberFormat="0" applyBorder="0" applyAlignment="0" applyProtection="0"/>
    <xf numFmtId="0" fontId="9" fillId="12" borderId="0" applyNumberFormat="0" applyBorder="0" applyAlignment="0" applyProtection="0"/>
  </cellStyleXfs>
  <cellXfs count="125">
    <xf numFmtId="0" fontId="0" fillId="0" borderId="0" xfId="0"/>
    <xf numFmtId="0" fontId="0" fillId="0" borderId="0" xfId="0" applyAlignment="1">
      <alignment horizontal="center" vertical="center" wrapText="1"/>
    </xf>
    <xf numFmtId="0" fontId="0" fillId="0" borderId="0" xfId="0" applyAlignment="1">
      <alignment horizontal="center" vertical="center"/>
    </xf>
    <xf numFmtId="0" fontId="1" fillId="0" borderId="0" xfId="0" applyFont="1" applyAlignment="1">
      <alignment horizontal="center" vertical="center"/>
    </xf>
    <xf numFmtId="164" fontId="0" fillId="0" borderId="0" xfId="0" applyNumberFormat="1" applyAlignment="1">
      <alignment horizontal="center" vertical="center"/>
    </xf>
    <xf numFmtId="164" fontId="0" fillId="0" borderId="0" xfId="0" applyNumberFormat="1" applyAlignment="1">
      <alignment horizontal="center"/>
    </xf>
    <xf numFmtId="0" fontId="2" fillId="0" borderId="0" xfId="0" applyFont="1" applyAlignment="1">
      <alignment horizontal="center" vertical="center" wrapText="1"/>
    </xf>
    <xf numFmtId="164" fontId="2" fillId="0" borderId="0" xfId="0" applyNumberFormat="1" applyFont="1" applyAlignment="1">
      <alignment horizontal="center" vertical="center" wrapText="1"/>
    </xf>
    <xf numFmtId="0" fontId="2" fillId="0" borderId="0" xfId="0" applyFont="1" applyAlignment="1">
      <alignment horizontal="center" vertical="center"/>
    </xf>
    <xf numFmtId="0" fontId="4" fillId="0" borderId="0" xfId="0" applyFont="1" applyAlignment="1">
      <alignment horizontal="center" vertical="center"/>
    </xf>
    <xf numFmtId="164" fontId="0" fillId="0" borderId="0" xfId="0" applyNumberFormat="1"/>
    <xf numFmtId="164" fontId="1" fillId="0" borderId="0" xfId="0" applyNumberFormat="1" applyFont="1" applyAlignment="1">
      <alignment horizontal="center" vertical="center"/>
    </xf>
    <xf numFmtId="164" fontId="3" fillId="0" borderId="0" xfId="0" applyNumberFormat="1" applyFont="1" applyAlignment="1">
      <alignment horizontal="center" vertical="center"/>
    </xf>
    <xf numFmtId="0" fontId="0" fillId="0" borderId="0" xfId="0" applyAlignment="1">
      <alignment horizontal="center"/>
    </xf>
    <xf numFmtId="0" fontId="2" fillId="0" borderId="0" xfId="0" applyFont="1" applyAlignment="1">
      <alignment horizontal="center"/>
    </xf>
    <xf numFmtId="164" fontId="1" fillId="0" borderId="0" xfId="0" applyNumberFormat="1" applyFont="1" applyAlignment="1">
      <alignment horizontal="center"/>
    </xf>
    <xf numFmtId="165" fontId="0" fillId="0" borderId="0" xfId="0" applyNumberFormat="1"/>
    <xf numFmtId="9" fontId="0" fillId="3" borderId="0" xfId="0" applyNumberFormat="1" applyFill="1"/>
    <xf numFmtId="10" fontId="0" fillId="3" borderId="0" xfId="0" applyNumberFormat="1" applyFill="1"/>
    <xf numFmtId="0" fontId="0" fillId="3" borderId="0" xfId="0" applyFill="1"/>
    <xf numFmtId="0" fontId="0" fillId="4" borderId="0" xfId="0" applyFill="1"/>
    <xf numFmtId="10" fontId="0" fillId="0" borderId="0" xfId="0" applyNumberFormat="1"/>
    <xf numFmtId="0" fontId="2" fillId="0" borderId="0" xfId="0" applyFont="1"/>
    <xf numFmtId="0" fontId="0" fillId="0" borderId="0" xfId="0" quotePrefix="1"/>
    <xf numFmtId="166" fontId="0" fillId="0" borderId="0" xfId="0" applyNumberFormat="1"/>
    <xf numFmtId="167" fontId="0" fillId="0" borderId="0" xfId="0" applyNumberFormat="1"/>
    <xf numFmtId="9" fontId="0" fillId="0" borderId="0" xfId="0" applyNumberFormat="1"/>
    <xf numFmtId="2" fontId="0" fillId="0" borderId="0" xfId="0" applyNumberFormat="1"/>
    <xf numFmtId="168" fontId="0" fillId="0" borderId="0" xfId="0" applyNumberFormat="1"/>
    <xf numFmtId="0" fontId="0" fillId="0" borderId="0" xfId="0" applyAlignment="1">
      <alignment horizontal="center" vertical="center"/>
    </xf>
    <xf numFmtId="164" fontId="8" fillId="5" borderId="0" xfId="2" applyNumberFormat="1"/>
    <xf numFmtId="164" fontId="8" fillId="5" borderId="0" xfId="2" applyNumberFormat="1" applyAlignment="1">
      <alignment horizontal="center" vertical="center"/>
    </xf>
    <xf numFmtId="0" fontId="8" fillId="5" borderId="0" xfId="2" applyAlignment="1">
      <alignment horizontal="center"/>
    </xf>
    <xf numFmtId="0" fontId="8" fillId="8" borderId="0" xfId="5"/>
    <xf numFmtId="0" fontId="8" fillId="9" borderId="0" xfId="6"/>
    <xf numFmtId="0" fontId="8" fillId="6" borderId="0" xfId="3"/>
    <xf numFmtId="0" fontId="8" fillId="5" borderId="0" xfId="2"/>
    <xf numFmtId="0" fontId="5" fillId="0" borderId="0" xfId="1" applyFill="1"/>
    <xf numFmtId="0" fontId="8" fillId="6" borderId="0" xfId="3" applyAlignment="1">
      <alignment horizontal="center" vertical="center"/>
    </xf>
    <xf numFmtId="164" fontId="8" fillId="6" borderId="0" xfId="3" applyNumberFormat="1" applyAlignment="1">
      <alignment horizontal="center"/>
    </xf>
    <xf numFmtId="0" fontId="8" fillId="5" borderId="1" xfId="2" applyBorder="1"/>
    <xf numFmtId="169" fontId="8" fillId="9" borderId="2" xfId="6" applyNumberFormat="1" applyBorder="1"/>
    <xf numFmtId="168" fontId="8" fillId="9" borderId="2" xfId="6" applyNumberFormat="1" applyBorder="1"/>
    <xf numFmtId="2" fontId="8" fillId="9" borderId="2" xfId="6" applyNumberFormat="1" applyBorder="1"/>
    <xf numFmtId="9" fontId="8" fillId="9" borderId="2" xfId="6" applyNumberFormat="1" applyBorder="1"/>
    <xf numFmtId="168" fontId="8" fillId="7" borderId="2" xfId="4" applyNumberFormat="1" applyBorder="1"/>
    <xf numFmtId="9" fontId="8" fillId="7" borderId="2" xfId="4" applyNumberFormat="1" applyBorder="1"/>
    <xf numFmtId="169" fontId="8" fillId="6" borderId="2" xfId="3" applyNumberFormat="1" applyBorder="1"/>
    <xf numFmtId="168" fontId="8" fillId="6" borderId="2" xfId="3" applyNumberFormat="1" applyBorder="1"/>
    <xf numFmtId="2" fontId="8" fillId="6" borderId="2" xfId="3" applyNumberFormat="1" applyBorder="1"/>
    <xf numFmtId="0" fontId="0" fillId="0" borderId="0" xfId="0" applyNumberFormat="1"/>
    <xf numFmtId="164" fontId="8" fillId="6" borderId="0" xfId="3" applyNumberFormat="1" applyAlignment="1">
      <alignment horizontal="center" vertical="center"/>
    </xf>
    <xf numFmtId="0" fontId="8" fillId="6" borderId="0" xfId="3" applyAlignment="1">
      <alignment horizontal="center"/>
    </xf>
    <xf numFmtId="0" fontId="8" fillId="5" borderId="0" xfId="2" applyAlignment="1">
      <alignment horizontal="center" vertical="center"/>
    </xf>
    <xf numFmtId="164" fontId="8" fillId="6" borderId="0" xfId="3" applyNumberFormat="1"/>
    <xf numFmtId="164" fontId="2" fillId="0" borderId="3" xfId="0" applyNumberFormat="1" applyFont="1" applyBorder="1" applyAlignment="1">
      <alignment horizontal="center" vertical="center"/>
    </xf>
    <xf numFmtId="164" fontId="0" fillId="0" borderId="4" xfId="0" applyNumberFormat="1" applyBorder="1" applyAlignment="1">
      <alignment horizontal="center" vertical="center"/>
    </xf>
    <xf numFmtId="164" fontId="0" fillId="0" borderId="5" xfId="0" applyNumberFormat="1" applyBorder="1"/>
    <xf numFmtId="164" fontId="8" fillId="6" borderId="6" xfId="3" applyNumberFormat="1" applyBorder="1" applyAlignment="1">
      <alignment horizontal="center" vertical="center"/>
    </xf>
    <xf numFmtId="164" fontId="8" fillId="6" borderId="7" xfId="3" applyNumberFormat="1" applyBorder="1" applyAlignment="1">
      <alignment horizontal="center" vertical="center"/>
    </xf>
    <xf numFmtId="3" fontId="8" fillId="6" borderId="7" xfId="3" applyNumberFormat="1" applyBorder="1" applyAlignment="1">
      <alignment horizontal="center" vertical="center"/>
    </xf>
    <xf numFmtId="168" fontId="8" fillId="6" borderId="7" xfId="3" applyNumberFormat="1" applyBorder="1" applyAlignment="1">
      <alignment horizontal="center" vertical="center"/>
    </xf>
    <xf numFmtId="168" fontId="8" fillId="6" borderId="8" xfId="3" applyNumberFormat="1" applyBorder="1"/>
    <xf numFmtId="3" fontId="0" fillId="0" borderId="4" xfId="0" applyNumberFormat="1" applyBorder="1" applyAlignment="1">
      <alignment horizontal="center" vertical="center"/>
    </xf>
    <xf numFmtId="168" fontId="0" fillId="0" borderId="4" xfId="0" applyNumberFormat="1" applyBorder="1" applyAlignment="1">
      <alignment horizontal="center" vertical="center"/>
    </xf>
    <xf numFmtId="168" fontId="0" fillId="0" borderId="5" xfId="0" applyNumberFormat="1" applyBorder="1"/>
    <xf numFmtId="164" fontId="8" fillId="8" borderId="9" xfId="5" applyNumberFormat="1" applyBorder="1" applyAlignment="1">
      <alignment horizontal="center" vertical="center"/>
    </xf>
    <xf numFmtId="164" fontId="8" fillId="8" borderId="0" xfId="5" applyNumberFormat="1" applyBorder="1" applyAlignment="1">
      <alignment horizontal="center" vertical="center"/>
    </xf>
    <xf numFmtId="3" fontId="8" fillId="8" borderId="0" xfId="5" applyNumberFormat="1" applyBorder="1" applyAlignment="1">
      <alignment horizontal="center" vertical="center"/>
    </xf>
    <xf numFmtId="168" fontId="8" fillId="8" borderId="0" xfId="5" applyNumberFormat="1" applyBorder="1" applyAlignment="1">
      <alignment horizontal="center" vertical="center"/>
    </xf>
    <xf numFmtId="168" fontId="8" fillId="8" borderId="10" xfId="5" applyNumberFormat="1" applyBorder="1"/>
    <xf numFmtId="164" fontId="8" fillId="8" borderId="6" xfId="5" applyNumberFormat="1" applyBorder="1" applyAlignment="1">
      <alignment horizontal="center" vertical="center"/>
    </xf>
    <xf numFmtId="164" fontId="8" fillId="8" borderId="7" xfId="5" applyNumberFormat="1" applyBorder="1" applyAlignment="1">
      <alignment horizontal="center" vertical="center"/>
    </xf>
    <xf numFmtId="3" fontId="8" fillId="8" borderId="7" xfId="5" applyNumberFormat="1" applyBorder="1" applyAlignment="1">
      <alignment horizontal="center" vertical="center"/>
    </xf>
    <xf numFmtId="168" fontId="8" fillId="8" borderId="7" xfId="5" applyNumberFormat="1" applyBorder="1" applyAlignment="1">
      <alignment horizontal="center" vertical="center"/>
    </xf>
    <xf numFmtId="168" fontId="8" fillId="8" borderId="8" xfId="5" applyNumberFormat="1" applyBorder="1"/>
    <xf numFmtId="0" fontId="8" fillId="6" borderId="9" xfId="3" applyBorder="1" applyAlignment="1">
      <alignment horizontal="center" vertical="center"/>
    </xf>
    <xf numFmtId="164" fontId="8" fillId="6" borderId="0" xfId="3" applyNumberFormat="1" applyBorder="1" applyAlignment="1">
      <alignment horizontal="center" vertical="center"/>
    </xf>
    <xf numFmtId="3" fontId="8" fillId="6" borderId="0" xfId="3" applyNumberFormat="1" applyBorder="1" applyAlignment="1">
      <alignment horizontal="center" vertical="center"/>
    </xf>
    <xf numFmtId="168" fontId="8" fillId="6" borderId="0" xfId="3" applyNumberFormat="1" applyBorder="1" applyAlignment="1">
      <alignment horizontal="center" vertical="center"/>
    </xf>
    <xf numFmtId="168" fontId="8" fillId="6" borderId="10" xfId="3" applyNumberFormat="1" applyBorder="1"/>
    <xf numFmtId="164" fontId="1" fillId="0" borderId="9" xfId="0" applyNumberFormat="1" applyFont="1" applyBorder="1" applyAlignment="1">
      <alignment horizontal="center" vertical="center"/>
    </xf>
    <xf numFmtId="164" fontId="0" fillId="0" borderId="0" xfId="0" applyNumberFormat="1" applyBorder="1" applyAlignment="1">
      <alignment horizontal="center" vertical="center"/>
    </xf>
    <xf numFmtId="3" fontId="0" fillId="0" borderId="0" xfId="0" applyNumberFormat="1" applyBorder="1" applyAlignment="1">
      <alignment horizontal="center" vertical="center"/>
    </xf>
    <xf numFmtId="168" fontId="0" fillId="0" borderId="0" xfId="0" applyNumberFormat="1" applyBorder="1" applyAlignment="1">
      <alignment horizontal="center" vertical="center"/>
    </xf>
    <xf numFmtId="168" fontId="0" fillId="0" borderId="10" xfId="0" applyNumberFormat="1" applyBorder="1"/>
    <xf numFmtId="164" fontId="1" fillId="0" borderId="6" xfId="0" applyNumberFormat="1" applyFont="1" applyBorder="1" applyAlignment="1">
      <alignment horizontal="center" vertical="center"/>
    </xf>
    <xf numFmtId="164" fontId="0" fillId="0" borderId="7" xfId="0" applyNumberFormat="1" applyBorder="1" applyAlignment="1">
      <alignment horizontal="center" vertical="center"/>
    </xf>
    <xf numFmtId="3" fontId="0" fillId="0" borderId="7" xfId="0" applyNumberFormat="1" applyBorder="1" applyAlignment="1">
      <alignment horizontal="center" vertical="center"/>
    </xf>
    <xf numFmtId="168" fontId="0" fillId="0" borderId="7" xfId="0" applyNumberFormat="1" applyBorder="1" applyAlignment="1">
      <alignment horizontal="center" vertical="center"/>
    </xf>
    <xf numFmtId="168" fontId="0" fillId="0" borderId="8" xfId="0" applyNumberFormat="1" applyBorder="1"/>
    <xf numFmtId="164" fontId="4" fillId="0" borderId="3" xfId="0" applyNumberFormat="1" applyFont="1" applyBorder="1" applyAlignment="1">
      <alignment horizontal="center" vertical="center"/>
    </xf>
    <xf numFmtId="164" fontId="8" fillId="6" borderId="9" xfId="3" applyNumberFormat="1" applyBorder="1" applyAlignment="1">
      <alignment horizontal="center" vertical="center"/>
    </xf>
    <xf numFmtId="0" fontId="8" fillId="6" borderId="0" xfId="3" applyBorder="1" applyAlignment="1">
      <alignment horizontal="center" vertical="center"/>
    </xf>
    <xf numFmtId="164" fontId="8" fillId="6" borderId="6" xfId="3" applyNumberFormat="1" applyBorder="1" applyAlignment="1">
      <alignment horizontal="center"/>
    </xf>
    <xf numFmtId="164" fontId="8" fillId="6" borderId="7" xfId="3" applyNumberFormat="1" applyBorder="1" applyAlignment="1">
      <alignment horizontal="center"/>
    </xf>
    <xf numFmtId="0" fontId="0" fillId="0" borderId="0" xfId="0" applyNumberFormat="1" applyAlignment="1">
      <alignment horizontal="center"/>
    </xf>
    <xf numFmtId="164" fontId="8" fillId="8" borderId="0" xfId="5" applyNumberFormat="1"/>
    <xf numFmtId="0" fontId="8" fillId="7" borderId="0" xfId="4"/>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9" fillId="12" borderId="15" xfId="9" applyBorder="1" applyAlignment="1">
      <alignment horizontal="center" vertical="center"/>
    </xf>
    <xf numFmtId="9" fontId="10" fillId="10" borderId="16" xfId="7" applyNumberFormat="1" applyBorder="1" applyAlignment="1">
      <alignment horizontal="center" vertical="center"/>
    </xf>
    <xf numFmtId="0" fontId="9" fillId="12" borderId="17" xfId="9" applyBorder="1" applyAlignment="1">
      <alignment horizontal="center" vertical="center"/>
    </xf>
    <xf numFmtId="9" fontId="10" fillId="10" borderId="2" xfId="7" applyNumberFormat="1" applyBorder="1" applyAlignment="1">
      <alignment horizontal="center" vertical="center"/>
    </xf>
    <xf numFmtId="0" fontId="9" fillId="11" borderId="18" xfId="8" applyBorder="1" applyAlignment="1">
      <alignment horizontal="center" vertical="center"/>
    </xf>
    <xf numFmtId="0" fontId="9" fillId="11" borderId="19" xfId="8" applyBorder="1" applyAlignment="1">
      <alignment horizontal="center" vertical="center"/>
    </xf>
    <xf numFmtId="0" fontId="9" fillId="12" borderId="20" xfId="9" applyBorder="1" applyAlignment="1">
      <alignment horizontal="center" vertical="center"/>
    </xf>
    <xf numFmtId="9" fontId="10" fillId="10" borderId="21" xfId="7" applyNumberFormat="1" applyBorder="1" applyAlignment="1">
      <alignment horizontal="center" vertical="center"/>
    </xf>
    <xf numFmtId="0" fontId="9" fillId="12" borderId="22" xfId="9" applyBorder="1" applyAlignment="1">
      <alignment horizontal="center" vertical="center"/>
    </xf>
    <xf numFmtId="9" fontId="0" fillId="0" borderId="0" xfId="0" applyNumberFormat="1" applyAlignment="1">
      <alignment horizontal="center" vertical="center"/>
    </xf>
    <xf numFmtId="169" fontId="0" fillId="0" borderId="0" xfId="0" applyNumberFormat="1"/>
    <xf numFmtId="169" fontId="8" fillId="7" borderId="2" xfId="4" applyNumberFormat="1" applyBorder="1"/>
    <xf numFmtId="9" fontId="8" fillId="6" borderId="2" xfId="3" applyNumberFormat="1" applyBorder="1"/>
    <xf numFmtId="2" fontId="8" fillId="7" borderId="2" xfId="4" applyNumberFormat="1" applyBorder="1"/>
    <xf numFmtId="0" fontId="8" fillId="8" borderId="23" xfId="5" applyBorder="1"/>
    <xf numFmtId="0" fontId="8" fillId="8" borderId="24" xfId="5" applyBorder="1"/>
    <xf numFmtId="0" fontId="0" fillId="0" borderId="0" xfId="0" applyBorder="1"/>
    <xf numFmtId="0" fontId="0" fillId="0" borderId="0" xfId="0" applyAlignment="1">
      <alignment horizontal="center" vertical="center"/>
    </xf>
    <xf numFmtId="0" fontId="2" fillId="0" borderId="0" xfId="0" applyFont="1" applyAlignment="1">
      <alignment horizontal="center" vertical="center" wrapText="1"/>
    </xf>
    <xf numFmtId="164" fontId="2" fillId="0" borderId="0" xfId="0" applyNumberFormat="1" applyFont="1" applyAlignment="1">
      <alignment horizontal="center" vertical="center"/>
    </xf>
    <xf numFmtId="0" fontId="4" fillId="0" borderId="0" xfId="0" applyFont="1" applyAlignment="1">
      <alignment horizontal="center"/>
    </xf>
    <xf numFmtId="164" fontId="4" fillId="0" borderId="0" xfId="0" applyNumberFormat="1" applyFont="1" applyAlignment="1">
      <alignment horizontal="center" vertical="center"/>
    </xf>
    <xf numFmtId="9" fontId="0" fillId="0" borderId="0" xfId="0" applyNumberFormat="1" applyAlignment="1">
      <alignment horizontal="center"/>
    </xf>
  </cellXfs>
  <cellStyles count="10">
    <cellStyle name="20% - Accent6" xfId="9" builtinId="50"/>
    <cellStyle name="40% - Accent4" xfId="8" builtinId="43"/>
    <cellStyle name="Accent1" xfId="2" builtinId="29"/>
    <cellStyle name="Accent2" xfId="3" builtinId="33"/>
    <cellStyle name="Accent4" xfId="4" builtinId="41"/>
    <cellStyle name="Accent5" xfId="5" builtinId="45"/>
    <cellStyle name="Accent6" xfId="6" builtinId="49"/>
    <cellStyle name="Bad" xfId="1" builtinId="27"/>
    <cellStyle name="Input" xfId="7" builtinId="20"/>
    <cellStyle name="Normal" xfId="0" builtinId="0"/>
  </cellStyles>
  <dxfs count="0"/>
  <tableStyles count="0" defaultTableStyle="TableStyleMedium2" defaultPivotStyle="PivotStyleLight16"/>
  <colors>
    <mruColors>
      <color rgb="FFFB8072"/>
      <color rgb="FFBEBADA"/>
      <color rgb="FF8DD3C7"/>
      <color rgb="FFFDB462"/>
      <color rgb="FFD9D9D9"/>
      <color rgb="FF80B1D3"/>
      <color rgb="FFB3DE69"/>
      <color rgb="FFFFFFB3"/>
      <color rgb="FFFCCD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externalLink" Target="externalLinks/externalLink6.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5.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4.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255293088363954"/>
          <c:y val="0.22210666375036453"/>
          <c:w val="0.45284711286089241"/>
          <c:h val="0.75474518810148727"/>
        </c:manualLayout>
      </c:layout>
      <c:pieChart>
        <c:varyColors val="1"/>
        <c:ser>
          <c:idx val="0"/>
          <c:order val="0"/>
          <c:tx>
            <c:strRef>
              <c:f>'material inventory'!$O$12</c:f>
              <c:strCache>
                <c:ptCount val="1"/>
                <c:pt idx="0">
                  <c:v>Primary energy consumption</c:v>
                </c:pt>
              </c:strCache>
            </c:strRef>
          </c:tx>
          <c:dPt>
            <c:idx val="0"/>
            <c:bubble3D val="0"/>
            <c:spPr>
              <a:solidFill>
                <a:srgbClr val="80B1D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D14-4015-A53B-85F876388109}"/>
              </c:ext>
            </c:extLst>
          </c:dPt>
          <c:dPt>
            <c:idx val="1"/>
            <c:bubble3D val="0"/>
            <c:spPr>
              <a:solidFill>
                <a:srgbClr val="92D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D84-46DE-B14D-3CCCF31896CE}"/>
              </c:ext>
            </c:extLst>
          </c:dPt>
          <c:dPt>
            <c:idx val="2"/>
            <c:bubble3D val="0"/>
            <c:spPr>
              <a:solidFill>
                <a:srgbClr val="FDB46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0D84-46DE-B14D-3CCCF31896CE}"/>
              </c:ext>
            </c:extLst>
          </c:dPt>
          <c:dPt>
            <c:idx val="3"/>
            <c:bubble3D val="0"/>
            <c:spPr>
              <a:solidFill>
                <a:srgbClr val="B3DE6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D84-46DE-B14D-3CCCF31896CE}"/>
              </c:ext>
            </c:extLst>
          </c:dPt>
          <c:dPt>
            <c:idx val="4"/>
            <c:bubble3D val="0"/>
            <c:spPr>
              <a:solidFill>
                <a:srgbClr val="8DD3C7"/>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0D84-46DE-B14D-3CCCF31896CE}"/>
              </c:ext>
            </c:extLst>
          </c:dPt>
          <c:dPt>
            <c:idx val="5"/>
            <c:bubble3D val="0"/>
            <c:spPr>
              <a:solidFill>
                <a:srgbClr val="FFFFB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D84-46DE-B14D-3CCCF31896CE}"/>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0D84-46DE-B14D-3CCCF31896CE}"/>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D84-46DE-B14D-3CCCF31896CE}"/>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D84-46DE-B14D-3CCCF31896CE}"/>
              </c:ext>
            </c:extLst>
          </c:dPt>
          <c:dPt>
            <c:idx val="9"/>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D84-46DE-B14D-3CCCF31896CE}"/>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4-BFDA-442B-A969-79E46CD98283}"/>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E4E1-4482-BD90-54AF1EF64338}"/>
              </c:ext>
            </c:extLst>
          </c:dPt>
          <c:dLbls>
            <c:dLbl>
              <c:idx val="1"/>
              <c:delete val="1"/>
              <c:extLst>
                <c:ext xmlns:c15="http://schemas.microsoft.com/office/drawing/2012/chart" uri="{CE6537A1-D6FC-4f65-9D91-7224C49458BB}"/>
                <c:ext xmlns:c16="http://schemas.microsoft.com/office/drawing/2014/chart" uri="{C3380CC4-5D6E-409C-BE32-E72D297353CC}">
                  <c16:uniqueId val="{00000009-0D84-46DE-B14D-3CCCF31896CE}"/>
                </c:ext>
              </c:extLst>
            </c:dLbl>
            <c:dLbl>
              <c:idx val="2"/>
              <c:delete val="1"/>
              <c:extLst>
                <c:ext xmlns:c15="http://schemas.microsoft.com/office/drawing/2012/chart" uri="{CE6537A1-D6FC-4f65-9D91-7224C49458BB}"/>
                <c:ext xmlns:c16="http://schemas.microsoft.com/office/drawing/2014/chart" uri="{C3380CC4-5D6E-409C-BE32-E72D297353CC}">
                  <c16:uniqueId val="{00000008-0D84-46DE-B14D-3CCCF31896CE}"/>
                </c:ext>
              </c:extLst>
            </c:dLbl>
            <c:dLbl>
              <c:idx val="3"/>
              <c:delete val="1"/>
              <c:extLst>
                <c:ext xmlns:c15="http://schemas.microsoft.com/office/drawing/2012/chart" uri="{CE6537A1-D6FC-4f65-9D91-7224C49458BB}"/>
                <c:ext xmlns:c16="http://schemas.microsoft.com/office/drawing/2014/chart" uri="{C3380CC4-5D6E-409C-BE32-E72D297353CC}">
                  <c16:uniqueId val="{00000007-0D84-46DE-B14D-3CCCF31896CE}"/>
                </c:ext>
              </c:extLst>
            </c:dLbl>
            <c:dLbl>
              <c:idx val="4"/>
              <c:delete val="1"/>
              <c:extLst>
                <c:ext xmlns:c15="http://schemas.microsoft.com/office/drawing/2012/chart" uri="{CE6537A1-D6FC-4f65-9D91-7224C49458BB}"/>
                <c:ext xmlns:c16="http://schemas.microsoft.com/office/drawing/2014/chart" uri="{C3380CC4-5D6E-409C-BE32-E72D297353CC}">
                  <c16:uniqueId val="{00000006-0D84-46DE-B14D-3CCCF31896CE}"/>
                </c:ext>
              </c:extLst>
            </c:dLbl>
            <c:dLbl>
              <c:idx val="5"/>
              <c:delete val="1"/>
              <c:extLst>
                <c:ext xmlns:c15="http://schemas.microsoft.com/office/drawing/2012/chart" uri="{CE6537A1-D6FC-4f65-9D91-7224C49458BB}"/>
                <c:ext xmlns:c16="http://schemas.microsoft.com/office/drawing/2014/chart" uri="{C3380CC4-5D6E-409C-BE32-E72D297353CC}">
                  <c16:uniqueId val="{00000005-0D84-46DE-B14D-3CCCF31896CE}"/>
                </c:ext>
              </c:extLst>
            </c:dLbl>
            <c:dLbl>
              <c:idx val="6"/>
              <c:delete val="1"/>
              <c:extLst>
                <c:ext xmlns:c15="http://schemas.microsoft.com/office/drawing/2012/chart" uri="{CE6537A1-D6FC-4f65-9D91-7224C49458BB}"/>
                <c:ext xmlns:c16="http://schemas.microsoft.com/office/drawing/2014/chart" uri="{C3380CC4-5D6E-409C-BE32-E72D297353CC}">
                  <c16:uniqueId val="{00000004-0D84-46DE-B14D-3CCCF31896CE}"/>
                </c:ext>
              </c:extLst>
            </c:dLbl>
            <c:dLbl>
              <c:idx val="7"/>
              <c:delete val="1"/>
              <c:extLst>
                <c:ext xmlns:c15="http://schemas.microsoft.com/office/drawing/2012/chart" uri="{CE6537A1-D6FC-4f65-9D91-7224C49458BB}"/>
                <c:ext xmlns:c16="http://schemas.microsoft.com/office/drawing/2014/chart" uri="{C3380CC4-5D6E-409C-BE32-E72D297353CC}">
                  <c16:uniqueId val="{00000003-0D84-46DE-B14D-3CCCF31896CE}"/>
                </c:ext>
              </c:extLst>
            </c:dLbl>
            <c:dLbl>
              <c:idx val="9"/>
              <c:layout>
                <c:manualLayout>
                  <c:x val="7.9877296587926458E-2"/>
                  <c:y val="2.8080344123651E-3"/>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D84-46DE-B14D-3CCCF31896CE}"/>
                </c:ext>
              </c:extLst>
            </c:dLbl>
            <c:dLbl>
              <c:idx val="10"/>
              <c:delete val="1"/>
              <c:extLst>
                <c:ext xmlns:c15="http://schemas.microsoft.com/office/drawing/2012/chart" uri="{CE6537A1-D6FC-4f65-9D91-7224C49458BB}"/>
                <c:ext xmlns:c16="http://schemas.microsoft.com/office/drawing/2014/chart" uri="{C3380CC4-5D6E-409C-BE32-E72D297353CC}">
                  <c16:uniqueId val="{00000014-BFDA-442B-A969-79E46CD9828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'material inventory'!$M$13:$M$24</c:f>
              <c:strCache>
                <c:ptCount val="12"/>
                <c:pt idx="0">
                  <c:v>ITO glass</c:v>
                </c:pt>
                <c:pt idx="1">
                  <c:v>Ethanol</c:v>
                </c:pt>
                <c:pt idx="2">
                  <c:v>Deionized water</c:v>
                </c:pt>
                <c:pt idx="3">
                  <c:v>NiOₓ precursor solution</c:v>
                </c:pt>
                <c:pt idx="4">
                  <c:v>PbI₂</c:v>
                </c:pt>
                <c:pt idx="5">
                  <c:v>Dimethylformamide</c:v>
                </c:pt>
                <c:pt idx="6">
                  <c:v>MAI</c:v>
                </c:pt>
                <c:pt idx="7">
                  <c:v>Isopropanol</c:v>
                </c:pt>
                <c:pt idx="8">
                  <c:v>Nitrogen</c:v>
                </c:pt>
                <c:pt idx="9">
                  <c:v>ZnO nanoparticles</c:v>
                </c:pt>
                <c:pt idx="10">
                  <c:v>Al</c:v>
                </c:pt>
                <c:pt idx="11">
                  <c:v>Direct emissions</c:v>
                </c:pt>
              </c:strCache>
            </c:strRef>
          </c:cat>
          <c:val>
            <c:numRef>
              <c:f>'material inventory'!$O$13:$O$24</c:f>
              <c:numCache>
                <c:formatCode>0.000E+00</c:formatCode>
                <c:ptCount val="12"/>
                <c:pt idx="0">
                  <c:v>29.222870408888099</c:v>
                </c:pt>
                <c:pt idx="1">
                  <c:v>1.0715802776700001</c:v>
                </c:pt>
                <c:pt idx="2">
                  <c:v>7.8310930304560005E-4</c:v>
                </c:pt>
                <c:pt idx="3">
                  <c:v>0.63858715683810552</c:v>
                </c:pt>
                <c:pt idx="4">
                  <c:v>3.423458644077676E-2</c:v>
                </c:pt>
                <c:pt idx="5">
                  <c:v>0.10116651734077545</c:v>
                </c:pt>
                <c:pt idx="6">
                  <c:v>0.74664235335118256</c:v>
                </c:pt>
                <c:pt idx="7">
                  <c:v>0.20621291360633598</c:v>
                </c:pt>
                <c:pt idx="8">
                  <c:v>22.304788348898221</c:v>
                </c:pt>
                <c:pt idx="9">
                  <c:v>1.5212700906868477</c:v>
                </c:pt>
                <c:pt idx="10">
                  <c:v>6.5261304301170733E-2</c:v>
                </c:pt>
                <c:pt idx="11">
                  <c:v>0</c:v>
                </c:pt>
              </c:numCache>
            </c:numRef>
          </c:val>
          <c:extLst>
            <c:ext xmlns:c16="http://schemas.microsoft.com/office/drawing/2014/chart" uri="{C3380CC4-5D6E-409C-BE32-E72D297353CC}">
              <c16:uniqueId val="{00000000-0D84-46DE-B14D-3CCCF31896CE}"/>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795297462817152"/>
          <c:y val="0.18107356372120154"/>
          <c:w val="0.28538035870516187"/>
          <c:h val="0.78125546806649171"/>
        </c:manualLayout>
      </c:layout>
      <c:overlay val="0"/>
      <c:spPr>
        <a:solidFill>
          <a:schemeClr val="bg1">
            <a:alpha val="39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2472838992855068"/>
          <c:y val="0.21284740449110529"/>
          <c:w val="0.45023707710159649"/>
          <c:h val="0.75474518810148727"/>
        </c:manualLayout>
      </c:layout>
      <c:pieChart>
        <c:varyColors val="1"/>
        <c:ser>
          <c:idx val="0"/>
          <c:order val="0"/>
          <c:tx>
            <c:strRef>
              <c:f>'material inventory'!$N$12</c:f>
              <c:strCache>
                <c:ptCount val="1"/>
                <c:pt idx="0">
                  <c:v>Carbon footprint</c:v>
                </c:pt>
              </c:strCache>
            </c:strRef>
          </c:tx>
          <c:dPt>
            <c:idx val="0"/>
            <c:bubble3D val="0"/>
            <c:spPr>
              <a:solidFill>
                <a:srgbClr val="80B1D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C35-41E7-922F-1C80771F68EC}"/>
              </c:ext>
            </c:extLst>
          </c:dPt>
          <c:dPt>
            <c:idx val="1"/>
            <c:bubble3D val="0"/>
            <c:spPr>
              <a:solidFill>
                <a:srgbClr val="92D05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A16-4E60-ADC2-1792D672B1C1}"/>
              </c:ext>
            </c:extLst>
          </c:dPt>
          <c:dPt>
            <c:idx val="2"/>
            <c:bubble3D val="0"/>
            <c:spPr>
              <a:solidFill>
                <a:srgbClr val="FDB46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8-2A16-4E60-ADC2-1792D672B1C1}"/>
              </c:ext>
            </c:extLst>
          </c:dPt>
          <c:dPt>
            <c:idx val="3"/>
            <c:bubble3D val="0"/>
            <c:spPr>
              <a:solidFill>
                <a:srgbClr val="B3DE6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2A16-4E60-ADC2-1792D672B1C1}"/>
              </c:ext>
            </c:extLst>
          </c:dPt>
          <c:dPt>
            <c:idx val="4"/>
            <c:bubble3D val="0"/>
            <c:spPr>
              <a:solidFill>
                <a:srgbClr val="8DD3C7"/>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A16-4E60-ADC2-1792D672B1C1}"/>
              </c:ext>
            </c:extLst>
          </c:dPt>
          <c:dPt>
            <c:idx val="5"/>
            <c:bubble3D val="0"/>
            <c:spPr>
              <a:solidFill>
                <a:srgbClr val="FFFFB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2A16-4E60-ADC2-1792D672B1C1}"/>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A16-4E60-ADC2-1792D672B1C1}"/>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A16-4E60-ADC2-1792D672B1C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2A16-4E60-ADC2-1792D672B1C1}"/>
              </c:ext>
            </c:extLst>
          </c:dPt>
          <c:dPt>
            <c:idx val="9"/>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A16-4E60-ADC2-1792D672B1C1}"/>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4-B12A-4163-8D71-B1591522C24B}"/>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6-2912-4365-8BC0-C7163A6D92F3}"/>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1961-4AC1-B86C-3CCB7427BAEE}"/>
              </c:ext>
            </c:extLst>
          </c:dPt>
          <c:dLbls>
            <c:dLbl>
              <c:idx val="1"/>
              <c:delete val="1"/>
              <c:extLst>
                <c:ext xmlns:c15="http://schemas.microsoft.com/office/drawing/2012/chart" uri="{CE6537A1-D6FC-4f65-9D91-7224C49458BB}"/>
                <c:ext xmlns:c16="http://schemas.microsoft.com/office/drawing/2014/chart" uri="{C3380CC4-5D6E-409C-BE32-E72D297353CC}">
                  <c16:uniqueId val="{00000009-2A16-4E60-ADC2-1792D672B1C1}"/>
                </c:ext>
              </c:extLst>
            </c:dLbl>
            <c:dLbl>
              <c:idx val="2"/>
              <c:delete val="1"/>
              <c:extLst>
                <c:ext xmlns:c15="http://schemas.microsoft.com/office/drawing/2012/chart" uri="{CE6537A1-D6FC-4f65-9D91-7224C49458BB}"/>
                <c:ext xmlns:c16="http://schemas.microsoft.com/office/drawing/2014/chart" uri="{C3380CC4-5D6E-409C-BE32-E72D297353CC}">
                  <c16:uniqueId val="{00000008-2A16-4E60-ADC2-1792D672B1C1}"/>
                </c:ext>
              </c:extLst>
            </c:dLbl>
            <c:dLbl>
              <c:idx val="3"/>
              <c:delete val="1"/>
              <c:extLst>
                <c:ext xmlns:c15="http://schemas.microsoft.com/office/drawing/2012/chart" uri="{CE6537A1-D6FC-4f65-9D91-7224C49458BB}"/>
                <c:ext xmlns:c16="http://schemas.microsoft.com/office/drawing/2014/chart" uri="{C3380CC4-5D6E-409C-BE32-E72D297353CC}">
                  <c16:uniqueId val="{00000004-2A16-4E60-ADC2-1792D672B1C1}"/>
                </c:ext>
              </c:extLst>
            </c:dLbl>
            <c:dLbl>
              <c:idx val="4"/>
              <c:delete val="1"/>
              <c:extLst>
                <c:ext xmlns:c15="http://schemas.microsoft.com/office/drawing/2012/chart" uri="{CE6537A1-D6FC-4f65-9D91-7224C49458BB}"/>
                <c:ext xmlns:c16="http://schemas.microsoft.com/office/drawing/2014/chart" uri="{C3380CC4-5D6E-409C-BE32-E72D297353CC}">
                  <c16:uniqueId val="{00000007-2A16-4E60-ADC2-1792D672B1C1}"/>
                </c:ext>
              </c:extLst>
            </c:dLbl>
            <c:dLbl>
              <c:idx val="5"/>
              <c:delete val="1"/>
              <c:extLst>
                <c:ext xmlns:c15="http://schemas.microsoft.com/office/drawing/2012/chart" uri="{CE6537A1-D6FC-4f65-9D91-7224C49458BB}"/>
                <c:ext xmlns:c16="http://schemas.microsoft.com/office/drawing/2014/chart" uri="{C3380CC4-5D6E-409C-BE32-E72D297353CC}">
                  <c16:uniqueId val="{00000006-2A16-4E60-ADC2-1792D672B1C1}"/>
                </c:ext>
              </c:extLst>
            </c:dLbl>
            <c:dLbl>
              <c:idx val="6"/>
              <c:delete val="1"/>
              <c:extLst>
                <c:ext xmlns:c15="http://schemas.microsoft.com/office/drawing/2012/chart" uri="{CE6537A1-D6FC-4f65-9D91-7224C49458BB}"/>
                <c:ext xmlns:c16="http://schemas.microsoft.com/office/drawing/2014/chart" uri="{C3380CC4-5D6E-409C-BE32-E72D297353CC}">
                  <c16:uniqueId val="{00000005-2A16-4E60-ADC2-1792D672B1C1}"/>
                </c:ext>
              </c:extLst>
            </c:dLbl>
            <c:dLbl>
              <c:idx val="7"/>
              <c:delete val="1"/>
              <c:extLst>
                <c:ext xmlns:c15="http://schemas.microsoft.com/office/drawing/2012/chart" uri="{CE6537A1-D6FC-4f65-9D91-7224C49458BB}"/>
                <c:ext xmlns:c16="http://schemas.microsoft.com/office/drawing/2014/chart" uri="{C3380CC4-5D6E-409C-BE32-E72D297353CC}">
                  <c16:uniqueId val="{00000003-2A16-4E60-ADC2-1792D672B1C1}"/>
                </c:ext>
              </c:extLst>
            </c:dLbl>
            <c:dLbl>
              <c:idx val="9"/>
              <c:layout>
                <c:manualLayout>
                  <c:x val="8.6698162729658745E-2"/>
                  <c:y val="1.208406240886553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A16-4E60-ADC2-1792D672B1C1}"/>
                </c:ext>
              </c:extLst>
            </c:dLbl>
            <c:dLbl>
              <c:idx val="10"/>
              <c:delete val="1"/>
              <c:extLst>
                <c:ext xmlns:c15="http://schemas.microsoft.com/office/drawing/2012/chart" uri="{CE6537A1-D6FC-4f65-9D91-7224C49458BB}"/>
                <c:ext xmlns:c16="http://schemas.microsoft.com/office/drawing/2014/chart" uri="{C3380CC4-5D6E-409C-BE32-E72D297353CC}">
                  <c16:uniqueId val="{00000014-B12A-4163-8D71-B1591522C24B}"/>
                </c:ext>
              </c:extLst>
            </c:dLbl>
            <c:dLbl>
              <c:idx val="11"/>
              <c:delete val="1"/>
              <c:extLst>
                <c:ext xmlns:c15="http://schemas.microsoft.com/office/drawing/2012/chart" uri="{CE6537A1-D6FC-4f65-9D91-7224C49458BB}"/>
                <c:ext xmlns:c16="http://schemas.microsoft.com/office/drawing/2014/chart" uri="{C3380CC4-5D6E-409C-BE32-E72D297353CC}">
                  <c16:uniqueId val="{00000016-2912-4365-8BC0-C7163A6D92F3}"/>
                </c:ext>
              </c:extLst>
            </c:dLbl>
            <c:dLbl>
              <c:idx val="12"/>
              <c:delete val="1"/>
              <c:extLst>
                <c:ext xmlns:c15="http://schemas.microsoft.com/office/drawing/2012/chart" uri="{CE6537A1-D6FC-4f65-9D91-7224C49458BB}"/>
                <c:ext xmlns:c16="http://schemas.microsoft.com/office/drawing/2014/chart" uri="{C3380CC4-5D6E-409C-BE32-E72D297353CC}">
                  <c16:uniqueId val="{00000019-1961-4AC1-B86C-3CCB7427BAE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('material inventory'!$M$13:$M$24,'material inventory'!$M$36)</c:f>
              <c:strCache>
                <c:ptCount val="13"/>
                <c:pt idx="0">
                  <c:v>ITO glass</c:v>
                </c:pt>
                <c:pt idx="1">
                  <c:v>Ethanol</c:v>
                </c:pt>
                <c:pt idx="2">
                  <c:v>Deionized water</c:v>
                </c:pt>
                <c:pt idx="3">
                  <c:v>NiOₓ precursor solution</c:v>
                </c:pt>
                <c:pt idx="4">
                  <c:v>PbI₂</c:v>
                </c:pt>
                <c:pt idx="5">
                  <c:v>Dimethylformamide</c:v>
                </c:pt>
                <c:pt idx="6">
                  <c:v>MAI</c:v>
                </c:pt>
                <c:pt idx="7">
                  <c:v>Isopropanol</c:v>
                </c:pt>
                <c:pt idx="8">
                  <c:v>Nitrogen</c:v>
                </c:pt>
                <c:pt idx="9">
                  <c:v>ZnO nanoparticles</c:v>
                </c:pt>
                <c:pt idx="10">
                  <c:v>Al</c:v>
                </c:pt>
                <c:pt idx="11">
                  <c:v>Direct emissions</c:v>
                </c:pt>
                <c:pt idx="12">
                  <c:v>Treatment</c:v>
                </c:pt>
              </c:strCache>
            </c:strRef>
          </c:cat>
          <c:val>
            <c:numRef>
              <c:f>('material inventory'!$N$13:$N$24,'material inventory'!$N$36)</c:f>
              <c:numCache>
                <c:formatCode>0.000E+00</c:formatCode>
                <c:ptCount val="13"/>
                <c:pt idx="0">
                  <c:v>1.6837863429999995</c:v>
                </c:pt>
                <c:pt idx="1">
                  <c:v>3.6067691999999998E-2</c:v>
                </c:pt>
                <c:pt idx="2">
                  <c:v>5.6916582000000001E-5</c:v>
                </c:pt>
                <c:pt idx="3">
                  <c:v>3.2234827634271858E-2</c:v>
                </c:pt>
                <c:pt idx="4">
                  <c:v>2.8789914277598614E-3</c:v>
                </c:pt>
                <c:pt idx="5">
                  <c:v>3.7194557030399995E-3</c:v>
                </c:pt>
                <c:pt idx="6">
                  <c:v>3.5150263174525943E-2</c:v>
                </c:pt>
                <c:pt idx="7">
                  <c:v>6.2385419519999999E-3</c:v>
                </c:pt>
                <c:pt idx="8">
                  <c:v>1.6371150925259081</c:v>
                </c:pt>
                <c:pt idx="9">
                  <c:v>6.3772044169255901E-2</c:v>
                </c:pt>
                <c:pt idx="10">
                  <c:v>7.007356097560976E-3</c:v>
                </c:pt>
                <c:pt idx="11">
                  <c:v>0</c:v>
                </c:pt>
                <c:pt idx="12">
                  <c:v>1.44631779E-4</c:v>
                </c:pt>
              </c:numCache>
            </c:numRef>
          </c:val>
          <c:extLst>
            <c:ext xmlns:c16="http://schemas.microsoft.com/office/drawing/2014/chart" uri="{C3380CC4-5D6E-409C-BE32-E72D297353CC}">
              <c16:uniqueId val="{00000000-2A16-4E60-ADC2-1792D672B1C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9795297462817152"/>
          <c:y val="0.13940689705453488"/>
          <c:w val="0.28538035870516187"/>
          <c:h val="0.82292213473315834"/>
        </c:manualLayout>
      </c:layout>
      <c:overlay val="0"/>
      <c:spPr>
        <a:solidFill>
          <a:schemeClr val="bg1">
            <a:alpha val="39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35B-4B2A-A371-D719E820EA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35B-4B2A-A371-D719E820EAE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35B-4B2A-A371-D719E820EAE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35B-4B2A-A371-D719E820EAE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35B-4B2A-A371-D719E820EAE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35B-4B2A-A371-D719E820EAE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35B-4B2A-A371-D719E820EAE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35B-4B2A-A371-D719E820EAE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35B-4B2A-A371-D719E820EAE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35B-4B2A-A371-D719E820EAE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41C-4AAB-B30F-57FD7E6A2D88}"/>
              </c:ext>
            </c:extLst>
          </c:dPt>
          <c:cat>
            <c:strRef>
              <c:f>'material inventory'!$M$13:$M$23</c:f>
              <c:strCache>
                <c:ptCount val="11"/>
                <c:pt idx="0">
                  <c:v>ITO glass</c:v>
                </c:pt>
                <c:pt idx="1">
                  <c:v>Ethanol</c:v>
                </c:pt>
                <c:pt idx="2">
                  <c:v>Deionized water</c:v>
                </c:pt>
                <c:pt idx="3">
                  <c:v>NiOₓ precursor solution</c:v>
                </c:pt>
                <c:pt idx="4">
                  <c:v>PbI₂</c:v>
                </c:pt>
                <c:pt idx="5">
                  <c:v>Dimethylformamide</c:v>
                </c:pt>
                <c:pt idx="6">
                  <c:v>MAI</c:v>
                </c:pt>
                <c:pt idx="7">
                  <c:v>Isopropanol</c:v>
                </c:pt>
                <c:pt idx="8">
                  <c:v>Nitrogen</c:v>
                </c:pt>
                <c:pt idx="9">
                  <c:v>ZnO nanoparticles</c:v>
                </c:pt>
                <c:pt idx="10">
                  <c:v>Al</c:v>
                </c:pt>
              </c:strCache>
            </c:strRef>
          </c:cat>
          <c:val>
            <c:numRef>
              <c:f>'material inventory'!$O$13:$O$23</c:f>
              <c:numCache>
                <c:formatCode>0.000E+00</c:formatCode>
                <c:ptCount val="11"/>
                <c:pt idx="0">
                  <c:v>29.222870408888099</c:v>
                </c:pt>
                <c:pt idx="1">
                  <c:v>1.0715802776700001</c:v>
                </c:pt>
                <c:pt idx="2">
                  <c:v>7.8310930304560005E-4</c:v>
                </c:pt>
                <c:pt idx="3">
                  <c:v>0.63858715683810552</c:v>
                </c:pt>
                <c:pt idx="4">
                  <c:v>3.423458644077676E-2</c:v>
                </c:pt>
                <c:pt idx="5">
                  <c:v>0.10116651734077545</c:v>
                </c:pt>
                <c:pt idx="6">
                  <c:v>0.74664235335118256</c:v>
                </c:pt>
                <c:pt idx="7">
                  <c:v>0.20621291360633598</c:v>
                </c:pt>
                <c:pt idx="8">
                  <c:v>22.304788348898221</c:v>
                </c:pt>
                <c:pt idx="9">
                  <c:v>1.5212700906868477</c:v>
                </c:pt>
                <c:pt idx="10">
                  <c:v>6.5261304301170733E-2</c:v>
                </c:pt>
              </c:numCache>
            </c:numRef>
          </c:val>
          <c:extLst>
            <c:ext xmlns:c16="http://schemas.microsoft.com/office/drawing/2014/chart" uri="{C3380CC4-5D6E-409C-BE32-E72D297353CC}">
              <c16:uniqueId val="{00000000-E57D-4236-AAC3-2EDCFD701D9D}"/>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Carbon footprint (kg CO</a:t>
            </a:r>
            <a:r>
              <a:rPr lang="en-US" sz="1400" b="0" i="0" baseline="-25000">
                <a:effectLst/>
              </a:rPr>
              <a:t>2</a:t>
            </a:r>
            <a:r>
              <a:rPr lang="en-US" sz="1400" b="0" i="0" baseline="0">
                <a:effectLst/>
              </a:rPr>
              <a:t>-eq/m</a:t>
            </a:r>
            <a:r>
              <a:rPr lang="en-US" sz="1400" b="0" i="0" baseline="30000">
                <a:effectLst/>
              </a:rPr>
              <a:t>2 </a:t>
            </a:r>
            <a:r>
              <a:rPr lang="en-US" sz="1400" b="0" i="0" baseline="0">
                <a:effectLst/>
              </a:rPr>
              <a:t>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3451D7E5-A27F-4046-8134-B4B3288F8B2D}"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867-4C9F-A33B-C061E9629100}"/>
                </c:ext>
              </c:extLst>
            </c:dLbl>
            <c:dLbl>
              <c:idx val="1"/>
              <c:tx>
                <c:rich>
                  <a:bodyPr/>
                  <a:lstStyle/>
                  <a:p>
                    <a:fld id="{0BB53B80-DE80-490E-8BD8-7DF30AB70CD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867-4C9F-A33B-C061E9629100}"/>
                </c:ext>
              </c:extLst>
            </c:dLbl>
            <c:dLbl>
              <c:idx val="2"/>
              <c:tx>
                <c:rich>
                  <a:bodyPr/>
                  <a:lstStyle/>
                  <a:p>
                    <a:fld id="{DAEEDFEF-76FE-4750-80F5-DEA57D88303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867-4C9F-A33B-C061E9629100}"/>
                </c:ext>
              </c:extLst>
            </c:dLbl>
            <c:dLbl>
              <c:idx val="3"/>
              <c:tx>
                <c:rich>
                  <a:bodyPr/>
                  <a:lstStyle/>
                  <a:p>
                    <a:fld id="{DA192E0C-D288-4AAE-B2AE-7DF3030EBA00}"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867-4C9F-A33B-C061E9629100}"/>
                </c:ext>
              </c:extLst>
            </c:dLbl>
            <c:dLbl>
              <c:idx val="4"/>
              <c:tx>
                <c:rich>
                  <a:bodyPr/>
                  <a:lstStyle/>
                  <a:p>
                    <a:fld id="{37F4D420-A3E1-4EF1-BEA3-C8760A684DA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867-4C9F-A33B-C061E9629100}"/>
                </c:ext>
              </c:extLst>
            </c:dLbl>
            <c:dLbl>
              <c:idx val="5"/>
              <c:tx>
                <c:rich>
                  <a:bodyPr/>
                  <a:lstStyle/>
                  <a:p>
                    <a:fld id="{C01DD607-6B86-47BF-9C83-F78721B3575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867-4C9F-A33B-C061E9629100}"/>
                </c:ext>
              </c:extLst>
            </c:dLbl>
            <c:dLbl>
              <c:idx val="6"/>
              <c:tx>
                <c:rich>
                  <a:bodyPr/>
                  <a:lstStyle/>
                  <a:p>
                    <a:fld id="{5F93DB44-21E4-417B-8B19-0F4CC55B9A47}"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867-4C9F-A33B-C061E9629100}"/>
                </c:ext>
              </c:extLst>
            </c:dLbl>
            <c:dLbl>
              <c:idx val="7"/>
              <c:tx>
                <c:rich>
                  <a:bodyPr/>
                  <a:lstStyle/>
                  <a:p>
                    <a:fld id="{407018BD-055C-49FB-95A3-214683AEA6D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867-4C9F-A33B-C061E962910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SA!$A$5:$A$12</c:f>
              <c:strCache>
                <c:ptCount val="8"/>
                <c:pt idx="0">
                  <c:v>Utilization efficiency of spin coating (80%)</c:v>
                </c:pt>
                <c:pt idx="1">
                  <c:v>Energy consumption of ETL spin coating, kWh (6.701)</c:v>
                </c:pt>
                <c:pt idx="2">
                  <c:v>Energy consumption of HTL spin coating, kWh (6.701)</c:v>
                </c:pt>
                <c:pt idx="3">
                  <c:v>Energy consumption of vasuum pump, kWh (9.200)</c:v>
                </c:pt>
                <c:pt idx="4">
                  <c:v>Recycling level of substrate (90%)</c:v>
                </c:pt>
                <c:pt idx="5">
                  <c:v>Energy consumption of cooling, kWh (16.00)</c:v>
                </c:pt>
                <c:pt idx="6">
                  <c:v>Energy consumption of PL annealing, kWh (28.80)</c:v>
                </c:pt>
                <c:pt idx="7">
                  <c:v>Energy consumption of HTL anneal, kWh (43.20)</c:v>
                </c:pt>
              </c:strCache>
            </c:strRef>
          </c:cat>
          <c:val>
            <c:numRef>
              <c:f>SA!$C$5:$C$12</c:f>
              <c:numCache>
                <c:formatCode>General</c:formatCode>
                <c:ptCount val="8"/>
                <c:pt idx="0">
                  <c:v>95.525034104086927</c:v>
                </c:pt>
                <c:pt idx="1">
                  <c:v>94.552980427071603</c:v>
                </c:pt>
                <c:pt idx="2">
                  <c:v>94.552980427071603</c:v>
                </c:pt>
                <c:pt idx="3">
                  <c:v>94.198210713890376</c:v>
                </c:pt>
                <c:pt idx="4">
                  <c:v>97.470585042161247</c:v>
                </c:pt>
                <c:pt idx="5">
                  <c:v>93.232719513117985</c:v>
                </c:pt>
                <c:pt idx="6">
                  <c:v>91.415324311664079</c:v>
                </c:pt>
                <c:pt idx="7">
                  <c:v>89.370754710028407</c:v>
                </c:pt>
              </c:numCache>
            </c:numRef>
          </c:val>
          <c:extLst>
            <c:ext xmlns:c15="http://schemas.microsoft.com/office/drawing/2012/chart" uri="{02D57815-91ED-43cb-92C2-25804820EDAC}">
              <c15:datalabelsRange>
                <c15:f>SA!$B$5:$B$12</c15:f>
                <c15:dlblRangeCache>
                  <c:ptCount val="8"/>
                  <c:pt idx="0">
                    <c:v>70%</c:v>
                  </c:pt>
                  <c:pt idx="1">
                    <c:v>5.361</c:v>
                  </c:pt>
                  <c:pt idx="2">
                    <c:v>5.361</c:v>
                  </c:pt>
                  <c:pt idx="3">
                    <c:v>7.360</c:v>
                  </c:pt>
                  <c:pt idx="4">
                    <c:v>80%</c:v>
                  </c:pt>
                  <c:pt idx="5">
                    <c:v>12.80</c:v>
                  </c:pt>
                  <c:pt idx="6">
                    <c:v>23.04</c:v>
                  </c:pt>
                  <c:pt idx="7">
                    <c:v>34.56</c:v>
                  </c:pt>
                </c15:dlblRangeCache>
              </c15:datalabelsRange>
            </c:ext>
            <c:ext xmlns:c16="http://schemas.microsoft.com/office/drawing/2014/chart" uri="{C3380CC4-5D6E-409C-BE32-E72D297353CC}">
              <c16:uniqueId val="{00000000-8867-4C9F-A33B-C061E9629100}"/>
            </c:ext>
          </c:extLst>
        </c:ser>
        <c:ser>
          <c:idx val="1"/>
          <c:order val="1"/>
          <c:spPr>
            <a:solidFill>
              <a:schemeClr val="accent2"/>
            </a:solidFill>
            <a:ln>
              <a:noFill/>
            </a:ln>
            <a:effectLst/>
          </c:spPr>
          <c:invertIfNegative val="0"/>
          <c:dLbls>
            <c:dLbl>
              <c:idx val="0"/>
              <c:tx>
                <c:rich>
                  <a:bodyPr/>
                  <a:lstStyle/>
                  <a:p>
                    <a:fld id="{11FBBA3D-5D8B-4F81-914E-8960369B5F6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867-4C9F-A33B-C061E9629100}"/>
                </c:ext>
              </c:extLst>
            </c:dLbl>
            <c:dLbl>
              <c:idx val="1"/>
              <c:tx>
                <c:rich>
                  <a:bodyPr/>
                  <a:lstStyle/>
                  <a:p>
                    <a:fld id="{36938F92-B5AF-4257-B6A8-6C1E1C8F045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867-4C9F-A33B-C061E9629100}"/>
                </c:ext>
              </c:extLst>
            </c:dLbl>
            <c:dLbl>
              <c:idx val="2"/>
              <c:tx>
                <c:rich>
                  <a:bodyPr/>
                  <a:lstStyle/>
                  <a:p>
                    <a:fld id="{14D5710B-8245-45A0-A9E8-A8F67648809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867-4C9F-A33B-C061E9629100}"/>
                </c:ext>
              </c:extLst>
            </c:dLbl>
            <c:dLbl>
              <c:idx val="3"/>
              <c:tx>
                <c:rich>
                  <a:bodyPr/>
                  <a:lstStyle/>
                  <a:p>
                    <a:fld id="{36B0AE17-37E4-476B-9538-B8D4DA4F9D8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867-4C9F-A33B-C061E9629100}"/>
                </c:ext>
              </c:extLst>
            </c:dLbl>
            <c:dLbl>
              <c:idx val="4"/>
              <c:tx>
                <c:rich>
                  <a:bodyPr/>
                  <a:lstStyle/>
                  <a:p>
                    <a:fld id="{073C5ACC-A99C-4022-80A9-41162272B348}"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8867-4C9F-A33B-C061E9629100}"/>
                </c:ext>
              </c:extLst>
            </c:dLbl>
            <c:dLbl>
              <c:idx val="5"/>
              <c:tx>
                <c:rich>
                  <a:bodyPr/>
                  <a:lstStyle/>
                  <a:p>
                    <a:fld id="{D4F3667F-3EFE-47CB-904C-3CB63FFCCE7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8867-4C9F-A33B-C061E9629100}"/>
                </c:ext>
              </c:extLst>
            </c:dLbl>
            <c:dLbl>
              <c:idx val="6"/>
              <c:tx>
                <c:rich>
                  <a:bodyPr/>
                  <a:lstStyle/>
                  <a:p>
                    <a:fld id="{D47D3BFE-7D0D-4388-B695-F377277B0211}"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8867-4C9F-A33B-C061E9629100}"/>
                </c:ext>
              </c:extLst>
            </c:dLbl>
            <c:dLbl>
              <c:idx val="7"/>
              <c:tx>
                <c:rich>
                  <a:bodyPr/>
                  <a:lstStyle/>
                  <a:p>
                    <a:fld id="{3DB1AF4C-F0DD-4B04-8EF1-89B24D64ABB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8867-4C9F-A33B-C061E9629100}"/>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SA!$A$5:$A$12</c:f>
              <c:strCache>
                <c:ptCount val="8"/>
                <c:pt idx="0">
                  <c:v>Utilization efficiency of spin coating (80%)</c:v>
                </c:pt>
                <c:pt idx="1">
                  <c:v>Energy consumption of ETL spin coating, kWh (6.701)</c:v>
                </c:pt>
                <c:pt idx="2">
                  <c:v>Energy consumption of HTL spin coating, kWh (6.701)</c:v>
                </c:pt>
                <c:pt idx="3">
                  <c:v>Energy consumption of vasuum pump, kWh (9.200)</c:v>
                </c:pt>
                <c:pt idx="4">
                  <c:v>Recycling level of substrate (90%)</c:v>
                </c:pt>
                <c:pt idx="5">
                  <c:v>Energy consumption of cooling, kWh (16.00)</c:v>
                </c:pt>
                <c:pt idx="6">
                  <c:v>Energy consumption of PL annealing, kWh (28.80)</c:v>
                </c:pt>
                <c:pt idx="7">
                  <c:v>Energy consumption of HTL anneal, kWh (43.20)</c:v>
                </c:pt>
              </c:strCache>
            </c:strRef>
          </c:cat>
          <c:val>
            <c:numRef>
              <c:f>SA!$G$5:$G$12</c:f>
              <c:numCache>
                <c:formatCode>General</c:formatCode>
                <c:ptCount val="8"/>
                <c:pt idx="0">
                  <c:v>95.488464167817497</c:v>
                </c:pt>
                <c:pt idx="1">
                  <c:v>96.455946602799145</c:v>
                </c:pt>
                <c:pt idx="2">
                  <c:v>96.455946602799145</c:v>
                </c:pt>
                <c:pt idx="3">
                  <c:v>96.810716315980386</c:v>
                </c:pt>
                <c:pt idx="4">
                  <c:v>93.538341987709501</c:v>
                </c:pt>
                <c:pt idx="5">
                  <c:v>97.776207516752777</c:v>
                </c:pt>
                <c:pt idx="6">
                  <c:v>99.593602718206682</c:v>
                </c:pt>
                <c:pt idx="7">
                  <c:v>101.63817231984234</c:v>
                </c:pt>
              </c:numCache>
            </c:numRef>
          </c:val>
          <c:extLst>
            <c:ext xmlns:c15="http://schemas.microsoft.com/office/drawing/2012/chart" uri="{02D57815-91ED-43cb-92C2-25804820EDAC}">
              <c15:datalabelsRange>
                <c15:f>SA!$F$5:$F$12</c15:f>
                <c15:dlblRangeCache>
                  <c:ptCount val="8"/>
                  <c:pt idx="0">
                    <c:v>90%</c:v>
                  </c:pt>
                  <c:pt idx="1">
                    <c:v>8.041</c:v>
                  </c:pt>
                  <c:pt idx="2">
                    <c:v>8.041</c:v>
                  </c:pt>
                  <c:pt idx="3">
                    <c:v>11.04</c:v>
                  </c:pt>
                  <c:pt idx="4">
                    <c:v>100%</c:v>
                  </c:pt>
                  <c:pt idx="5">
                    <c:v>19.20</c:v>
                  </c:pt>
                  <c:pt idx="6">
                    <c:v>34.56</c:v>
                  </c:pt>
                  <c:pt idx="7">
                    <c:v>51.84</c:v>
                  </c:pt>
                </c15:dlblRangeCache>
              </c15:datalabelsRange>
            </c:ext>
            <c:ext xmlns:c16="http://schemas.microsoft.com/office/drawing/2014/chart" uri="{C3380CC4-5D6E-409C-BE32-E72D297353CC}">
              <c16:uniqueId val="{00000002-8867-4C9F-A33B-C061E9629100}"/>
            </c:ext>
          </c:extLst>
        </c:ser>
        <c:dLbls>
          <c:dLblPos val="outEnd"/>
          <c:showLegendKey val="0"/>
          <c:showVal val="1"/>
          <c:showCatName val="0"/>
          <c:showSerName val="0"/>
          <c:showPercent val="0"/>
          <c:showBubbleSize val="0"/>
        </c:dLbls>
        <c:gapWidth val="182"/>
        <c:overlap val="100"/>
        <c:axId val="19146863"/>
        <c:axId val="338742815"/>
      </c:barChart>
      <c:catAx>
        <c:axId val="19146863"/>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38742815"/>
        <c:crossesAt val="95.504463510000008"/>
        <c:auto val="1"/>
        <c:lblAlgn val="ctr"/>
        <c:lblOffset val="100"/>
        <c:noMultiLvlLbl val="0"/>
      </c:catAx>
      <c:valAx>
        <c:axId val="338742815"/>
        <c:scaling>
          <c:orientation val="minMax"/>
          <c:max val="102"/>
          <c:min val="88"/>
        </c:scaling>
        <c:delete val="0"/>
        <c:axPos val="b"/>
        <c:majorGridlines>
          <c:spPr>
            <a:ln w="9525" cap="flat" cmpd="sng" algn="ctr">
              <a:solidFill>
                <a:schemeClr val="tx1">
                  <a:lumMod val="15000"/>
                  <a:lumOff val="85000"/>
                </a:schemeClr>
              </a:solidFill>
              <a:round/>
            </a:ln>
            <a:effectLst/>
          </c:spPr>
        </c:majorGridlines>
        <c:numFmt formatCode="General" sourceLinked="1"/>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9146863"/>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400" b="0" i="0" baseline="0">
                <a:effectLst/>
              </a:rPr>
              <a:t>Primary energy consumption (MJ/m</a:t>
            </a:r>
            <a:r>
              <a:rPr lang="en-US" sz="1400" b="0" i="0" baseline="30000">
                <a:effectLst/>
              </a:rPr>
              <a:t>2</a:t>
            </a:r>
            <a:r>
              <a:rPr lang="en-US" sz="1400" b="0" i="0" baseline="0">
                <a:effectLst/>
              </a:rPr>
              <a:t> module)</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barChart>
        <c:barDir val="bar"/>
        <c:grouping val="clustered"/>
        <c:varyColors val="0"/>
        <c:ser>
          <c:idx val="0"/>
          <c:order val="0"/>
          <c:spPr>
            <a:solidFill>
              <a:schemeClr val="accent1"/>
            </a:solidFill>
            <a:ln>
              <a:noFill/>
            </a:ln>
            <a:effectLst/>
          </c:spPr>
          <c:invertIfNegative val="0"/>
          <c:dLbls>
            <c:dLbl>
              <c:idx val="0"/>
              <c:tx>
                <c:rich>
                  <a:bodyPr/>
                  <a:lstStyle/>
                  <a:p>
                    <a:fld id="{CF0765F5-D71B-4460-93F3-9B52B6CEED4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D9DF-4F32-A9D4-ED62E3B0CF03}"/>
                </c:ext>
              </c:extLst>
            </c:dLbl>
            <c:dLbl>
              <c:idx val="1"/>
              <c:tx>
                <c:rich>
                  <a:bodyPr/>
                  <a:lstStyle/>
                  <a:p>
                    <a:fld id="{EFBE103E-FB1A-454E-BC44-36EAC0888BE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D9DF-4F32-A9D4-ED62E3B0CF03}"/>
                </c:ext>
              </c:extLst>
            </c:dLbl>
            <c:dLbl>
              <c:idx val="2"/>
              <c:tx>
                <c:rich>
                  <a:bodyPr/>
                  <a:lstStyle/>
                  <a:p>
                    <a:fld id="{180D3AD6-3DDF-4C18-A96B-3DBB1C9A410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D9DF-4F32-A9D4-ED62E3B0CF03}"/>
                </c:ext>
              </c:extLst>
            </c:dLbl>
            <c:dLbl>
              <c:idx val="3"/>
              <c:tx>
                <c:rich>
                  <a:bodyPr/>
                  <a:lstStyle/>
                  <a:p>
                    <a:fld id="{36908C6C-6120-42CC-BC14-5CE68EB5775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9DF-4F32-A9D4-ED62E3B0CF03}"/>
                </c:ext>
              </c:extLst>
            </c:dLbl>
            <c:dLbl>
              <c:idx val="4"/>
              <c:tx>
                <c:rich>
                  <a:bodyPr/>
                  <a:lstStyle/>
                  <a:p>
                    <a:fld id="{786314E0-945A-47E4-978A-9A82254A7C42}"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9DF-4F32-A9D4-ED62E3B0CF03}"/>
                </c:ext>
              </c:extLst>
            </c:dLbl>
            <c:dLbl>
              <c:idx val="5"/>
              <c:tx>
                <c:rich>
                  <a:bodyPr/>
                  <a:lstStyle/>
                  <a:p>
                    <a:fld id="{1299E44C-8A06-499D-83CB-2582179F566B}"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D9DF-4F32-A9D4-ED62E3B0CF03}"/>
                </c:ext>
              </c:extLst>
            </c:dLbl>
            <c:dLbl>
              <c:idx val="6"/>
              <c:tx>
                <c:rich>
                  <a:bodyPr/>
                  <a:lstStyle/>
                  <a:p>
                    <a:fld id="{C23DC560-A02F-47E5-AB18-3623048F9AF3}"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D9DF-4F32-A9D4-ED62E3B0CF03}"/>
                </c:ext>
              </c:extLst>
            </c:dLbl>
            <c:dLbl>
              <c:idx val="7"/>
              <c:tx>
                <c:rich>
                  <a:bodyPr/>
                  <a:lstStyle/>
                  <a:p>
                    <a:fld id="{11D014CF-6AC7-4EB3-B83E-E17B712C07A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D9DF-4F32-A9D4-ED62E3B0CF0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SA!$A$18:$A$25</c:f>
              <c:strCache>
                <c:ptCount val="8"/>
                <c:pt idx="0">
                  <c:v>Utilization efficiency of spin coating (80%)</c:v>
                </c:pt>
                <c:pt idx="1">
                  <c:v>Energy consumption of ETL spin coating, kWh (6.701)</c:v>
                </c:pt>
                <c:pt idx="2">
                  <c:v>Energy consumption of HTL spin coating, kWh (6.701)</c:v>
                </c:pt>
                <c:pt idx="3">
                  <c:v>Energy consumption of vasuum pump, kWh (9.200)</c:v>
                </c:pt>
                <c:pt idx="4">
                  <c:v>Recycling level of substrate (90%)</c:v>
                </c:pt>
                <c:pt idx="5">
                  <c:v>Energy consumption of cooling, kWh (16.00)</c:v>
                </c:pt>
                <c:pt idx="6">
                  <c:v>Energy consumption of PL annealing, kWh (28.80)</c:v>
                </c:pt>
                <c:pt idx="7">
                  <c:v>Energy consumption of HTL anneal, kWh (43.20)</c:v>
                </c:pt>
              </c:strCache>
            </c:strRef>
          </c:cat>
          <c:val>
            <c:numRef>
              <c:f>SA!$C$18:$C$25</c:f>
              <c:numCache>
                <c:formatCode>0.0000</c:formatCode>
                <c:ptCount val="8"/>
                <c:pt idx="0">
                  <c:v>1675.1109685218205</c:v>
                </c:pt>
                <c:pt idx="1">
                  <c:v>1657.9048563750589</c:v>
                </c:pt>
                <c:pt idx="2">
                  <c:v>1657.9048563750589</c:v>
                </c:pt>
                <c:pt idx="3">
                  <c:v>1651.6624032597242</c:v>
                </c:pt>
                <c:pt idx="4">
                  <c:v>1708.8377331069166</c:v>
                </c:pt>
                <c:pt idx="5">
                  <c:v>1634.6738235412215</c:v>
                </c:pt>
                <c:pt idx="6">
                  <c:v>1602.6953205416869</c:v>
                </c:pt>
                <c:pt idx="7">
                  <c:v>1566.71950466721</c:v>
                </c:pt>
              </c:numCache>
            </c:numRef>
          </c:val>
          <c:extLst>
            <c:ext xmlns:c15="http://schemas.microsoft.com/office/drawing/2012/chart" uri="{02D57815-91ED-43cb-92C2-25804820EDAC}">
              <c15:datalabelsRange>
                <c15:f>SA!$B$5:$B$12</c15:f>
                <c15:dlblRangeCache>
                  <c:ptCount val="8"/>
                  <c:pt idx="0">
                    <c:v>70%</c:v>
                  </c:pt>
                  <c:pt idx="1">
                    <c:v>5.361</c:v>
                  </c:pt>
                  <c:pt idx="2">
                    <c:v>5.361</c:v>
                  </c:pt>
                  <c:pt idx="3">
                    <c:v>7.360</c:v>
                  </c:pt>
                  <c:pt idx="4">
                    <c:v>80%</c:v>
                  </c:pt>
                  <c:pt idx="5">
                    <c:v>12.80</c:v>
                  </c:pt>
                  <c:pt idx="6">
                    <c:v>23.04</c:v>
                  </c:pt>
                  <c:pt idx="7">
                    <c:v>34.56</c:v>
                  </c:pt>
                </c15:dlblRangeCache>
              </c15:datalabelsRange>
            </c:ext>
            <c:ext xmlns:c16="http://schemas.microsoft.com/office/drawing/2014/chart" uri="{C3380CC4-5D6E-409C-BE32-E72D297353CC}">
              <c16:uniqueId val="{00000000-D9DF-4F32-A9D4-ED62E3B0CF03}"/>
            </c:ext>
          </c:extLst>
        </c:ser>
        <c:ser>
          <c:idx val="1"/>
          <c:order val="1"/>
          <c:spPr>
            <a:solidFill>
              <a:schemeClr val="accent2"/>
            </a:solidFill>
            <a:ln>
              <a:noFill/>
            </a:ln>
            <a:effectLst/>
          </c:spPr>
          <c:invertIfNegative val="0"/>
          <c:dLbls>
            <c:dLbl>
              <c:idx val="0"/>
              <c:tx>
                <c:rich>
                  <a:bodyPr/>
                  <a:lstStyle/>
                  <a:p>
                    <a:fld id="{E2DE1494-1DBA-489F-AC5B-91152C055C5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D9DF-4F32-A9D4-ED62E3B0CF03}"/>
                </c:ext>
              </c:extLst>
            </c:dLbl>
            <c:dLbl>
              <c:idx val="1"/>
              <c:tx>
                <c:rich>
                  <a:bodyPr/>
                  <a:lstStyle/>
                  <a:p>
                    <a:fld id="{8E3F857B-8C6B-42D6-8D6B-74A30FF124BA}"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D9DF-4F32-A9D4-ED62E3B0CF03}"/>
                </c:ext>
              </c:extLst>
            </c:dLbl>
            <c:dLbl>
              <c:idx val="2"/>
              <c:tx>
                <c:rich>
                  <a:bodyPr/>
                  <a:lstStyle/>
                  <a:p>
                    <a:fld id="{5B5E259D-5DED-4385-99D1-112CAF690FA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D9DF-4F32-A9D4-ED62E3B0CF03}"/>
                </c:ext>
              </c:extLst>
            </c:dLbl>
            <c:dLbl>
              <c:idx val="3"/>
              <c:tx>
                <c:rich>
                  <a:bodyPr/>
                  <a:lstStyle/>
                  <a:p>
                    <a:fld id="{3078207E-BA52-4DE1-BE0F-00E751A62C5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D9DF-4F32-A9D4-ED62E3B0CF03}"/>
                </c:ext>
              </c:extLst>
            </c:dLbl>
            <c:dLbl>
              <c:idx val="4"/>
              <c:tx>
                <c:rich>
                  <a:bodyPr/>
                  <a:lstStyle/>
                  <a:p>
                    <a:fld id="{C80C7DB1-76E8-4D0A-8CD0-23EE3E26FD35}"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D9DF-4F32-A9D4-ED62E3B0CF03}"/>
                </c:ext>
              </c:extLst>
            </c:dLbl>
            <c:dLbl>
              <c:idx val="5"/>
              <c:tx>
                <c:rich>
                  <a:bodyPr/>
                  <a:lstStyle/>
                  <a:p>
                    <a:fld id="{238BF5FB-29E3-451B-9394-C032B58B2A4C}"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D9DF-4F32-A9D4-ED62E3B0CF03}"/>
                </c:ext>
              </c:extLst>
            </c:dLbl>
            <c:dLbl>
              <c:idx val="6"/>
              <c:tx>
                <c:rich>
                  <a:bodyPr/>
                  <a:lstStyle/>
                  <a:p>
                    <a:fld id="{56CD834B-5425-416E-AE5F-7B47EE67C9DF}"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D9DF-4F32-A9D4-ED62E3B0CF03}"/>
                </c:ext>
              </c:extLst>
            </c:dLbl>
            <c:dLbl>
              <c:idx val="7"/>
              <c:tx>
                <c:rich>
                  <a:bodyPr/>
                  <a:lstStyle/>
                  <a:p>
                    <a:fld id="{DC8DD76C-3673-462B-A59F-491510E3639E}"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D9DF-4F32-A9D4-ED62E3B0CF03}"/>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SA!$A$18:$A$25</c:f>
              <c:strCache>
                <c:ptCount val="8"/>
                <c:pt idx="0">
                  <c:v>Utilization efficiency of spin coating (80%)</c:v>
                </c:pt>
                <c:pt idx="1">
                  <c:v>Energy consumption of ETL spin coating, kWh (6.701)</c:v>
                </c:pt>
                <c:pt idx="2">
                  <c:v>Energy consumption of HTL spin coating, kWh (6.701)</c:v>
                </c:pt>
                <c:pt idx="3">
                  <c:v>Energy consumption of vasuum pump, kWh (9.200)</c:v>
                </c:pt>
                <c:pt idx="4">
                  <c:v>Recycling level of substrate (90%)</c:v>
                </c:pt>
                <c:pt idx="5">
                  <c:v>Energy consumption of cooling, kWh (16.00)</c:v>
                </c:pt>
                <c:pt idx="6">
                  <c:v>Energy consumption of PL annealing, kWh (28.80)</c:v>
                </c:pt>
                <c:pt idx="7">
                  <c:v>Energy consumption of HTL anneal, kWh (43.20)</c:v>
                </c:pt>
              </c:strCache>
            </c:strRef>
          </c:cat>
          <c:val>
            <c:numRef>
              <c:f>SA!$G$18:$G$25</c:f>
              <c:numCache>
                <c:formatCode>General</c:formatCode>
                <c:ptCount val="8"/>
                <c:pt idx="0">
                  <c:v>1674.2860507774994</c:v>
                </c:pt>
                <c:pt idx="1">
                  <c:v>1691.3890482062211</c:v>
                </c:pt>
                <c:pt idx="2">
                  <c:v>1691.3890482062211</c:v>
                </c:pt>
                <c:pt idx="3">
                  <c:v>1697.6315013215556</c:v>
                </c:pt>
                <c:pt idx="4">
                  <c:v>1640.4561714743631</c:v>
                </c:pt>
                <c:pt idx="5">
                  <c:v>1714.6200810400585</c:v>
                </c:pt>
                <c:pt idx="6">
                  <c:v>1746.5985840395933</c:v>
                </c:pt>
                <c:pt idx="7">
                  <c:v>1782.5743999140698</c:v>
                </c:pt>
              </c:numCache>
            </c:numRef>
          </c:val>
          <c:extLst>
            <c:ext xmlns:c15="http://schemas.microsoft.com/office/drawing/2012/chart" uri="{02D57815-91ED-43cb-92C2-25804820EDAC}">
              <c15:datalabelsRange>
                <c15:f>SA!$F$5:$F$12</c15:f>
                <c15:dlblRangeCache>
                  <c:ptCount val="8"/>
                  <c:pt idx="0">
                    <c:v>90%</c:v>
                  </c:pt>
                  <c:pt idx="1">
                    <c:v>8.041</c:v>
                  </c:pt>
                  <c:pt idx="2">
                    <c:v>8.041</c:v>
                  </c:pt>
                  <c:pt idx="3">
                    <c:v>11.04</c:v>
                  </c:pt>
                  <c:pt idx="4">
                    <c:v>100%</c:v>
                  </c:pt>
                  <c:pt idx="5">
                    <c:v>19.20</c:v>
                  </c:pt>
                  <c:pt idx="6">
                    <c:v>34.56</c:v>
                  </c:pt>
                  <c:pt idx="7">
                    <c:v>51.84</c:v>
                  </c:pt>
                </c15:dlblRangeCache>
              </c15:datalabelsRange>
            </c:ext>
            <c:ext xmlns:c16="http://schemas.microsoft.com/office/drawing/2014/chart" uri="{C3380CC4-5D6E-409C-BE32-E72D297353CC}">
              <c16:uniqueId val="{00000002-D9DF-4F32-A9D4-ED62E3B0CF03}"/>
            </c:ext>
          </c:extLst>
        </c:ser>
        <c:dLbls>
          <c:dLblPos val="outEnd"/>
          <c:showLegendKey val="0"/>
          <c:showVal val="1"/>
          <c:showCatName val="0"/>
          <c:showSerName val="0"/>
          <c:showPercent val="0"/>
          <c:showBubbleSize val="0"/>
        </c:dLbls>
        <c:gapWidth val="182"/>
        <c:overlap val="100"/>
        <c:axId val="226197807"/>
        <c:axId val="1519138671"/>
      </c:barChart>
      <c:catAx>
        <c:axId val="226197807"/>
        <c:scaling>
          <c:orientation val="minMax"/>
        </c:scaling>
        <c:delete val="0"/>
        <c:axPos val="l"/>
        <c:numFmt formatCode="General" sourceLinked="1"/>
        <c:majorTickMark val="none"/>
        <c:minorTickMark val="none"/>
        <c:tickLblPos val="low"/>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519138671"/>
        <c:crossesAt val="1674.6469999999999"/>
        <c:auto val="1"/>
        <c:lblAlgn val="ctr"/>
        <c:lblOffset val="100"/>
        <c:noMultiLvlLbl val="0"/>
      </c:catAx>
      <c:valAx>
        <c:axId val="1519138671"/>
        <c:scaling>
          <c:orientation val="minMax"/>
          <c:min val="1550"/>
        </c:scaling>
        <c:delete val="0"/>
        <c:axPos val="b"/>
        <c:majorGridlines>
          <c:spPr>
            <a:ln w="9525" cap="flat" cmpd="sng" algn="ctr">
              <a:solidFill>
                <a:schemeClr val="tx1">
                  <a:lumMod val="15000"/>
                  <a:lumOff val="85000"/>
                </a:schemeClr>
              </a:solidFill>
              <a:round/>
            </a:ln>
            <a:effectLst/>
          </c:spPr>
        </c:majorGridlines>
        <c:numFmt formatCode="#,##0"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226197807"/>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620364361975112"/>
          <c:y val="0.16192147856517936"/>
          <c:w val="0.43919000614112758"/>
          <c:h val="0.73622666958296867"/>
        </c:manualLayout>
      </c:layout>
      <c:pieChart>
        <c:varyColors val="1"/>
        <c:ser>
          <c:idx val="0"/>
          <c:order val="0"/>
          <c:tx>
            <c:strRef>
              <c:f>'energy consumption'!$K$5</c:f>
              <c:strCache>
                <c:ptCount val="1"/>
                <c:pt idx="0">
                  <c:v>Primary energy consumption</c:v>
                </c:pt>
              </c:strCache>
            </c:strRef>
          </c:tx>
          <c:dPt>
            <c:idx val="0"/>
            <c:bubble3D val="0"/>
            <c:spPr>
              <a:solidFill>
                <a:srgbClr val="FCCDE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1C7-4E54-A8C2-94429111702D}"/>
              </c:ext>
            </c:extLst>
          </c:dPt>
          <c:dPt>
            <c:idx val="1"/>
            <c:bubble3D val="0"/>
            <c:spPr>
              <a:solidFill>
                <a:srgbClr val="FFFFB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E1C7-4E54-A8C2-94429111702D}"/>
              </c:ext>
            </c:extLst>
          </c:dPt>
          <c:dPt>
            <c:idx val="2"/>
            <c:bubble3D val="0"/>
            <c:spPr>
              <a:solidFill>
                <a:srgbClr val="B3DE6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1E4-419F-B555-ACCB6C5EF04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1C7-4E54-A8C2-94429111702D}"/>
              </c:ext>
            </c:extLst>
          </c:dPt>
          <c:dPt>
            <c:idx val="4"/>
            <c:bubble3D val="0"/>
            <c:spPr>
              <a:solidFill>
                <a:srgbClr val="80B1D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1C7-4E54-A8C2-94429111702D}"/>
              </c:ext>
            </c:extLst>
          </c:dPt>
          <c:dPt>
            <c:idx val="5"/>
            <c:bubble3D val="0"/>
            <c:spPr>
              <a:solidFill>
                <a:srgbClr val="D9D9D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1C7-4E54-A8C2-94429111702D}"/>
              </c:ext>
            </c:extLst>
          </c:dPt>
          <c:dPt>
            <c:idx val="6"/>
            <c:bubble3D val="0"/>
            <c:spPr>
              <a:solidFill>
                <a:srgbClr val="FDB46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1C7-4E54-A8C2-94429111702D}"/>
              </c:ext>
            </c:extLst>
          </c:dPt>
          <c:dPt>
            <c:idx val="7"/>
            <c:bubble3D val="0"/>
            <c:spPr>
              <a:solidFill>
                <a:srgbClr val="8DD3C7"/>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1C7-4E54-A8C2-94429111702D}"/>
              </c:ext>
            </c:extLst>
          </c:dPt>
          <c:dPt>
            <c:idx val="8"/>
            <c:bubble3D val="0"/>
            <c:spPr>
              <a:solidFill>
                <a:srgbClr val="BEBAD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D1E4-419F-B555-ACCB6C5EF04E}"/>
              </c:ext>
            </c:extLst>
          </c:dPt>
          <c:dPt>
            <c:idx val="9"/>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F2D3-4D68-BD3C-B3CF0214123E}"/>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5049-48DD-9D4B-5C018978AA24}"/>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5049-48DD-9D4B-5C018978AA24}"/>
              </c:ext>
            </c:extLst>
          </c:dPt>
          <c:dLbls>
            <c:dLbl>
              <c:idx val="0"/>
              <c:layout>
                <c:manualLayout>
                  <c:x val="-2.8469693622099758E-2"/>
                  <c:y val="0.1234124380285797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1C7-4E54-A8C2-94429111702D}"/>
                </c:ext>
              </c:extLst>
            </c:dLbl>
            <c:dLbl>
              <c:idx val="1"/>
              <c:layout>
                <c:manualLayout>
                  <c:x val="-5.4593624361314076E-2"/>
                  <c:y val="0.10136847477398658"/>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1C7-4E54-A8C2-94429111702D}"/>
                </c:ext>
              </c:extLst>
            </c:dLbl>
            <c:dLbl>
              <c:idx val="4"/>
              <c:delete val="1"/>
              <c:extLst>
                <c:ext xmlns:c15="http://schemas.microsoft.com/office/drawing/2012/chart" uri="{CE6537A1-D6FC-4f65-9D91-7224C49458BB}"/>
                <c:ext xmlns:c16="http://schemas.microsoft.com/office/drawing/2014/chart" uri="{C3380CC4-5D6E-409C-BE32-E72D297353CC}">
                  <c16:uniqueId val="{00000006-E1C7-4E54-A8C2-94429111702D}"/>
                </c:ext>
              </c:extLst>
            </c:dLbl>
            <c:dLbl>
              <c:idx val="5"/>
              <c:layout>
                <c:manualLayout>
                  <c:x val="1.8087051618547682E-2"/>
                  <c:y val="-6.089165937591134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1C7-4E54-A8C2-94429111702D}"/>
                </c:ext>
              </c:extLst>
            </c:dLbl>
            <c:dLbl>
              <c:idx val="6"/>
              <c:layout>
                <c:manualLayout>
                  <c:x val="-4.2449256342957133E-2"/>
                  <c:y val="-8.5917541557305507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1C7-4E54-A8C2-94429111702D}"/>
                </c:ext>
              </c:extLst>
            </c:dLbl>
            <c:dLbl>
              <c:idx val="7"/>
              <c:layout>
                <c:manualLayout>
                  <c:x val="2.275761856464624E-2"/>
                  <c:y val="-0.131099081364829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1C7-4E54-A8C2-94429111702D}"/>
                </c:ext>
              </c:extLst>
            </c:dLbl>
            <c:dLbl>
              <c:idx val="8"/>
              <c:layout>
                <c:manualLayout>
                  <c:x val="5.5011154855643042E-2"/>
                  <c:y val="-8.5642315543890346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1-D1E4-419F-B555-ACCB6C5EF04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'energy consumption'!$I$6:$I$17</c:f>
              <c:strCache>
                <c:ptCount val="12"/>
                <c:pt idx="0">
                  <c:v>Sonication</c:v>
                </c:pt>
                <c:pt idx="1">
                  <c:v>HTL spin coating</c:v>
                </c:pt>
                <c:pt idx="2">
                  <c:v>HTL annealing</c:v>
                </c:pt>
                <c:pt idx="3">
                  <c:v>Inert gas purging</c:v>
                </c:pt>
                <c:pt idx="4">
                  <c:v>PL 1st-step spin coating</c:v>
                </c:pt>
                <c:pt idx="5">
                  <c:v>PL drying</c:v>
                </c:pt>
                <c:pt idx="6">
                  <c:v>PL 2nd-step spin coating</c:v>
                </c:pt>
                <c:pt idx="7">
                  <c:v>PL annealing</c:v>
                </c:pt>
                <c:pt idx="8">
                  <c:v>ETL spin coating</c:v>
                </c:pt>
                <c:pt idx="9">
                  <c:v>Vacuum pump</c:v>
                </c:pt>
                <c:pt idx="10">
                  <c:v>Evaporation</c:v>
                </c:pt>
                <c:pt idx="11">
                  <c:v>Cooling</c:v>
                </c:pt>
              </c:strCache>
            </c:strRef>
          </c:cat>
          <c:val>
            <c:numRef>
              <c:f>'energy consumption'!$K$6:$K$17</c:f>
              <c:numCache>
                <c:formatCode>0.000E+00</c:formatCode>
                <c:ptCount val="12"/>
                <c:pt idx="0">
                  <c:v>4.9966410936773125</c:v>
                </c:pt>
                <c:pt idx="1">
                  <c:v>83.710479577905772</c:v>
                </c:pt>
                <c:pt idx="2">
                  <c:v>539.63723811714988</c:v>
                </c:pt>
                <c:pt idx="3">
                  <c:v>65.580914354514732</c:v>
                </c:pt>
                <c:pt idx="4">
                  <c:v>1.4881863036072136</c:v>
                </c:pt>
                <c:pt idx="5">
                  <c:v>20.985892593444717</c:v>
                </c:pt>
                <c:pt idx="6">
                  <c:v>74.409315180360679</c:v>
                </c:pt>
                <c:pt idx="7">
                  <c:v>359.75815874476655</c:v>
                </c:pt>
                <c:pt idx="8">
                  <c:v>83.710479577905772</c:v>
                </c:pt>
                <c:pt idx="9">
                  <c:v>114.92274515457818</c:v>
                </c:pt>
                <c:pt idx="10">
                  <c:v>66.621881249030835</c:v>
                </c:pt>
                <c:pt idx="11">
                  <c:v>199.86564374709252</c:v>
                </c:pt>
              </c:numCache>
            </c:numRef>
          </c:val>
          <c:extLst>
            <c:ext xmlns:c16="http://schemas.microsoft.com/office/drawing/2014/chart" uri="{C3380CC4-5D6E-409C-BE32-E72D297353CC}">
              <c16:uniqueId val="{00000000-E1C7-4E54-A8C2-94429111702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bg1">
            <a:alpha val="39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3409470691163605"/>
          <c:y val="0.15266221930592008"/>
          <c:w val="0.45284711286089241"/>
          <c:h val="0.75474518810148727"/>
        </c:manualLayout>
      </c:layout>
      <c:pieChart>
        <c:varyColors val="1"/>
        <c:ser>
          <c:idx val="0"/>
          <c:order val="0"/>
          <c:tx>
            <c:strRef>
              <c:f>'energy consumption'!$J$5</c:f>
              <c:strCache>
                <c:ptCount val="1"/>
                <c:pt idx="0">
                  <c:v>Carbon footprint</c:v>
                </c:pt>
              </c:strCache>
            </c:strRef>
          </c:tx>
          <c:dPt>
            <c:idx val="0"/>
            <c:bubble3D val="0"/>
            <c:spPr>
              <a:solidFill>
                <a:srgbClr val="FCCDE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60E-439F-B7A9-8894C3B9B6AB}"/>
              </c:ext>
            </c:extLst>
          </c:dPt>
          <c:dPt>
            <c:idx val="1"/>
            <c:bubble3D val="0"/>
            <c:spPr>
              <a:solidFill>
                <a:srgbClr val="FFFFB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F60E-439F-B7A9-8894C3B9B6AB}"/>
              </c:ext>
            </c:extLst>
          </c:dPt>
          <c:dPt>
            <c:idx val="2"/>
            <c:bubble3D val="0"/>
            <c:spPr>
              <a:solidFill>
                <a:srgbClr val="B3DE6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A75A-481A-B3AA-11EFE5DE3417}"/>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F60E-439F-B7A9-8894C3B9B6AB}"/>
              </c:ext>
            </c:extLst>
          </c:dPt>
          <c:dPt>
            <c:idx val="4"/>
            <c:bubble3D val="0"/>
            <c:spPr>
              <a:solidFill>
                <a:srgbClr val="80B1D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60E-439F-B7A9-8894C3B9B6AB}"/>
              </c:ext>
            </c:extLst>
          </c:dPt>
          <c:dPt>
            <c:idx val="5"/>
            <c:bubble3D val="0"/>
            <c:spPr>
              <a:solidFill>
                <a:srgbClr val="D9D9D9"/>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F60E-439F-B7A9-8894C3B9B6AB}"/>
              </c:ext>
            </c:extLst>
          </c:dPt>
          <c:dPt>
            <c:idx val="6"/>
            <c:bubble3D val="0"/>
            <c:spPr>
              <a:solidFill>
                <a:srgbClr val="FDB46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A75A-481A-B3AA-11EFE5DE3417}"/>
              </c:ext>
            </c:extLst>
          </c:dPt>
          <c:dPt>
            <c:idx val="7"/>
            <c:bubble3D val="0"/>
            <c:spPr>
              <a:solidFill>
                <a:srgbClr val="8DD3C7"/>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60E-439F-B7A9-8894C3B9B6AB}"/>
              </c:ext>
            </c:extLst>
          </c:dPt>
          <c:dPt>
            <c:idx val="8"/>
            <c:bubble3D val="0"/>
            <c:spPr>
              <a:solidFill>
                <a:srgbClr val="BEBAD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A75A-481A-B3AA-11EFE5DE3417}"/>
              </c:ext>
            </c:extLst>
          </c:dPt>
          <c:dPt>
            <c:idx val="9"/>
            <c:bubble3D val="0"/>
            <c:spPr>
              <a:solidFill>
                <a:srgbClr val="FB807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8547-4AEB-B8C7-10293918C6D0}"/>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FD9D-47CA-B94F-C450F12C73BC}"/>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FD9D-47CA-B94F-C450F12C73BC}"/>
              </c:ext>
            </c:extLst>
          </c:dPt>
          <c:dLbls>
            <c:dLbl>
              <c:idx val="0"/>
              <c:layout>
                <c:manualLayout>
                  <c:x val="-3.4190288713910763E-2"/>
                  <c:y val="0.14193095654709828"/>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60E-439F-B7A9-8894C3B9B6AB}"/>
                </c:ext>
              </c:extLst>
            </c:dLbl>
            <c:dLbl>
              <c:idx val="1"/>
              <c:layout>
                <c:manualLayout>
                  <c:x val="-5.4910104986876693E-2"/>
                  <c:y val="0.1106277340332458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60E-439F-B7A9-8894C3B9B6AB}"/>
                </c:ext>
              </c:extLst>
            </c:dLbl>
            <c:dLbl>
              <c:idx val="4"/>
              <c:delete val="1"/>
              <c:extLst>
                <c:ext xmlns:c15="http://schemas.microsoft.com/office/drawing/2012/chart" uri="{CE6537A1-D6FC-4f65-9D91-7224C49458BB}"/>
                <c:ext xmlns:c16="http://schemas.microsoft.com/office/drawing/2014/chart" uri="{C3380CC4-5D6E-409C-BE32-E72D297353CC}">
                  <c16:uniqueId val="{00000005-F60E-439F-B7A9-8894C3B9B6AB}"/>
                </c:ext>
              </c:extLst>
            </c:dLbl>
            <c:dLbl>
              <c:idx val="5"/>
              <c:layout>
                <c:manualLayout>
                  <c:x val="2.8648188169246185E-2"/>
                  <c:y val="-5.6885722375139544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60E-439F-B7A9-8894C3B9B6AB}"/>
                </c:ext>
              </c:extLst>
            </c:dLbl>
            <c:dLbl>
              <c:idx val="6"/>
              <c:layout>
                <c:manualLayout>
                  <c:x val="-3.719673350254693E-2"/>
                  <c:y val="-7.7104146107971422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75A-481A-B3AA-11EFE5DE3417}"/>
                </c:ext>
              </c:extLst>
            </c:dLbl>
            <c:dLbl>
              <c:idx val="7"/>
              <c:layout>
                <c:manualLayout>
                  <c:x val="2.1416750749765207E-2"/>
                  <c:y val="-0.13143990073545417"/>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60E-439F-B7A9-8894C3B9B6AB}"/>
                </c:ext>
              </c:extLst>
            </c:dLbl>
            <c:dLbl>
              <c:idx val="8"/>
              <c:layout>
                <c:manualLayout>
                  <c:x val="5.5496154289285428E-2"/>
                  <c:y val="-8.1250362006919763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11-A75A-481A-B3AA-11EFE5DE3417}"/>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'energy consumption'!$I$6:$I$17</c:f>
              <c:strCache>
                <c:ptCount val="12"/>
                <c:pt idx="0">
                  <c:v>Sonication</c:v>
                </c:pt>
                <c:pt idx="1">
                  <c:v>HTL spin coating</c:v>
                </c:pt>
                <c:pt idx="2">
                  <c:v>HTL annealing</c:v>
                </c:pt>
                <c:pt idx="3">
                  <c:v>Inert gas purging</c:v>
                </c:pt>
                <c:pt idx="4">
                  <c:v>PL 1st-step spin coating</c:v>
                </c:pt>
                <c:pt idx="5">
                  <c:v>PL drying</c:v>
                </c:pt>
                <c:pt idx="6">
                  <c:v>PL 2nd-step spin coating</c:v>
                </c:pt>
                <c:pt idx="7">
                  <c:v>PL annealing</c:v>
                </c:pt>
                <c:pt idx="8">
                  <c:v>ETL spin coating</c:v>
                </c:pt>
                <c:pt idx="9">
                  <c:v>Vacuum pump</c:v>
                </c:pt>
                <c:pt idx="10">
                  <c:v>Evaporation</c:v>
                </c:pt>
                <c:pt idx="11">
                  <c:v>Cooling</c:v>
                </c:pt>
              </c:strCache>
            </c:strRef>
          </c:cat>
          <c:val>
            <c:numRef>
              <c:f>'energy consumption'!$J$6:$J$17</c:f>
              <c:numCache>
                <c:formatCode>0.000E+00</c:formatCode>
                <c:ptCount val="12"/>
                <c:pt idx="0">
                  <c:v>0.28396800022717433</c:v>
                </c:pt>
                <c:pt idx="1">
                  <c:v>4.7574154393188799</c:v>
                </c:pt>
                <c:pt idx="2">
                  <c:v>30.668544024534835</c:v>
                </c:pt>
                <c:pt idx="3">
                  <c:v>3.7270800029816638</c:v>
                </c:pt>
                <c:pt idx="4">
                  <c:v>8.4576274476780081E-2</c:v>
                </c:pt>
                <c:pt idx="5">
                  <c:v>1.1926656009541325</c:v>
                </c:pt>
                <c:pt idx="6">
                  <c:v>4.2288137238390036</c:v>
                </c:pt>
                <c:pt idx="7">
                  <c:v>20.445696016356557</c:v>
                </c:pt>
                <c:pt idx="8">
                  <c:v>4.7574154393188799</c:v>
                </c:pt>
                <c:pt idx="9">
                  <c:v>6.5312640052250099</c:v>
                </c:pt>
                <c:pt idx="10">
                  <c:v>3.7862400030289916</c:v>
                </c:pt>
                <c:pt idx="11">
                  <c:v>11.358720009086975</c:v>
                </c:pt>
              </c:numCache>
            </c:numRef>
          </c:val>
          <c:extLst>
            <c:ext xmlns:c16="http://schemas.microsoft.com/office/drawing/2014/chart" uri="{C3380CC4-5D6E-409C-BE32-E72D297353CC}">
              <c16:uniqueId val="{00000000-F60E-439F-B7A9-8894C3B9B6AB}"/>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bg1">
            <a:alpha val="39000"/>
          </a:schemeClr>
        </a:solid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DF-4EC1-996C-06237660BFF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DF-4EC1-996C-06237660BFF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DF-4EC1-996C-06237660BFF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FDF-4EC1-996C-06237660BFF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FDF-4EC1-996C-06237660BFF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FDF-4EC1-996C-06237660BFF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FDF-4EC1-996C-06237660BFF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FDF-4EC1-996C-06237660BFF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FDF-4EC1-996C-06237660BFF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F20-4AD4-A63B-4E187F4B283D}"/>
              </c:ext>
            </c:extLst>
          </c:dPt>
          <c:cat>
            <c:strRef>
              <c:f>'energy consumption'!$I$6:$I$15</c:f>
              <c:strCache>
                <c:ptCount val="10"/>
                <c:pt idx="0">
                  <c:v>Sonication</c:v>
                </c:pt>
                <c:pt idx="1">
                  <c:v>HTL spin coating</c:v>
                </c:pt>
                <c:pt idx="2">
                  <c:v>HTL annealing</c:v>
                </c:pt>
                <c:pt idx="3">
                  <c:v>Inert gas purging</c:v>
                </c:pt>
                <c:pt idx="4">
                  <c:v>PL 1st-step spin coating</c:v>
                </c:pt>
                <c:pt idx="5">
                  <c:v>PL drying</c:v>
                </c:pt>
                <c:pt idx="6">
                  <c:v>PL 2nd-step spin coating</c:v>
                </c:pt>
                <c:pt idx="7">
                  <c:v>PL annealing</c:v>
                </c:pt>
                <c:pt idx="8">
                  <c:v>ETL spin coating</c:v>
                </c:pt>
                <c:pt idx="9">
                  <c:v>Vacuum pump</c:v>
                </c:pt>
              </c:strCache>
            </c:strRef>
          </c:cat>
          <c:val>
            <c:numRef>
              <c:f>'energy consumption'!$K$6:$K$15</c:f>
              <c:numCache>
                <c:formatCode>0.000E+00</c:formatCode>
                <c:ptCount val="10"/>
                <c:pt idx="0">
                  <c:v>4.9966410936773125</c:v>
                </c:pt>
                <c:pt idx="1">
                  <c:v>83.710479577905772</c:v>
                </c:pt>
                <c:pt idx="2">
                  <c:v>539.63723811714988</c:v>
                </c:pt>
                <c:pt idx="3">
                  <c:v>65.580914354514732</c:v>
                </c:pt>
                <c:pt idx="4">
                  <c:v>1.4881863036072136</c:v>
                </c:pt>
                <c:pt idx="5">
                  <c:v>20.985892593444717</c:v>
                </c:pt>
                <c:pt idx="6">
                  <c:v>74.409315180360679</c:v>
                </c:pt>
                <c:pt idx="7">
                  <c:v>359.75815874476655</c:v>
                </c:pt>
                <c:pt idx="8">
                  <c:v>83.710479577905772</c:v>
                </c:pt>
                <c:pt idx="9">
                  <c:v>114.92274515457818</c:v>
                </c:pt>
              </c:numCache>
            </c:numRef>
          </c:val>
          <c:extLst>
            <c:ext xmlns:c16="http://schemas.microsoft.com/office/drawing/2014/chart" uri="{C3380CC4-5D6E-409C-BE32-E72D297353CC}">
              <c16:uniqueId val="{00000000-A748-49B4-BA63-568F2B1D3EE8}"/>
            </c:ext>
          </c:extLst>
        </c:ser>
        <c:dLbls>
          <c:showLegendKey val="0"/>
          <c:showVal val="0"/>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results!$A$3</c:f>
              <c:strCache>
                <c:ptCount val="1"/>
                <c:pt idx="0">
                  <c:v>ITO glass</c:v>
                </c:pt>
              </c:strCache>
            </c:strRef>
          </c:tx>
          <c:spPr>
            <a:solidFill>
              <a:schemeClr val="accent1"/>
            </a:solidFill>
            <a:ln>
              <a:noFill/>
            </a:ln>
            <a:effectLst/>
          </c:spPr>
          <c:invertIfNegative val="0"/>
          <c:cat>
            <c:strRef>
              <c:f>results!$D$2:$X$2</c:f>
              <c:strCache>
                <c:ptCount val="5"/>
                <c:pt idx="3">
                  <c:v>Carbon footprint</c:v>
                </c:pt>
                <c:pt idx="4">
                  <c:v>Primary energy consumption</c:v>
                </c:pt>
              </c:strCache>
            </c:strRef>
          </c:cat>
          <c:val>
            <c:numRef>
              <c:f>results!$D$3:$X$3</c:f>
              <c:numCache>
                <c:formatCode>General</c:formatCode>
                <c:ptCount val="21"/>
                <c:pt idx="3">
                  <c:v>1.6837863429999995</c:v>
                </c:pt>
                <c:pt idx="4">
                  <c:v>29.222870408888099</c:v>
                </c:pt>
              </c:numCache>
            </c:numRef>
          </c:val>
          <c:extLst>
            <c:ext xmlns:c16="http://schemas.microsoft.com/office/drawing/2014/chart" uri="{C3380CC4-5D6E-409C-BE32-E72D297353CC}">
              <c16:uniqueId val="{00000000-21CE-44B5-B529-29DFAFC11DA1}"/>
            </c:ext>
          </c:extLst>
        </c:ser>
        <c:ser>
          <c:idx val="1"/>
          <c:order val="1"/>
          <c:tx>
            <c:strRef>
              <c:f>results!$A$4</c:f>
              <c:strCache>
                <c:ptCount val="1"/>
                <c:pt idx="0">
                  <c:v>Ethanol</c:v>
                </c:pt>
              </c:strCache>
            </c:strRef>
          </c:tx>
          <c:spPr>
            <a:solidFill>
              <a:schemeClr val="accent2"/>
            </a:solidFill>
            <a:ln>
              <a:noFill/>
            </a:ln>
            <a:effectLst/>
          </c:spPr>
          <c:invertIfNegative val="0"/>
          <c:cat>
            <c:strRef>
              <c:f>results!$D$2:$X$2</c:f>
              <c:strCache>
                <c:ptCount val="5"/>
                <c:pt idx="3">
                  <c:v>Carbon footprint</c:v>
                </c:pt>
                <c:pt idx="4">
                  <c:v>Primary energy consumption</c:v>
                </c:pt>
              </c:strCache>
            </c:strRef>
          </c:cat>
          <c:val>
            <c:numRef>
              <c:f>results!$D$4:$X$4</c:f>
              <c:numCache>
                <c:formatCode>General</c:formatCode>
                <c:ptCount val="21"/>
                <c:pt idx="3">
                  <c:v>3.6067691999999998E-2</c:v>
                </c:pt>
                <c:pt idx="4">
                  <c:v>1.0715802776700001</c:v>
                </c:pt>
              </c:numCache>
            </c:numRef>
          </c:val>
          <c:extLst>
            <c:ext xmlns:c16="http://schemas.microsoft.com/office/drawing/2014/chart" uri="{C3380CC4-5D6E-409C-BE32-E72D297353CC}">
              <c16:uniqueId val="{00000001-21CE-44B5-B529-29DFAFC11DA1}"/>
            </c:ext>
          </c:extLst>
        </c:ser>
        <c:ser>
          <c:idx val="2"/>
          <c:order val="2"/>
          <c:tx>
            <c:strRef>
              <c:f>results!$A$5</c:f>
              <c:strCache>
                <c:ptCount val="1"/>
                <c:pt idx="0">
                  <c:v>Deionized water</c:v>
                </c:pt>
              </c:strCache>
            </c:strRef>
          </c:tx>
          <c:spPr>
            <a:solidFill>
              <a:schemeClr val="accent3"/>
            </a:solidFill>
            <a:ln>
              <a:noFill/>
            </a:ln>
            <a:effectLst/>
          </c:spPr>
          <c:invertIfNegative val="0"/>
          <c:cat>
            <c:strRef>
              <c:f>results!$D$2:$X$2</c:f>
              <c:strCache>
                <c:ptCount val="5"/>
                <c:pt idx="3">
                  <c:v>Carbon footprint</c:v>
                </c:pt>
                <c:pt idx="4">
                  <c:v>Primary energy consumption</c:v>
                </c:pt>
              </c:strCache>
            </c:strRef>
          </c:cat>
          <c:val>
            <c:numRef>
              <c:f>results!$D$5:$X$5</c:f>
              <c:numCache>
                <c:formatCode>General</c:formatCode>
                <c:ptCount val="21"/>
                <c:pt idx="3">
                  <c:v>5.6916582000000001E-5</c:v>
                </c:pt>
                <c:pt idx="4">
                  <c:v>7.8310930304560005E-4</c:v>
                </c:pt>
              </c:numCache>
            </c:numRef>
          </c:val>
          <c:extLst>
            <c:ext xmlns:c16="http://schemas.microsoft.com/office/drawing/2014/chart" uri="{C3380CC4-5D6E-409C-BE32-E72D297353CC}">
              <c16:uniqueId val="{00000002-21CE-44B5-B529-29DFAFC11DA1}"/>
            </c:ext>
          </c:extLst>
        </c:ser>
        <c:ser>
          <c:idx val="3"/>
          <c:order val="3"/>
          <c:tx>
            <c:strRef>
              <c:f>results!$A$6</c:f>
              <c:strCache>
                <c:ptCount val="1"/>
                <c:pt idx="0">
                  <c:v>NiOₓ precursor solution</c:v>
                </c:pt>
              </c:strCache>
            </c:strRef>
          </c:tx>
          <c:spPr>
            <a:solidFill>
              <a:schemeClr val="accent4"/>
            </a:solidFill>
            <a:ln>
              <a:noFill/>
            </a:ln>
            <a:effectLst/>
          </c:spPr>
          <c:invertIfNegative val="0"/>
          <c:cat>
            <c:strRef>
              <c:f>results!$D$2:$X$2</c:f>
              <c:strCache>
                <c:ptCount val="5"/>
                <c:pt idx="3">
                  <c:v>Carbon footprint</c:v>
                </c:pt>
                <c:pt idx="4">
                  <c:v>Primary energy consumption</c:v>
                </c:pt>
              </c:strCache>
            </c:strRef>
          </c:cat>
          <c:val>
            <c:numRef>
              <c:f>results!$D$6:$X$6</c:f>
              <c:numCache>
                <c:formatCode>General</c:formatCode>
                <c:ptCount val="21"/>
                <c:pt idx="3">
                  <c:v>3.2234827634271858E-2</c:v>
                </c:pt>
                <c:pt idx="4">
                  <c:v>0.63858715683810552</c:v>
                </c:pt>
              </c:numCache>
            </c:numRef>
          </c:val>
          <c:extLst>
            <c:ext xmlns:c16="http://schemas.microsoft.com/office/drawing/2014/chart" uri="{C3380CC4-5D6E-409C-BE32-E72D297353CC}">
              <c16:uniqueId val="{00000003-21CE-44B5-B529-29DFAFC11DA1}"/>
            </c:ext>
          </c:extLst>
        </c:ser>
        <c:ser>
          <c:idx val="4"/>
          <c:order val="4"/>
          <c:tx>
            <c:strRef>
              <c:f>results!$A$7</c:f>
              <c:strCache>
                <c:ptCount val="1"/>
                <c:pt idx="0">
                  <c:v>PbI₂</c:v>
                </c:pt>
              </c:strCache>
            </c:strRef>
          </c:tx>
          <c:spPr>
            <a:solidFill>
              <a:schemeClr val="accent5"/>
            </a:solidFill>
            <a:ln>
              <a:noFill/>
            </a:ln>
            <a:effectLst/>
          </c:spPr>
          <c:invertIfNegative val="0"/>
          <c:cat>
            <c:strRef>
              <c:f>results!$D$2:$X$2</c:f>
              <c:strCache>
                <c:ptCount val="5"/>
                <c:pt idx="3">
                  <c:v>Carbon footprint</c:v>
                </c:pt>
                <c:pt idx="4">
                  <c:v>Primary energy consumption</c:v>
                </c:pt>
              </c:strCache>
            </c:strRef>
          </c:cat>
          <c:val>
            <c:numRef>
              <c:f>results!$D$7:$X$7</c:f>
              <c:numCache>
                <c:formatCode>General</c:formatCode>
                <c:ptCount val="21"/>
                <c:pt idx="3">
                  <c:v>2.8789914277598614E-3</c:v>
                </c:pt>
                <c:pt idx="4">
                  <c:v>3.423458644077676E-2</c:v>
                </c:pt>
              </c:numCache>
            </c:numRef>
          </c:val>
          <c:extLst>
            <c:ext xmlns:c16="http://schemas.microsoft.com/office/drawing/2014/chart" uri="{C3380CC4-5D6E-409C-BE32-E72D297353CC}">
              <c16:uniqueId val="{00000004-21CE-44B5-B529-29DFAFC11DA1}"/>
            </c:ext>
          </c:extLst>
        </c:ser>
        <c:ser>
          <c:idx val="5"/>
          <c:order val="5"/>
          <c:tx>
            <c:strRef>
              <c:f>results!$A$8</c:f>
              <c:strCache>
                <c:ptCount val="1"/>
                <c:pt idx="0">
                  <c:v>Dimethylformamide</c:v>
                </c:pt>
              </c:strCache>
            </c:strRef>
          </c:tx>
          <c:spPr>
            <a:solidFill>
              <a:schemeClr val="accent6"/>
            </a:solidFill>
            <a:ln>
              <a:noFill/>
            </a:ln>
            <a:effectLst/>
          </c:spPr>
          <c:invertIfNegative val="0"/>
          <c:cat>
            <c:strRef>
              <c:f>results!$D$2:$X$2</c:f>
              <c:strCache>
                <c:ptCount val="5"/>
                <c:pt idx="3">
                  <c:v>Carbon footprint</c:v>
                </c:pt>
                <c:pt idx="4">
                  <c:v>Primary energy consumption</c:v>
                </c:pt>
              </c:strCache>
            </c:strRef>
          </c:cat>
          <c:val>
            <c:numRef>
              <c:f>results!$D$8:$X$8</c:f>
              <c:numCache>
                <c:formatCode>General</c:formatCode>
                <c:ptCount val="21"/>
                <c:pt idx="3">
                  <c:v>3.7194557030399995E-3</c:v>
                </c:pt>
                <c:pt idx="4">
                  <c:v>0.10116651734077545</c:v>
                </c:pt>
              </c:numCache>
            </c:numRef>
          </c:val>
          <c:extLst>
            <c:ext xmlns:c16="http://schemas.microsoft.com/office/drawing/2014/chart" uri="{C3380CC4-5D6E-409C-BE32-E72D297353CC}">
              <c16:uniqueId val="{00000005-21CE-44B5-B529-29DFAFC11DA1}"/>
            </c:ext>
          </c:extLst>
        </c:ser>
        <c:ser>
          <c:idx val="6"/>
          <c:order val="6"/>
          <c:tx>
            <c:strRef>
              <c:f>results!$A$9</c:f>
              <c:strCache>
                <c:ptCount val="1"/>
                <c:pt idx="0">
                  <c:v>MAI</c:v>
                </c:pt>
              </c:strCache>
            </c:strRef>
          </c:tx>
          <c:spPr>
            <a:solidFill>
              <a:schemeClr val="accent1">
                <a:lumMod val="60000"/>
              </a:schemeClr>
            </a:solidFill>
            <a:ln>
              <a:noFill/>
            </a:ln>
            <a:effectLst/>
          </c:spPr>
          <c:invertIfNegative val="0"/>
          <c:cat>
            <c:strRef>
              <c:f>results!$D$2:$X$2</c:f>
              <c:strCache>
                <c:ptCount val="5"/>
                <c:pt idx="3">
                  <c:v>Carbon footprint</c:v>
                </c:pt>
                <c:pt idx="4">
                  <c:v>Primary energy consumption</c:v>
                </c:pt>
              </c:strCache>
            </c:strRef>
          </c:cat>
          <c:val>
            <c:numRef>
              <c:f>results!$D$9:$X$9</c:f>
              <c:numCache>
                <c:formatCode>General</c:formatCode>
                <c:ptCount val="21"/>
                <c:pt idx="3">
                  <c:v>3.5150263174525943E-2</c:v>
                </c:pt>
                <c:pt idx="4">
                  <c:v>0.74664235335118256</c:v>
                </c:pt>
              </c:numCache>
            </c:numRef>
          </c:val>
          <c:extLst>
            <c:ext xmlns:c16="http://schemas.microsoft.com/office/drawing/2014/chart" uri="{C3380CC4-5D6E-409C-BE32-E72D297353CC}">
              <c16:uniqueId val="{00000006-21CE-44B5-B529-29DFAFC11DA1}"/>
            </c:ext>
          </c:extLst>
        </c:ser>
        <c:ser>
          <c:idx val="7"/>
          <c:order val="7"/>
          <c:tx>
            <c:strRef>
              <c:f>results!$A$10</c:f>
              <c:strCache>
                <c:ptCount val="1"/>
                <c:pt idx="0">
                  <c:v>Isopropanol</c:v>
                </c:pt>
              </c:strCache>
            </c:strRef>
          </c:tx>
          <c:spPr>
            <a:solidFill>
              <a:schemeClr val="accent2">
                <a:lumMod val="60000"/>
              </a:schemeClr>
            </a:solidFill>
            <a:ln>
              <a:noFill/>
            </a:ln>
            <a:effectLst/>
          </c:spPr>
          <c:invertIfNegative val="0"/>
          <c:cat>
            <c:strRef>
              <c:f>results!$D$2:$X$2</c:f>
              <c:strCache>
                <c:ptCount val="5"/>
                <c:pt idx="3">
                  <c:v>Carbon footprint</c:v>
                </c:pt>
                <c:pt idx="4">
                  <c:v>Primary energy consumption</c:v>
                </c:pt>
              </c:strCache>
            </c:strRef>
          </c:cat>
          <c:val>
            <c:numRef>
              <c:f>results!$D$10:$X$10</c:f>
              <c:numCache>
                <c:formatCode>General</c:formatCode>
                <c:ptCount val="21"/>
                <c:pt idx="3">
                  <c:v>6.2385419519999999E-3</c:v>
                </c:pt>
                <c:pt idx="4">
                  <c:v>0.20621291360633598</c:v>
                </c:pt>
              </c:numCache>
            </c:numRef>
          </c:val>
          <c:extLst>
            <c:ext xmlns:c16="http://schemas.microsoft.com/office/drawing/2014/chart" uri="{C3380CC4-5D6E-409C-BE32-E72D297353CC}">
              <c16:uniqueId val="{00000007-21CE-44B5-B529-29DFAFC11DA1}"/>
            </c:ext>
          </c:extLst>
        </c:ser>
        <c:ser>
          <c:idx val="8"/>
          <c:order val="8"/>
          <c:tx>
            <c:strRef>
              <c:f>results!$A$12</c:f>
              <c:strCache>
                <c:ptCount val="1"/>
                <c:pt idx="0">
                  <c:v>ZnO nanoparticles</c:v>
                </c:pt>
              </c:strCache>
            </c:strRef>
          </c:tx>
          <c:spPr>
            <a:solidFill>
              <a:schemeClr val="accent3">
                <a:lumMod val="60000"/>
              </a:schemeClr>
            </a:solidFill>
            <a:ln>
              <a:noFill/>
            </a:ln>
            <a:effectLst/>
          </c:spPr>
          <c:invertIfNegative val="0"/>
          <c:cat>
            <c:strRef>
              <c:f>results!$D$2:$X$2</c:f>
              <c:strCache>
                <c:ptCount val="5"/>
                <c:pt idx="3">
                  <c:v>Carbon footprint</c:v>
                </c:pt>
                <c:pt idx="4">
                  <c:v>Primary energy consumption</c:v>
                </c:pt>
              </c:strCache>
            </c:strRef>
          </c:cat>
          <c:val>
            <c:numRef>
              <c:f>results!$D$12:$X$12</c:f>
              <c:numCache>
                <c:formatCode>General</c:formatCode>
                <c:ptCount val="21"/>
                <c:pt idx="3">
                  <c:v>6.3772044169255901E-2</c:v>
                </c:pt>
                <c:pt idx="4">
                  <c:v>1.5212700906868477</c:v>
                </c:pt>
              </c:numCache>
            </c:numRef>
          </c:val>
          <c:extLst>
            <c:ext xmlns:c16="http://schemas.microsoft.com/office/drawing/2014/chart" uri="{C3380CC4-5D6E-409C-BE32-E72D297353CC}">
              <c16:uniqueId val="{00000008-21CE-44B5-B529-29DFAFC11DA1}"/>
            </c:ext>
          </c:extLst>
        </c:ser>
        <c:ser>
          <c:idx val="9"/>
          <c:order val="9"/>
          <c:tx>
            <c:strRef>
              <c:f>results!$A$13</c:f>
              <c:strCache>
                <c:ptCount val="1"/>
                <c:pt idx="0">
                  <c:v>Al</c:v>
                </c:pt>
              </c:strCache>
            </c:strRef>
          </c:tx>
          <c:spPr>
            <a:solidFill>
              <a:schemeClr val="accent4">
                <a:lumMod val="60000"/>
              </a:schemeClr>
            </a:solidFill>
            <a:ln>
              <a:noFill/>
            </a:ln>
            <a:effectLst/>
          </c:spPr>
          <c:invertIfNegative val="0"/>
          <c:cat>
            <c:strRef>
              <c:f>results!$D$2:$X$2</c:f>
              <c:strCache>
                <c:ptCount val="5"/>
                <c:pt idx="3">
                  <c:v>Carbon footprint</c:v>
                </c:pt>
                <c:pt idx="4">
                  <c:v>Primary energy consumption</c:v>
                </c:pt>
              </c:strCache>
            </c:strRef>
          </c:cat>
          <c:val>
            <c:numRef>
              <c:f>results!$D$13:$X$13</c:f>
              <c:numCache>
                <c:formatCode>General</c:formatCode>
                <c:ptCount val="21"/>
                <c:pt idx="3">
                  <c:v>7.007356097560976E-3</c:v>
                </c:pt>
                <c:pt idx="4">
                  <c:v>6.5261304301170733E-2</c:v>
                </c:pt>
              </c:numCache>
            </c:numRef>
          </c:val>
          <c:extLst>
            <c:ext xmlns:c16="http://schemas.microsoft.com/office/drawing/2014/chart" uri="{C3380CC4-5D6E-409C-BE32-E72D297353CC}">
              <c16:uniqueId val="{00000009-21CE-44B5-B529-29DFAFC11DA1}"/>
            </c:ext>
          </c:extLst>
        </c:ser>
        <c:ser>
          <c:idx val="10"/>
          <c:order val="10"/>
          <c:tx>
            <c:strRef>
              <c:f>results!$A$15</c:f>
              <c:strCache>
                <c:ptCount val="1"/>
                <c:pt idx="0">
                  <c:v>Sonication</c:v>
                </c:pt>
              </c:strCache>
            </c:strRef>
          </c:tx>
          <c:spPr>
            <a:solidFill>
              <a:schemeClr val="accent5">
                <a:lumMod val="60000"/>
              </a:schemeClr>
            </a:solidFill>
            <a:ln>
              <a:noFill/>
            </a:ln>
            <a:effectLst/>
          </c:spPr>
          <c:invertIfNegative val="0"/>
          <c:cat>
            <c:strRef>
              <c:f>results!$D$2:$X$2</c:f>
              <c:strCache>
                <c:ptCount val="5"/>
                <c:pt idx="3">
                  <c:v>Carbon footprint</c:v>
                </c:pt>
                <c:pt idx="4">
                  <c:v>Primary energy consumption</c:v>
                </c:pt>
              </c:strCache>
            </c:strRef>
          </c:cat>
          <c:val>
            <c:numRef>
              <c:f>results!$D$15:$X$15</c:f>
              <c:numCache>
                <c:formatCode>General</c:formatCode>
                <c:ptCount val="21"/>
                <c:pt idx="3">
                  <c:v>0.28396800022717433</c:v>
                </c:pt>
                <c:pt idx="4">
                  <c:v>4.9966410936773125</c:v>
                </c:pt>
              </c:numCache>
            </c:numRef>
          </c:val>
          <c:extLst>
            <c:ext xmlns:c16="http://schemas.microsoft.com/office/drawing/2014/chart" uri="{C3380CC4-5D6E-409C-BE32-E72D297353CC}">
              <c16:uniqueId val="{0000000A-21CE-44B5-B529-29DFAFC11DA1}"/>
            </c:ext>
          </c:extLst>
        </c:ser>
        <c:ser>
          <c:idx val="11"/>
          <c:order val="11"/>
          <c:tx>
            <c:strRef>
              <c:f>results!$A$16</c:f>
              <c:strCache>
                <c:ptCount val="1"/>
                <c:pt idx="0">
                  <c:v>HTL spin coating</c:v>
                </c:pt>
              </c:strCache>
            </c:strRef>
          </c:tx>
          <c:spPr>
            <a:solidFill>
              <a:schemeClr val="accent6">
                <a:lumMod val="60000"/>
              </a:schemeClr>
            </a:solidFill>
            <a:ln>
              <a:noFill/>
            </a:ln>
            <a:effectLst/>
          </c:spPr>
          <c:invertIfNegative val="0"/>
          <c:cat>
            <c:strRef>
              <c:f>results!$D$2:$X$2</c:f>
              <c:strCache>
                <c:ptCount val="5"/>
                <c:pt idx="3">
                  <c:v>Carbon footprint</c:v>
                </c:pt>
                <c:pt idx="4">
                  <c:v>Primary energy consumption</c:v>
                </c:pt>
              </c:strCache>
            </c:strRef>
          </c:cat>
          <c:val>
            <c:numRef>
              <c:f>results!$D$16:$X$16</c:f>
              <c:numCache>
                <c:formatCode>General</c:formatCode>
                <c:ptCount val="21"/>
                <c:pt idx="3">
                  <c:v>4.7574154393188799</c:v>
                </c:pt>
                <c:pt idx="4">
                  <c:v>83.710479577905772</c:v>
                </c:pt>
              </c:numCache>
            </c:numRef>
          </c:val>
          <c:extLst>
            <c:ext xmlns:c16="http://schemas.microsoft.com/office/drawing/2014/chart" uri="{C3380CC4-5D6E-409C-BE32-E72D297353CC}">
              <c16:uniqueId val="{0000000B-21CE-44B5-B529-29DFAFC11DA1}"/>
            </c:ext>
          </c:extLst>
        </c:ser>
        <c:ser>
          <c:idx val="12"/>
          <c:order val="12"/>
          <c:tx>
            <c:strRef>
              <c:f>results!$A$17</c:f>
              <c:strCache>
                <c:ptCount val="1"/>
                <c:pt idx="0">
                  <c:v>HTL annealing</c:v>
                </c:pt>
              </c:strCache>
            </c:strRef>
          </c:tx>
          <c:spPr>
            <a:solidFill>
              <a:schemeClr val="accent1">
                <a:lumMod val="80000"/>
                <a:lumOff val="20000"/>
              </a:schemeClr>
            </a:solidFill>
            <a:ln>
              <a:noFill/>
            </a:ln>
            <a:effectLst/>
          </c:spPr>
          <c:invertIfNegative val="0"/>
          <c:cat>
            <c:strRef>
              <c:f>results!$D$2:$X$2</c:f>
              <c:strCache>
                <c:ptCount val="5"/>
                <c:pt idx="3">
                  <c:v>Carbon footprint</c:v>
                </c:pt>
                <c:pt idx="4">
                  <c:v>Primary energy consumption</c:v>
                </c:pt>
              </c:strCache>
            </c:strRef>
          </c:cat>
          <c:val>
            <c:numRef>
              <c:f>results!$D$17:$X$17</c:f>
              <c:numCache>
                <c:formatCode>General</c:formatCode>
                <c:ptCount val="21"/>
                <c:pt idx="3">
                  <c:v>30.668544024534835</c:v>
                </c:pt>
                <c:pt idx="4">
                  <c:v>539.63723811714988</c:v>
                </c:pt>
              </c:numCache>
            </c:numRef>
          </c:val>
          <c:extLst>
            <c:ext xmlns:c16="http://schemas.microsoft.com/office/drawing/2014/chart" uri="{C3380CC4-5D6E-409C-BE32-E72D297353CC}">
              <c16:uniqueId val="{0000000C-21CE-44B5-B529-29DFAFC11DA1}"/>
            </c:ext>
          </c:extLst>
        </c:ser>
        <c:ser>
          <c:idx val="13"/>
          <c:order val="13"/>
          <c:tx>
            <c:strRef>
              <c:f>results!$A$18</c:f>
              <c:strCache>
                <c:ptCount val="1"/>
                <c:pt idx="0">
                  <c:v>Inert gas purging</c:v>
                </c:pt>
              </c:strCache>
            </c:strRef>
          </c:tx>
          <c:spPr>
            <a:solidFill>
              <a:schemeClr val="accent2">
                <a:lumMod val="80000"/>
                <a:lumOff val="20000"/>
              </a:schemeClr>
            </a:solidFill>
            <a:ln>
              <a:noFill/>
            </a:ln>
            <a:effectLst/>
          </c:spPr>
          <c:invertIfNegative val="0"/>
          <c:cat>
            <c:strRef>
              <c:f>results!$D$2:$X$2</c:f>
              <c:strCache>
                <c:ptCount val="5"/>
                <c:pt idx="3">
                  <c:v>Carbon footprint</c:v>
                </c:pt>
                <c:pt idx="4">
                  <c:v>Primary energy consumption</c:v>
                </c:pt>
              </c:strCache>
            </c:strRef>
          </c:cat>
          <c:val>
            <c:numRef>
              <c:f>results!$D$18:$X$18</c:f>
              <c:numCache>
                <c:formatCode>General</c:formatCode>
                <c:ptCount val="21"/>
                <c:pt idx="3">
                  <c:v>3.7270800029816638</c:v>
                </c:pt>
                <c:pt idx="4">
                  <c:v>65.580914354514732</c:v>
                </c:pt>
              </c:numCache>
            </c:numRef>
          </c:val>
          <c:extLst>
            <c:ext xmlns:c16="http://schemas.microsoft.com/office/drawing/2014/chart" uri="{C3380CC4-5D6E-409C-BE32-E72D297353CC}">
              <c16:uniqueId val="{0000000D-21CE-44B5-B529-29DFAFC11DA1}"/>
            </c:ext>
          </c:extLst>
        </c:ser>
        <c:ser>
          <c:idx val="14"/>
          <c:order val="14"/>
          <c:tx>
            <c:strRef>
              <c:f>results!$A$19</c:f>
              <c:strCache>
                <c:ptCount val="1"/>
                <c:pt idx="0">
                  <c:v>PL 1st-step spin coating</c:v>
                </c:pt>
              </c:strCache>
            </c:strRef>
          </c:tx>
          <c:spPr>
            <a:solidFill>
              <a:schemeClr val="accent3">
                <a:lumMod val="80000"/>
                <a:lumOff val="20000"/>
              </a:schemeClr>
            </a:solidFill>
            <a:ln>
              <a:noFill/>
            </a:ln>
            <a:effectLst/>
          </c:spPr>
          <c:invertIfNegative val="0"/>
          <c:cat>
            <c:strRef>
              <c:f>results!$D$2:$X$2</c:f>
              <c:strCache>
                <c:ptCount val="5"/>
                <c:pt idx="3">
                  <c:v>Carbon footprint</c:v>
                </c:pt>
                <c:pt idx="4">
                  <c:v>Primary energy consumption</c:v>
                </c:pt>
              </c:strCache>
            </c:strRef>
          </c:cat>
          <c:val>
            <c:numRef>
              <c:f>results!$D$19:$X$19</c:f>
              <c:numCache>
                <c:formatCode>General</c:formatCode>
                <c:ptCount val="21"/>
                <c:pt idx="3">
                  <c:v>8.4576274476780081E-2</c:v>
                </c:pt>
                <c:pt idx="4">
                  <c:v>1.4881863036072136</c:v>
                </c:pt>
              </c:numCache>
            </c:numRef>
          </c:val>
          <c:extLst>
            <c:ext xmlns:c16="http://schemas.microsoft.com/office/drawing/2014/chart" uri="{C3380CC4-5D6E-409C-BE32-E72D297353CC}">
              <c16:uniqueId val="{0000000E-21CE-44B5-B529-29DFAFC11DA1}"/>
            </c:ext>
          </c:extLst>
        </c:ser>
        <c:ser>
          <c:idx val="15"/>
          <c:order val="15"/>
          <c:tx>
            <c:strRef>
              <c:f>results!$A$20</c:f>
              <c:strCache>
                <c:ptCount val="1"/>
                <c:pt idx="0">
                  <c:v>PL drying</c:v>
                </c:pt>
              </c:strCache>
            </c:strRef>
          </c:tx>
          <c:spPr>
            <a:solidFill>
              <a:schemeClr val="accent4">
                <a:lumMod val="80000"/>
                <a:lumOff val="20000"/>
              </a:schemeClr>
            </a:solidFill>
            <a:ln>
              <a:noFill/>
            </a:ln>
            <a:effectLst/>
          </c:spPr>
          <c:invertIfNegative val="0"/>
          <c:cat>
            <c:strRef>
              <c:f>results!$D$2:$X$2</c:f>
              <c:strCache>
                <c:ptCount val="5"/>
                <c:pt idx="3">
                  <c:v>Carbon footprint</c:v>
                </c:pt>
                <c:pt idx="4">
                  <c:v>Primary energy consumption</c:v>
                </c:pt>
              </c:strCache>
            </c:strRef>
          </c:cat>
          <c:val>
            <c:numRef>
              <c:f>results!$D$20:$X$20</c:f>
              <c:numCache>
                <c:formatCode>General</c:formatCode>
                <c:ptCount val="21"/>
                <c:pt idx="3">
                  <c:v>1.1926656009541325</c:v>
                </c:pt>
                <c:pt idx="4">
                  <c:v>20.985892593444717</c:v>
                </c:pt>
              </c:numCache>
            </c:numRef>
          </c:val>
          <c:extLst>
            <c:ext xmlns:c16="http://schemas.microsoft.com/office/drawing/2014/chart" uri="{C3380CC4-5D6E-409C-BE32-E72D297353CC}">
              <c16:uniqueId val="{0000000F-21CE-44B5-B529-29DFAFC11DA1}"/>
            </c:ext>
          </c:extLst>
        </c:ser>
        <c:ser>
          <c:idx val="16"/>
          <c:order val="16"/>
          <c:tx>
            <c:strRef>
              <c:f>results!$A$21</c:f>
              <c:strCache>
                <c:ptCount val="1"/>
                <c:pt idx="0">
                  <c:v>PL 2nd-step spin coating</c:v>
                </c:pt>
              </c:strCache>
            </c:strRef>
          </c:tx>
          <c:spPr>
            <a:solidFill>
              <a:schemeClr val="accent5">
                <a:lumMod val="80000"/>
                <a:lumOff val="20000"/>
              </a:schemeClr>
            </a:solidFill>
            <a:ln>
              <a:noFill/>
            </a:ln>
            <a:effectLst/>
          </c:spPr>
          <c:invertIfNegative val="0"/>
          <c:cat>
            <c:strRef>
              <c:f>results!$D$2:$X$2</c:f>
              <c:strCache>
                <c:ptCount val="5"/>
                <c:pt idx="3">
                  <c:v>Carbon footprint</c:v>
                </c:pt>
                <c:pt idx="4">
                  <c:v>Primary energy consumption</c:v>
                </c:pt>
              </c:strCache>
            </c:strRef>
          </c:cat>
          <c:val>
            <c:numRef>
              <c:f>results!$D$21:$X$21</c:f>
              <c:numCache>
                <c:formatCode>General</c:formatCode>
                <c:ptCount val="21"/>
                <c:pt idx="3">
                  <c:v>4.2288137238390036</c:v>
                </c:pt>
                <c:pt idx="4">
                  <c:v>74.409315180360679</c:v>
                </c:pt>
              </c:numCache>
            </c:numRef>
          </c:val>
          <c:extLst>
            <c:ext xmlns:c16="http://schemas.microsoft.com/office/drawing/2014/chart" uri="{C3380CC4-5D6E-409C-BE32-E72D297353CC}">
              <c16:uniqueId val="{00000010-21CE-44B5-B529-29DFAFC11DA1}"/>
            </c:ext>
          </c:extLst>
        </c:ser>
        <c:ser>
          <c:idx val="17"/>
          <c:order val="17"/>
          <c:tx>
            <c:strRef>
              <c:f>results!$A$22</c:f>
              <c:strCache>
                <c:ptCount val="1"/>
                <c:pt idx="0">
                  <c:v>PL annealing</c:v>
                </c:pt>
              </c:strCache>
            </c:strRef>
          </c:tx>
          <c:spPr>
            <a:solidFill>
              <a:schemeClr val="accent6">
                <a:lumMod val="80000"/>
                <a:lumOff val="20000"/>
              </a:schemeClr>
            </a:solidFill>
            <a:ln>
              <a:noFill/>
            </a:ln>
            <a:effectLst/>
          </c:spPr>
          <c:invertIfNegative val="0"/>
          <c:cat>
            <c:strRef>
              <c:f>results!$D$2:$X$2</c:f>
              <c:strCache>
                <c:ptCount val="5"/>
                <c:pt idx="3">
                  <c:v>Carbon footprint</c:v>
                </c:pt>
                <c:pt idx="4">
                  <c:v>Primary energy consumption</c:v>
                </c:pt>
              </c:strCache>
            </c:strRef>
          </c:cat>
          <c:val>
            <c:numRef>
              <c:f>results!$D$22:$X$22</c:f>
              <c:numCache>
                <c:formatCode>General</c:formatCode>
                <c:ptCount val="21"/>
                <c:pt idx="3">
                  <c:v>20.445696016356557</c:v>
                </c:pt>
                <c:pt idx="4">
                  <c:v>359.75815874476655</c:v>
                </c:pt>
              </c:numCache>
            </c:numRef>
          </c:val>
          <c:extLst>
            <c:ext xmlns:c16="http://schemas.microsoft.com/office/drawing/2014/chart" uri="{C3380CC4-5D6E-409C-BE32-E72D297353CC}">
              <c16:uniqueId val="{00000011-21CE-44B5-B529-29DFAFC11DA1}"/>
            </c:ext>
          </c:extLst>
        </c:ser>
        <c:ser>
          <c:idx val="18"/>
          <c:order val="18"/>
          <c:tx>
            <c:strRef>
              <c:f>results!$A$23</c:f>
              <c:strCache>
                <c:ptCount val="1"/>
                <c:pt idx="0">
                  <c:v>ETL spin coating</c:v>
                </c:pt>
              </c:strCache>
            </c:strRef>
          </c:tx>
          <c:spPr>
            <a:solidFill>
              <a:schemeClr val="accent1">
                <a:lumMod val="80000"/>
              </a:schemeClr>
            </a:solidFill>
            <a:ln>
              <a:noFill/>
            </a:ln>
            <a:effectLst/>
          </c:spPr>
          <c:invertIfNegative val="0"/>
          <c:cat>
            <c:strRef>
              <c:f>results!$D$2:$X$2</c:f>
              <c:strCache>
                <c:ptCount val="5"/>
                <c:pt idx="3">
                  <c:v>Carbon footprint</c:v>
                </c:pt>
                <c:pt idx="4">
                  <c:v>Primary energy consumption</c:v>
                </c:pt>
              </c:strCache>
            </c:strRef>
          </c:cat>
          <c:val>
            <c:numRef>
              <c:f>results!$D$23:$X$23</c:f>
              <c:numCache>
                <c:formatCode>General</c:formatCode>
                <c:ptCount val="21"/>
                <c:pt idx="3">
                  <c:v>4.7574154393188799</c:v>
                </c:pt>
                <c:pt idx="4">
                  <c:v>83.710479577905772</c:v>
                </c:pt>
              </c:numCache>
            </c:numRef>
          </c:val>
          <c:extLst>
            <c:ext xmlns:c16="http://schemas.microsoft.com/office/drawing/2014/chart" uri="{C3380CC4-5D6E-409C-BE32-E72D297353CC}">
              <c16:uniqueId val="{00000012-21CE-44B5-B529-29DFAFC11DA1}"/>
            </c:ext>
          </c:extLst>
        </c:ser>
        <c:ser>
          <c:idx val="19"/>
          <c:order val="19"/>
          <c:tx>
            <c:strRef>
              <c:f>results!$A$24</c:f>
              <c:strCache>
                <c:ptCount val="1"/>
                <c:pt idx="0">
                  <c:v>Vacuum pump</c:v>
                </c:pt>
              </c:strCache>
            </c:strRef>
          </c:tx>
          <c:spPr>
            <a:solidFill>
              <a:schemeClr val="accent2">
                <a:lumMod val="80000"/>
              </a:schemeClr>
            </a:solidFill>
            <a:ln>
              <a:noFill/>
            </a:ln>
            <a:effectLst/>
          </c:spPr>
          <c:invertIfNegative val="0"/>
          <c:cat>
            <c:strRef>
              <c:f>results!$D$2:$X$2</c:f>
              <c:strCache>
                <c:ptCount val="5"/>
                <c:pt idx="3">
                  <c:v>Carbon footprint</c:v>
                </c:pt>
                <c:pt idx="4">
                  <c:v>Primary energy consumption</c:v>
                </c:pt>
              </c:strCache>
            </c:strRef>
          </c:cat>
          <c:val>
            <c:numRef>
              <c:f>results!$D$24:$X$24</c:f>
              <c:numCache>
                <c:formatCode>General</c:formatCode>
                <c:ptCount val="21"/>
                <c:pt idx="3">
                  <c:v>6.5312640052250099</c:v>
                </c:pt>
                <c:pt idx="4">
                  <c:v>114.92274515457818</c:v>
                </c:pt>
              </c:numCache>
            </c:numRef>
          </c:val>
          <c:extLst>
            <c:ext xmlns:c16="http://schemas.microsoft.com/office/drawing/2014/chart" uri="{C3380CC4-5D6E-409C-BE32-E72D297353CC}">
              <c16:uniqueId val="{00000013-21CE-44B5-B529-29DFAFC11DA1}"/>
            </c:ext>
          </c:extLst>
        </c:ser>
        <c:ser>
          <c:idx val="20"/>
          <c:order val="20"/>
          <c:tx>
            <c:strRef>
              <c:f>results!$A$25</c:f>
              <c:strCache>
                <c:ptCount val="1"/>
                <c:pt idx="0">
                  <c:v>Evaporation</c:v>
                </c:pt>
              </c:strCache>
            </c:strRef>
          </c:tx>
          <c:spPr>
            <a:solidFill>
              <a:schemeClr val="accent3">
                <a:lumMod val="80000"/>
              </a:schemeClr>
            </a:solidFill>
            <a:ln>
              <a:noFill/>
            </a:ln>
            <a:effectLst/>
          </c:spPr>
          <c:invertIfNegative val="0"/>
          <c:cat>
            <c:strRef>
              <c:f>results!$D$2:$X$2</c:f>
              <c:strCache>
                <c:ptCount val="5"/>
                <c:pt idx="3">
                  <c:v>Carbon footprint</c:v>
                </c:pt>
                <c:pt idx="4">
                  <c:v>Primary energy consumption</c:v>
                </c:pt>
              </c:strCache>
            </c:strRef>
          </c:cat>
          <c:val>
            <c:numRef>
              <c:f>results!$D$25:$X$25</c:f>
              <c:numCache>
                <c:formatCode>General</c:formatCode>
                <c:ptCount val="21"/>
                <c:pt idx="3">
                  <c:v>3.7862400030289916</c:v>
                </c:pt>
                <c:pt idx="4">
                  <c:v>66.621881249030835</c:v>
                </c:pt>
              </c:numCache>
            </c:numRef>
          </c:val>
          <c:extLst>
            <c:ext xmlns:c16="http://schemas.microsoft.com/office/drawing/2014/chart" uri="{C3380CC4-5D6E-409C-BE32-E72D297353CC}">
              <c16:uniqueId val="{00000000-3469-4F38-8840-9CAFE47D8AD4}"/>
            </c:ext>
          </c:extLst>
        </c:ser>
        <c:ser>
          <c:idx val="21"/>
          <c:order val="21"/>
          <c:tx>
            <c:strRef>
              <c:f>results!$A$26</c:f>
              <c:strCache>
                <c:ptCount val="1"/>
                <c:pt idx="0">
                  <c:v>Cooling</c:v>
                </c:pt>
              </c:strCache>
            </c:strRef>
          </c:tx>
          <c:spPr>
            <a:solidFill>
              <a:schemeClr val="accent4">
                <a:lumMod val="80000"/>
              </a:schemeClr>
            </a:solidFill>
            <a:ln>
              <a:noFill/>
            </a:ln>
            <a:effectLst/>
          </c:spPr>
          <c:invertIfNegative val="0"/>
          <c:cat>
            <c:strRef>
              <c:f>results!$D$2:$X$2</c:f>
              <c:strCache>
                <c:ptCount val="5"/>
                <c:pt idx="3">
                  <c:v>Carbon footprint</c:v>
                </c:pt>
                <c:pt idx="4">
                  <c:v>Primary energy consumption</c:v>
                </c:pt>
              </c:strCache>
            </c:strRef>
          </c:cat>
          <c:val>
            <c:numRef>
              <c:f>results!$D$26:$X$26</c:f>
              <c:numCache>
                <c:formatCode>General</c:formatCode>
                <c:ptCount val="21"/>
                <c:pt idx="3">
                  <c:v>11.358720009086975</c:v>
                </c:pt>
                <c:pt idx="4">
                  <c:v>199.86564374709252</c:v>
                </c:pt>
              </c:numCache>
            </c:numRef>
          </c:val>
          <c:extLst>
            <c:ext xmlns:c16="http://schemas.microsoft.com/office/drawing/2014/chart" uri="{C3380CC4-5D6E-409C-BE32-E72D297353CC}">
              <c16:uniqueId val="{00000000-E013-474C-ABE2-6CCEC78A999D}"/>
            </c:ext>
          </c:extLst>
        </c:ser>
        <c:ser>
          <c:idx val="22"/>
          <c:order val="22"/>
          <c:tx>
            <c:strRef>
              <c:f>results!$A$27</c:f>
              <c:strCache>
                <c:ptCount val="1"/>
                <c:pt idx="0">
                  <c:v>Direct emissions</c:v>
                </c:pt>
              </c:strCache>
            </c:strRef>
          </c:tx>
          <c:spPr>
            <a:solidFill>
              <a:schemeClr val="accent5">
                <a:lumMod val="80000"/>
              </a:schemeClr>
            </a:solidFill>
            <a:ln>
              <a:noFill/>
            </a:ln>
            <a:effectLst/>
          </c:spPr>
          <c:invertIfNegative val="0"/>
          <c:cat>
            <c:strRef>
              <c:f>results!$D$2:$X$2</c:f>
              <c:strCache>
                <c:ptCount val="5"/>
                <c:pt idx="3">
                  <c:v>Carbon footprint</c:v>
                </c:pt>
                <c:pt idx="4">
                  <c:v>Primary energy consumption</c:v>
                </c:pt>
              </c:strCache>
            </c:strRef>
          </c:cat>
          <c:val>
            <c:numRef>
              <c:f>results!$D$27:$X$27</c:f>
              <c:numCache>
                <c:formatCode>General</c:formatCode>
                <c:ptCount val="21"/>
                <c:pt idx="3">
                  <c:v>0</c:v>
                </c:pt>
                <c:pt idx="4">
                  <c:v>0</c:v>
                </c:pt>
              </c:numCache>
            </c:numRef>
          </c:val>
          <c:extLst>
            <c:ext xmlns:c16="http://schemas.microsoft.com/office/drawing/2014/chart" uri="{C3380CC4-5D6E-409C-BE32-E72D297353CC}">
              <c16:uniqueId val="{00000006-B48F-4890-819C-69327C000D37}"/>
            </c:ext>
          </c:extLst>
        </c:ser>
        <c:ser>
          <c:idx val="23"/>
          <c:order val="23"/>
          <c:tx>
            <c:strRef>
              <c:f>results!$A$28</c:f>
              <c:strCache>
                <c:ptCount val="1"/>
                <c:pt idx="0">
                  <c:v>Treatment</c:v>
                </c:pt>
              </c:strCache>
            </c:strRef>
          </c:tx>
          <c:spPr>
            <a:solidFill>
              <a:schemeClr val="accent6">
                <a:lumMod val="80000"/>
              </a:schemeClr>
            </a:solidFill>
            <a:ln>
              <a:noFill/>
            </a:ln>
            <a:effectLst/>
          </c:spPr>
          <c:invertIfNegative val="0"/>
          <c:cat>
            <c:strRef>
              <c:f>results!$D$2:$X$2</c:f>
              <c:strCache>
                <c:ptCount val="5"/>
                <c:pt idx="3">
                  <c:v>Carbon footprint</c:v>
                </c:pt>
                <c:pt idx="4">
                  <c:v>Primary energy consumption</c:v>
                </c:pt>
              </c:strCache>
            </c:strRef>
          </c:cat>
          <c:val>
            <c:numRef>
              <c:f>results!$D$28:$X$28</c:f>
              <c:numCache>
                <c:formatCode>General</c:formatCode>
                <c:ptCount val="21"/>
                <c:pt idx="3">
                  <c:v>1.44631779E-4</c:v>
                </c:pt>
                <c:pt idx="4">
                  <c:v>1.2086428794910004E-3</c:v>
                </c:pt>
              </c:numCache>
            </c:numRef>
          </c:val>
          <c:extLst>
            <c:ext xmlns:c16="http://schemas.microsoft.com/office/drawing/2014/chart" uri="{C3380CC4-5D6E-409C-BE32-E72D297353CC}">
              <c16:uniqueId val="{00000007-B48F-4890-819C-69327C000D37}"/>
            </c:ext>
          </c:extLst>
        </c:ser>
        <c:ser>
          <c:idx val="24"/>
          <c:order val="24"/>
          <c:tx>
            <c:strRef>
              <c:f>results!$A$29</c:f>
              <c:strCache>
                <c:ptCount val="1"/>
                <c:pt idx="0">
                  <c:v>End of life</c:v>
                </c:pt>
              </c:strCache>
            </c:strRef>
          </c:tx>
          <c:spPr>
            <a:solidFill>
              <a:schemeClr val="accent1">
                <a:lumMod val="60000"/>
                <a:lumOff val="40000"/>
              </a:schemeClr>
            </a:solidFill>
            <a:ln>
              <a:noFill/>
            </a:ln>
            <a:effectLst/>
          </c:spPr>
          <c:invertIfNegative val="0"/>
          <c:cat>
            <c:strRef>
              <c:f>results!$D$2:$X$2</c:f>
              <c:strCache>
                <c:ptCount val="5"/>
                <c:pt idx="3">
                  <c:v>Carbon footprint</c:v>
                </c:pt>
                <c:pt idx="4">
                  <c:v>Primary energy consumption</c:v>
                </c:pt>
              </c:strCache>
            </c:strRef>
          </c:cat>
          <c:val>
            <c:numRef>
              <c:f>results!$D$29:$X$29</c:f>
              <c:numCache>
                <c:formatCode>General</c:formatCode>
                <c:ptCount val="21"/>
                <c:pt idx="3">
                  <c:v>0.15919747552941177</c:v>
                </c:pt>
                <c:pt idx="4">
                  <c:v>2.7861947098039215</c:v>
                </c:pt>
              </c:numCache>
            </c:numRef>
          </c:val>
          <c:extLst>
            <c:ext xmlns:c16="http://schemas.microsoft.com/office/drawing/2014/chart" uri="{C3380CC4-5D6E-409C-BE32-E72D297353CC}">
              <c16:uniqueId val="{00000008-B48F-4890-819C-69327C000D37}"/>
            </c:ext>
          </c:extLst>
        </c:ser>
        <c:dLbls>
          <c:showLegendKey val="0"/>
          <c:showVal val="0"/>
          <c:showCatName val="0"/>
          <c:showSerName val="0"/>
          <c:showPercent val="0"/>
          <c:showBubbleSize val="0"/>
        </c:dLbls>
        <c:gapWidth val="150"/>
        <c:overlap val="100"/>
        <c:axId val="750237215"/>
        <c:axId val="1267489135"/>
      </c:barChart>
      <c:catAx>
        <c:axId val="750237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ysClr val="windowText" lastClr="000000"/>
                </a:solidFill>
                <a:latin typeface="+mn-lt"/>
                <a:ea typeface="+mn-ea"/>
                <a:cs typeface="+mn-cs"/>
              </a:defRPr>
            </a:pPr>
            <a:endParaRPr lang="en-US"/>
          </a:p>
        </c:txPr>
        <c:crossAx val="1267489135"/>
        <c:crosses val="autoZero"/>
        <c:auto val="1"/>
        <c:lblAlgn val="ctr"/>
        <c:lblOffset val="100"/>
        <c:noMultiLvlLbl val="0"/>
      </c:catAx>
      <c:valAx>
        <c:axId val="1267489135"/>
        <c:scaling>
          <c:orientation val="minMax"/>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50237215"/>
        <c:crosses val="autoZero"/>
        <c:crossBetween val="between"/>
      </c:valAx>
      <c:spPr>
        <a:noFill/>
        <a:ln>
          <a:noFill/>
        </a:ln>
        <a:effectLst/>
      </c:spPr>
    </c:plotArea>
    <c:legend>
      <c:legendPos val="b"/>
      <c:layout>
        <c:manualLayout>
          <c:xMode val="edge"/>
          <c:yMode val="edge"/>
          <c:x val="2.0013250770838108E-2"/>
          <c:y val="0.79863006402220005"/>
          <c:w val="0.74247002908420234"/>
          <c:h val="0.20136993597780001"/>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6</xdr:col>
      <xdr:colOff>485775</xdr:colOff>
      <xdr:row>46</xdr:row>
      <xdr:rowOff>95250</xdr:rowOff>
    </xdr:from>
    <xdr:to>
      <xdr:col>8</xdr:col>
      <xdr:colOff>752475</xdr:colOff>
      <xdr:row>60</xdr:row>
      <xdr:rowOff>171450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57150</xdr:colOff>
      <xdr:row>48</xdr:row>
      <xdr:rowOff>171450</xdr:rowOff>
    </xdr:from>
    <xdr:to>
      <xdr:col>14</xdr:col>
      <xdr:colOff>180975</xdr:colOff>
      <xdr:row>63</xdr:row>
      <xdr:rowOff>57150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9525</xdr:colOff>
      <xdr:row>47</xdr:row>
      <xdr:rowOff>185737</xdr:rowOff>
    </xdr:from>
    <xdr:to>
      <xdr:col>19</xdr:col>
      <xdr:colOff>619125</xdr:colOff>
      <xdr:row>62</xdr:row>
      <xdr:rowOff>71437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9525</xdr:colOff>
          <xdr:row>6</xdr:row>
          <xdr:rowOff>171450</xdr:rowOff>
        </xdr:from>
        <xdr:to>
          <xdr:col>6</xdr:col>
          <xdr:colOff>28575</xdr:colOff>
          <xdr:row>9</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Ideal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161925</xdr:rowOff>
        </xdr:from>
        <xdr:to>
          <xdr:col>6</xdr:col>
          <xdr:colOff>28575</xdr:colOff>
          <xdr:row>3</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 recycling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161925</xdr:rowOff>
        </xdr:from>
        <xdr:to>
          <xdr:col>6</xdr:col>
          <xdr:colOff>28575</xdr:colOff>
          <xdr:row>6</xdr:row>
          <xdr:rowOff>28575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Norminal recycling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314325</xdr:colOff>
      <xdr:row>0</xdr:row>
      <xdr:rowOff>123825</xdr:rowOff>
    </xdr:from>
    <xdr:to>
      <xdr:col>23</xdr:col>
      <xdr:colOff>177117</xdr:colOff>
      <xdr:row>14</xdr:row>
      <xdr:rowOff>152400</xdr:rowOff>
    </xdr:to>
    <xdr:graphicFrame macro="">
      <xdr:nvGraphicFramePr>
        <xdr:cNvPr id="6" name="Chart 38">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323850</xdr:colOff>
      <xdr:row>16</xdr:row>
      <xdr:rowOff>76200</xdr:rowOff>
    </xdr:from>
    <xdr:to>
      <xdr:col>23</xdr:col>
      <xdr:colOff>186642</xdr:colOff>
      <xdr:row>30</xdr:row>
      <xdr:rowOff>123825</xdr:rowOff>
    </xdr:to>
    <xdr:graphicFrame macro="">
      <xdr:nvGraphicFramePr>
        <xdr:cNvPr id="7" name="Chart 43">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842962</xdr:colOff>
      <xdr:row>28</xdr:row>
      <xdr:rowOff>171450</xdr:rowOff>
    </xdr:from>
    <xdr:to>
      <xdr:col>8</xdr:col>
      <xdr:colOff>804862</xdr:colOff>
      <xdr:row>43</xdr:row>
      <xdr:rowOff>57150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909016</xdr:colOff>
      <xdr:row>28</xdr:row>
      <xdr:rowOff>184702</xdr:rowOff>
    </xdr:from>
    <xdr:to>
      <xdr:col>11</xdr:col>
      <xdr:colOff>319709</xdr:colOff>
      <xdr:row>43</xdr:row>
      <xdr:rowOff>106845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776287</xdr:colOff>
      <xdr:row>24</xdr:row>
      <xdr:rowOff>4762</xdr:rowOff>
    </xdr:from>
    <xdr:to>
      <xdr:col>17</xdr:col>
      <xdr:colOff>52387</xdr:colOff>
      <xdr:row>38</xdr:row>
      <xdr:rowOff>80962</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466724</xdr:colOff>
      <xdr:row>37</xdr:row>
      <xdr:rowOff>104775</xdr:rowOff>
    </xdr:from>
    <xdr:to>
      <xdr:col>9</xdr:col>
      <xdr:colOff>200024</xdr:colOff>
      <xdr:row>65</xdr:row>
      <xdr:rowOff>104775</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Other%20inventory.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0_Raw%20materials.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4_NiOx%20precursor%20solut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0_Raw%20materials-updated.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rnellprod-my.sharepoint.com/personal/xt93_cornell_edu/Documents/1_Perovskite_20180226/LCI%20for%20key%20components/5_ZnO%20nanoparticles.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Alvin/Desktop/1_Perovskite_20180226/LCI%20for%20key%20components/Inventory%20for%20recycl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I2"/>
      <sheetName val="CH3NH3I"/>
      <sheetName val="FTO glass"/>
      <sheetName val="ITO glass"/>
      <sheetName val="BL-TiO2 ink"/>
      <sheetName val="spiro-OMeTAD"/>
      <sheetName val="C60"/>
      <sheetName val="PCBM_old"/>
      <sheetName val="PCBM_new"/>
      <sheetName val="PCBM"/>
      <sheetName val="Thiophene"/>
      <sheetName val="PEDOT PSS"/>
    </sheetNames>
    <sheetDataSet>
      <sheetData sheetId="0">
        <row r="18">
          <cell r="D18">
            <v>4.5641478346943822</v>
          </cell>
          <cell r="M18">
            <v>54.273073573167295</v>
          </cell>
          <cell r="N18">
            <v>1.0468647769178421</v>
          </cell>
          <cell r="O18">
            <v>3.8979307535263539</v>
          </cell>
          <cell r="P18">
            <v>1.0346162212323682</v>
          </cell>
          <cell r="Q18">
            <v>7.1263336550358825E-2</v>
          </cell>
          <cell r="R18">
            <v>1.9784839253897545E-3</v>
          </cell>
          <cell r="S18">
            <v>155.93446269487751</v>
          </cell>
          <cell r="T18">
            <v>0.19160131588715665</v>
          </cell>
          <cell r="U18">
            <v>78.202403056174219</v>
          </cell>
          <cell r="V18">
            <v>5.15849037985647E-3</v>
          </cell>
          <cell r="W18">
            <v>0.63220118225686706</v>
          </cell>
          <cell r="X18">
            <v>6.6310885300668149E-4</v>
          </cell>
          <cell r="Y18">
            <v>4.462579856471171E-7</v>
          </cell>
          <cell r="Z18">
            <v>1.1047205555555552E-2</v>
          </cell>
          <cell r="AA18">
            <v>1.554942625587726E-2</v>
          </cell>
          <cell r="AB18">
            <v>3.125296795347686E-2</v>
          </cell>
          <cell r="AC18">
            <v>5.3766239785944065E-3</v>
          </cell>
          <cell r="AD18">
            <v>4.0204006328878987E-2</v>
          </cell>
          <cell r="AE18">
            <v>1.1739803605543183E-2</v>
          </cell>
          <cell r="AF18">
            <v>0.19118482430091563</v>
          </cell>
          <cell r="AG18">
            <v>1.2205381316505814</v>
          </cell>
          <cell r="AH18">
            <v>0.15340474263796092</v>
          </cell>
        </row>
      </sheetData>
      <sheetData sheetId="1">
        <row r="17">
          <cell r="D17">
            <v>161.5361359123435</v>
          </cell>
          <cell r="M17">
            <v>3431.2608150330084</v>
          </cell>
          <cell r="N17">
            <v>16.135752796779965</v>
          </cell>
          <cell r="O17">
            <v>147.82446722719141</v>
          </cell>
          <cell r="P17">
            <v>68.175556314847952</v>
          </cell>
          <cell r="Q17">
            <v>5.572385187119858</v>
          </cell>
          <cell r="R17">
            <v>0.13118079564400717</v>
          </cell>
          <cell r="S17">
            <v>6537.4459293381042</v>
          </cell>
          <cell r="T17">
            <v>15.803840549194994</v>
          </cell>
          <cell r="U17">
            <v>4972.9006245080509</v>
          </cell>
          <cell r="V17">
            <v>0.2099851833631485</v>
          </cell>
          <cell r="W17">
            <v>11.809114722719142</v>
          </cell>
          <cell r="X17">
            <v>3.1179799194991059E-2</v>
          </cell>
          <cell r="Y17">
            <v>5.3447523288014325E-5</v>
          </cell>
          <cell r="Z17">
            <v>0.48246033041144909</v>
          </cell>
          <cell r="AA17">
            <v>0.64966431082289811</v>
          </cell>
          <cell r="AB17">
            <v>1.2243395606440073</v>
          </cell>
          <cell r="AC17">
            <v>0.23228549325581402</v>
          </cell>
          <cell r="AD17">
            <v>2.2316178839892671</v>
          </cell>
          <cell r="AE17">
            <v>2.8985800698926663</v>
          </cell>
          <cell r="AF17">
            <v>9.2571725205724515</v>
          </cell>
          <cell r="AG17">
            <v>51.018806940966016</v>
          </cell>
          <cell r="AH17">
            <v>8.7229145447227197</v>
          </cell>
        </row>
      </sheetData>
      <sheetData sheetId="2">
        <row r="41">
          <cell r="D41">
            <v>0.6900927939999999</v>
          </cell>
        </row>
      </sheetData>
      <sheetData sheetId="3">
        <row r="14">
          <cell r="D14">
            <v>16.837863429999999</v>
          </cell>
          <cell r="M14">
            <v>292.22870408888105</v>
          </cell>
          <cell r="N14">
            <v>5.4035999599999995E-2</v>
          </cell>
          <cell r="O14">
            <v>15.863857979999999</v>
          </cell>
          <cell r="P14">
            <v>6.8711502629999996</v>
          </cell>
          <cell r="Q14">
            <v>8.2522552700000001E-2</v>
          </cell>
          <cell r="R14">
            <v>1.0550032339999998E-3</v>
          </cell>
          <cell r="S14">
            <v>165.51815009999999</v>
          </cell>
          <cell r="T14">
            <v>0.16734019</v>
          </cell>
          <cell r="U14">
            <v>66.525372399999995</v>
          </cell>
          <cell r="V14">
            <v>1.5045233709999998E-2</v>
          </cell>
          <cell r="W14">
            <v>0.64124742970000004</v>
          </cell>
          <cell r="X14">
            <v>2.6055490222000001E-3</v>
          </cell>
          <cell r="Y14">
            <v>1.3754312987000001E-6</v>
          </cell>
          <cell r="Z14">
            <v>1.994535221E-2</v>
          </cell>
          <cell r="AA14">
            <v>4.8864307230000001E-2</v>
          </cell>
          <cell r="AB14">
            <v>7.2168691110000002E-2</v>
          </cell>
          <cell r="AC14">
            <v>7.877002793E-3</v>
          </cell>
          <cell r="AD14">
            <v>1.5844954200000001E-2</v>
          </cell>
          <cell r="AE14">
            <v>1.0150023860000001E-2</v>
          </cell>
          <cell r="AF14">
            <v>0.48907124690000003</v>
          </cell>
          <cell r="AG14">
            <v>1.723918898</v>
          </cell>
          <cell r="AH14">
            <v>0.8537033906</v>
          </cell>
        </row>
      </sheetData>
      <sheetData sheetId="4">
        <row r="14">
          <cell r="D14">
            <v>1.816623717028</v>
          </cell>
        </row>
      </sheetData>
      <sheetData sheetId="5">
        <row r="33">
          <cell r="D33">
            <v>121.5468471027569</v>
          </cell>
        </row>
      </sheetData>
      <sheetData sheetId="6"/>
      <sheetData sheetId="7"/>
      <sheetData sheetId="8">
        <row r="16">
          <cell r="D16">
            <v>681.91697298744145</v>
          </cell>
        </row>
      </sheetData>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efreshError="1">
        <row r="3">
          <cell r="D3">
            <v>2.4752999999999998</v>
          </cell>
          <cell r="M3">
            <v>20.685313700000005</v>
          </cell>
          <cell r="N3">
            <v>8.8877999999999999E-2</v>
          </cell>
          <cell r="O3">
            <v>2.2648999999999999</v>
          </cell>
          <cell r="P3">
            <v>0.39137</v>
          </cell>
          <cell r="Q3">
            <v>3.4606999999999999E-2</v>
          </cell>
          <cell r="R3">
            <v>1.4064E-2</v>
          </cell>
          <cell r="S3">
            <v>31.951000000000001</v>
          </cell>
          <cell r="T3">
            <v>0.15866</v>
          </cell>
          <cell r="U3">
            <v>31.074999999999999</v>
          </cell>
          <cell r="V3">
            <v>0.13034999999999999</v>
          </cell>
          <cell r="W3">
            <v>0.17466000000000001</v>
          </cell>
          <cell r="X3">
            <v>1.8164E-4</v>
          </cell>
          <cell r="Y3">
            <v>1.8353E-7</v>
          </cell>
          <cell r="Z3">
            <v>5.0572000000000004E-3</v>
          </cell>
          <cell r="AA3">
            <v>5.9461000000000002E-3</v>
          </cell>
          <cell r="AB3">
            <v>1.0370000000000001E-2</v>
          </cell>
          <cell r="AC3">
            <v>1.3814999999999999E-3</v>
          </cell>
          <cell r="AD3">
            <v>2.3361E-2</v>
          </cell>
          <cell r="AE3">
            <v>1.0649E-2</v>
          </cell>
          <cell r="AF3">
            <v>0.10145</v>
          </cell>
          <cell r="AG3">
            <v>0.30706</v>
          </cell>
          <cell r="AH3">
            <v>5.5032999999999999E-2</v>
          </cell>
        </row>
        <row r="7">
          <cell r="D7">
            <v>0.70992</v>
          </cell>
          <cell r="M7">
            <v>12.491602724200002</v>
          </cell>
          <cell r="N7">
            <v>8.1276999999999999E-4</v>
          </cell>
          <cell r="O7">
            <v>0.66998999999999997</v>
          </cell>
          <cell r="P7">
            <v>0.2959</v>
          </cell>
          <cell r="Q7">
            <v>2.5509999999999999E-3</v>
          </cell>
          <cell r="R7">
            <v>1.2449000000000001E-5</v>
          </cell>
          <cell r="S7">
            <v>5.2184999999999997</v>
          </cell>
          <cell r="T7">
            <v>4.2230000000000002E-3</v>
          </cell>
          <cell r="U7">
            <v>1.5693999999999999</v>
          </cell>
          <cell r="V7">
            <v>6.1474999999999995E-4</v>
          </cell>
          <cell r="W7">
            <v>2.9989999999999999E-3</v>
          </cell>
          <cell r="X7">
            <v>1.1035E-4</v>
          </cell>
          <cell r="Y7">
            <v>5.9294000000000001E-8</v>
          </cell>
          <cell r="Z7">
            <v>7.4861999999999997E-4</v>
          </cell>
          <cell r="AA7">
            <v>2.0135999999999999E-3</v>
          </cell>
          <cell r="AB7">
            <v>2.8999999999999998E-3</v>
          </cell>
          <cell r="AC7">
            <v>5.1903000000000001E-5</v>
          </cell>
          <cell r="AD7">
            <v>3.2011000000000002E-4</v>
          </cell>
          <cell r="AE7">
            <v>8.0185999999999994E-5</v>
          </cell>
          <cell r="AF7">
            <v>1.9613999999999999E-2</v>
          </cell>
          <cell r="AG7">
            <v>6.0482000000000001E-2</v>
          </cell>
          <cell r="AH7">
            <v>3.5621E-2</v>
          </cell>
        </row>
        <row r="54">
          <cell r="D54">
            <v>1.3996</v>
          </cell>
          <cell r="M54">
            <v>41.582470999999998</v>
          </cell>
          <cell r="N54">
            <v>1.1153999999999999</v>
          </cell>
          <cell r="O54">
            <v>1.2186999999999999</v>
          </cell>
          <cell r="P54">
            <v>0.34281</v>
          </cell>
          <cell r="Q54">
            <v>3.4125999999999997E-2</v>
          </cell>
          <cell r="R54">
            <v>5.6773000000000001E-4</v>
          </cell>
          <cell r="S54">
            <v>16.718</v>
          </cell>
          <cell r="T54">
            <v>8.7052000000000004E-2</v>
          </cell>
          <cell r="U54">
            <v>13.432</v>
          </cell>
          <cell r="V54">
            <v>6.2411999999999997E-3</v>
          </cell>
          <cell r="W54">
            <v>5.4462000000000003E-2</v>
          </cell>
          <cell r="X54">
            <v>1.0508E-3</v>
          </cell>
          <cell r="Y54">
            <v>8.8975000000000001E-8</v>
          </cell>
          <cell r="Z54">
            <v>3.9167000000000004E-3</v>
          </cell>
          <cell r="AA54">
            <v>4.1108999999999998E-3</v>
          </cell>
          <cell r="AB54">
            <v>1.2865E-2</v>
          </cell>
          <cell r="AC54">
            <v>8.2140000000000008E-3</v>
          </cell>
          <cell r="AD54">
            <v>5.9778999999999999E-2</v>
          </cell>
          <cell r="AE54">
            <v>0.37369000000000002</v>
          </cell>
          <cell r="AF54">
            <v>0.34144999999999998</v>
          </cell>
          <cell r="AG54">
            <v>0.16486999999999999</v>
          </cell>
          <cell r="AH54">
            <v>4.3631999999999997E-2</v>
          </cell>
        </row>
        <row r="74">
          <cell r="D74">
            <v>1.7427E-3</v>
          </cell>
          <cell r="M74">
            <v>2.3977627160000001E-2</v>
          </cell>
          <cell r="N74">
            <v>8.0226000000000001E-5</v>
          </cell>
          <cell r="O74">
            <v>1.603E-3</v>
          </cell>
          <cell r="P74">
            <v>4.6108999999999999E-4</v>
          </cell>
          <cell r="Q74">
            <v>2.4029E-5</v>
          </cell>
          <cell r="R74">
            <v>8.5155000000000003E-7</v>
          </cell>
          <cell r="S74">
            <v>3.1862000000000001E-2</v>
          </cell>
          <cell r="T74">
            <v>1.739E-4</v>
          </cell>
          <cell r="U74">
            <v>2.7362999999999998E-2</v>
          </cell>
          <cell r="V74">
            <v>1.7167E-6</v>
          </cell>
          <cell r="W74">
            <v>1.1456E-4</v>
          </cell>
          <cell r="X74">
            <v>2.2113E-7</v>
          </cell>
          <cell r="Y74">
            <v>7.3037000000000003E-10</v>
          </cell>
          <cell r="Z74">
            <v>5.7030000000000003E-6</v>
          </cell>
          <cell r="AA74">
            <v>4.9044E-6</v>
          </cell>
          <cell r="AB74">
            <v>8.8248000000000006E-6</v>
          </cell>
          <cell r="AC74">
            <v>1.4250999999999999E-6</v>
          </cell>
          <cell r="AD74">
            <v>1.5262000000000001E-5</v>
          </cell>
          <cell r="AE74">
            <v>1.3097E-3</v>
          </cell>
          <cell r="AF74">
            <v>7.5106999999999998E-5</v>
          </cell>
          <cell r="AG74">
            <v>2.8687E-4</v>
          </cell>
          <cell r="AH74">
            <v>6.0606000000000002E-5</v>
          </cell>
        </row>
        <row r="75">
          <cell r="D75">
            <v>2.8612000000000002</v>
          </cell>
          <cell r="M75">
            <v>77.822580110000004</v>
          </cell>
          <cell r="N75">
            <v>0.11645</v>
          </cell>
          <cell r="O75">
            <v>2.5897999999999999</v>
          </cell>
          <cell r="P75">
            <v>1.7415</v>
          </cell>
          <cell r="Q75">
            <v>3.6441000000000001E-2</v>
          </cell>
          <cell r="R75">
            <v>9.8305000000000007E-4</v>
          </cell>
          <cell r="S75">
            <v>59.360999999999997</v>
          </cell>
          <cell r="T75">
            <v>0.25631999999999999</v>
          </cell>
          <cell r="U75">
            <v>38.563000000000002</v>
          </cell>
          <cell r="V75">
            <v>1.2496999999999999E-2</v>
          </cell>
          <cell r="W75">
            <v>0.16675999999999999</v>
          </cell>
          <cell r="X75">
            <v>1.0935000000000001E-3</v>
          </cell>
          <cell r="Y75">
            <v>5.2045000000000003E-7</v>
          </cell>
          <cell r="Z75">
            <v>7.2179000000000002E-3</v>
          </cell>
          <cell r="AA75">
            <v>8.7553000000000006E-3</v>
          </cell>
          <cell r="AB75">
            <v>1.839E-2</v>
          </cell>
          <cell r="AC75">
            <v>1.839E-2</v>
          </cell>
          <cell r="AD75">
            <v>2.2100999999999999E-2</v>
          </cell>
          <cell r="AE75">
            <v>7.7352999999999996E-3</v>
          </cell>
          <cell r="AF75">
            <v>0.11523</v>
          </cell>
          <cell r="AG75">
            <v>0.51175000000000004</v>
          </cell>
          <cell r="AH75">
            <v>0.21654000000000001</v>
          </cell>
        </row>
        <row r="76">
          <cell r="D76">
            <v>1.8261000000000001</v>
          </cell>
          <cell r="M76">
            <v>60.361123550000002</v>
          </cell>
          <cell r="N76">
            <v>3.6722999999999999E-2</v>
          </cell>
          <cell r="O76">
            <v>1.591</v>
          </cell>
          <cell r="P76">
            <v>1.3815</v>
          </cell>
          <cell r="Q76">
            <v>9.2759999999999995E-3</v>
          </cell>
          <cell r="R76">
            <v>2.6277000000000001E-4</v>
          </cell>
          <cell r="S76">
            <v>15.288</v>
          </cell>
          <cell r="T76">
            <v>3.6873999999999997E-2</v>
          </cell>
          <cell r="U76">
            <v>11.382999999999999</v>
          </cell>
          <cell r="V76">
            <v>1.1186E-3</v>
          </cell>
          <cell r="W76">
            <v>6.4592999999999998E-2</v>
          </cell>
          <cell r="X76">
            <v>1.4709E-4</v>
          </cell>
          <cell r="Y76">
            <v>6.472E-8</v>
          </cell>
          <cell r="Z76">
            <v>2.4101000000000001E-3</v>
          </cell>
          <cell r="AA76">
            <v>7.8647999999999999E-3</v>
          </cell>
          <cell r="AB76">
            <v>6.7625999999999997E-3</v>
          </cell>
          <cell r="AC76">
            <v>5.2406999999999996E-4</v>
          </cell>
          <cell r="AD76">
            <v>5.2075000000000003E-3</v>
          </cell>
          <cell r="AE76">
            <v>4.2263999999999999E-3</v>
          </cell>
          <cell r="AF76">
            <v>5.4866999999999999E-2</v>
          </cell>
          <cell r="AG76">
            <v>0.16566</v>
          </cell>
          <cell r="AH76">
            <v>0.16864999999999999</v>
          </cell>
        </row>
        <row r="78">
          <cell r="D78">
            <v>26.602</v>
          </cell>
          <cell r="M78">
            <v>247.75124781000002</v>
          </cell>
          <cell r="N78">
            <v>0.37018000000000001</v>
          </cell>
          <cell r="O78">
            <v>24.460999999999999</v>
          </cell>
          <cell r="P78">
            <v>5.5064000000000002</v>
          </cell>
          <cell r="Q78">
            <v>0.23801</v>
          </cell>
          <cell r="R78">
            <v>6.6953000000000004E-3</v>
          </cell>
          <cell r="S78">
            <v>298.62</v>
          </cell>
          <cell r="T78">
            <v>0.26296000000000003</v>
          </cell>
          <cell r="U78">
            <v>318.68</v>
          </cell>
          <cell r="V78">
            <v>2.3577000000000001E-2</v>
          </cell>
          <cell r="W78">
            <v>0.26606000000000002</v>
          </cell>
          <cell r="X78">
            <v>1.6536000000000001E-3</v>
          </cell>
          <cell r="Y78">
            <v>7.1455999999999996E-7</v>
          </cell>
          <cell r="Z78">
            <v>5.5454000000000003E-2</v>
          </cell>
          <cell r="AA78">
            <v>7.1926000000000004E-2</v>
          </cell>
          <cell r="AB78">
            <v>0.13244</v>
          </cell>
          <cell r="AC78">
            <v>6.2072999999999998E-3</v>
          </cell>
          <cell r="AD78">
            <v>0.19474</v>
          </cell>
          <cell r="AE78">
            <v>6.6049999999999998E-2</v>
          </cell>
          <cell r="AF78">
            <v>1.0206999999999999</v>
          </cell>
          <cell r="AG78">
            <v>3.0163000000000002</v>
          </cell>
          <cell r="AH78">
            <v>0.67264999999999997</v>
          </cell>
        </row>
        <row r="103">
          <cell r="D103">
            <v>5.4259E-3</v>
          </cell>
          <cell r="M103">
            <v>0.17365606929999999</v>
          </cell>
        </row>
      </sheetData>
      <sheetData sheetId="1" refreshError="1"/>
      <sheetData sheetId="2" refreshError="1"/>
      <sheetData sheetId="3" refreshError="1"/>
      <sheetData sheetId="4" refreshError="1">
        <row r="15">
          <cell r="D15">
            <v>0</v>
          </cell>
        </row>
        <row r="24">
          <cell r="D24">
            <v>0</v>
          </cell>
          <cell r="M24">
            <v>0</v>
          </cell>
          <cell r="N24"/>
          <cell r="O24"/>
          <cell r="P24"/>
          <cell r="Q24"/>
          <cell r="R24"/>
          <cell r="S24"/>
          <cell r="T24"/>
          <cell r="U24"/>
          <cell r="V24"/>
          <cell r="W24"/>
          <cell r="X24"/>
          <cell r="Y24"/>
          <cell r="Z24"/>
          <cell r="AA24">
            <v>0.3175675675675676</v>
          </cell>
          <cell r="AB24"/>
          <cell r="AC24"/>
          <cell r="AD24"/>
          <cell r="AE24"/>
          <cell r="AF24"/>
          <cell r="AG24">
            <v>1.20830586684E-4</v>
          </cell>
          <cell r="AH24"/>
        </row>
        <row r="28">
          <cell r="D28">
            <v>0</v>
          </cell>
          <cell r="M28">
            <v>0</v>
          </cell>
          <cell r="N28"/>
          <cell r="O28"/>
          <cell r="P28"/>
          <cell r="Q28"/>
          <cell r="R28"/>
          <cell r="S28"/>
          <cell r="T28"/>
          <cell r="U28"/>
          <cell r="V28"/>
          <cell r="W28"/>
          <cell r="X28"/>
          <cell r="Y28"/>
          <cell r="Z28"/>
          <cell r="AA28"/>
          <cell r="AB28"/>
          <cell r="AC28"/>
          <cell r="AD28"/>
          <cell r="AE28"/>
          <cell r="AF28"/>
          <cell r="AG28"/>
          <cell r="AH28"/>
        </row>
        <row r="33">
          <cell r="D33">
            <v>0</v>
          </cell>
          <cell r="M33">
            <v>0</v>
          </cell>
          <cell r="N33"/>
          <cell r="O33"/>
          <cell r="P33"/>
          <cell r="Q33">
            <v>1.4876380979089235E-4</v>
          </cell>
          <cell r="R33"/>
          <cell r="S33">
            <v>0.21360713181832497</v>
          </cell>
          <cell r="T33"/>
          <cell r="U33">
            <v>1.625279389780031E-5</v>
          </cell>
          <cell r="V33"/>
          <cell r="W33"/>
          <cell r="X33"/>
          <cell r="Y33"/>
          <cell r="Z33"/>
          <cell r="AA33">
            <v>0.63006756756756754</v>
          </cell>
          <cell r="AB33"/>
          <cell r="AC33">
            <v>3.1259032412642011E-4</v>
          </cell>
          <cell r="AD33"/>
          <cell r="AE33"/>
          <cell r="AF33"/>
          <cell r="AG33"/>
          <cell r="AH33"/>
        </row>
        <row r="34">
          <cell r="D34">
            <v>0</v>
          </cell>
          <cell r="M34">
            <v>0</v>
          </cell>
          <cell r="N34"/>
          <cell r="O34"/>
          <cell r="P34"/>
          <cell r="Q34">
            <v>7.0643646234076988E-3</v>
          </cell>
          <cell r="R34"/>
          <cell r="S34"/>
          <cell r="T34"/>
          <cell r="U34">
            <v>2.7248064630867825E-4</v>
          </cell>
          <cell r="V34"/>
          <cell r="W34"/>
          <cell r="X34"/>
          <cell r="Y34"/>
          <cell r="Z34"/>
          <cell r="AA34"/>
          <cell r="AB34"/>
          <cell r="AC34">
            <v>2.7730594278785721E-2</v>
          </cell>
          <cell r="AD34"/>
          <cell r="AE34"/>
          <cell r="AF34"/>
          <cell r="AG34"/>
          <cell r="AH34"/>
        </row>
        <row r="35">
          <cell r="D35">
            <v>0</v>
          </cell>
          <cell r="M35">
            <v>0</v>
          </cell>
          <cell r="N35"/>
          <cell r="O35"/>
          <cell r="P35"/>
          <cell r="Q35">
            <v>4.4887017216547792E-4</v>
          </cell>
          <cell r="R35"/>
          <cell r="S35">
            <v>1.8847523912927164</v>
          </cell>
          <cell r="T35"/>
          <cell r="U35">
            <v>3.9361598549663111E-2</v>
          </cell>
          <cell r="V35"/>
          <cell r="W35"/>
          <cell r="X35"/>
          <cell r="Y35"/>
          <cell r="Z35"/>
          <cell r="AA35"/>
          <cell r="AB35"/>
          <cell r="AC35">
            <v>1.1297585628802071E-3</v>
          </cell>
          <cell r="AD35"/>
          <cell r="AE35"/>
          <cell r="AF35"/>
          <cell r="AG35"/>
          <cell r="AH35"/>
        </row>
        <row r="36">
          <cell r="D36">
            <v>0</v>
          </cell>
          <cell r="M36">
            <v>0</v>
          </cell>
          <cell r="N36"/>
          <cell r="O36"/>
          <cell r="P36"/>
          <cell r="Q36"/>
          <cell r="R36"/>
          <cell r="S36"/>
          <cell r="T36"/>
          <cell r="U36"/>
          <cell r="V36"/>
          <cell r="W36"/>
          <cell r="X36"/>
          <cell r="Y36"/>
          <cell r="Z36"/>
          <cell r="AA36"/>
          <cell r="AB36"/>
          <cell r="AC36"/>
          <cell r="AD36"/>
          <cell r="AE36"/>
          <cell r="AF36"/>
          <cell r="AG36"/>
          <cell r="AH36"/>
        </row>
      </sheetData>
      <sheetData sheetId="5" refreshError="1">
        <row r="3">
          <cell r="D3">
            <v>0.6900927939999999</v>
          </cell>
        </row>
        <row r="4">
          <cell r="D4">
            <v>4.5641478346943822</v>
          </cell>
        </row>
        <row r="5">
          <cell r="D5">
            <v>161.5361359123435</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i(OH)2 production"/>
      <sheetName val="Ni(OH)2 separation"/>
      <sheetName val="K2SO4 crystal&amp;dry"/>
      <sheetName val="NiO production"/>
      <sheetName val="Ni(NO3)2·6H2O"/>
      <sheetName val="dissolve"/>
      <sheetName val="overall"/>
    </sheetNames>
    <sheetDataSet>
      <sheetData sheetId="0"/>
      <sheetData sheetId="1"/>
      <sheetData sheetId="2"/>
      <sheetData sheetId="3"/>
      <sheetData sheetId="4"/>
      <sheetData sheetId="5"/>
      <sheetData sheetId="6">
        <row r="6">
          <cell r="S6">
            <v>0.62931718931066227</v>
          </cell>
        </row>
        <row r="7">
          <cell r="S7">
            <v>0.15554477652304838</v>
          </cell>
        </row>
        <row r="9">
          <cell r="S9">
            <v>0.11459242369682077</v>
          </cell>
        </row>
        <row r="20">
          <cell r="V20">
            <v>3.2663651546233621</v>
          </cell>
          <cell r="W20">
            <v>64.708236102628334</v>
          </cell>
          <cell r="X20">
            <v>0.7460778539248949</v>
          </cell>
          <cell r="Y20">
            <v>2.8466947109877272</v>
          </cell>
          <cell r="Z20">
            <v>1.258987763320019</v>
          </cell>
          <cell r="AA20">
            <v>0.11770917991531393</v>
          </cell>
          <cell r="AB20">
            <v>2.210083301929274E-3</v>
          </cell>
          <cell r="AC20">
            <v>138.29006398864826</v>
          </cell>
          <cell r="AD20">
            <v>0.24234347482697943</v>
          </cell>
          <cell r="AE20">
            <v>136.26840176640448</v>
          </cell>
          <cell r="AF20">
            <v>5.8900380879443942E-3</v>
          </cell>
          <cell r="AG20">
            <v>1.6772510215407372</v>
          </cell>
          <cell r="AH20">
            <v>3.9027940477399475E-4</v>
          </cell>
          <cell r="AI20">
            <v>4.3006307979219823E-7</v>
          </cell>
          <cell r="AJ20">
            <v>2.8910376377121603E-2</v>
          </cell>
          <cell r="AK20">
            <v>2.0666981020655017E-2</v>
          </cell>
          <cell r="AL20">
            <v>0.11723075749553601</v>
          </cell>
          <cell r="AM20">
            <v>9.8791930149681705E-3</v>
          </cell>
          <cell r="AN20">
            <v>3.762154685461995E-2</v>
          </cell>
          <cell r="AO20">
            <v>1.6185180488256269E-2</v>
          </cell>
          <cell r="AP20">
            <v>0.17507152619177499</v>
          </cell>
          <cell r="AQ20">
            <v>1.1132102460508697</v>
          </cell>
          <cell r="AR20">
            <v>0.22070262481563938</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duction"/>
      <sheetName val="production-alphabetical"/>
      <sheetName val="production-alphabetical (2)"/>
      <sheetName val="production-alphabetical (3)"/>
      <sheetName val="direct emissions"/>
      <sheetName val="Jian's"/>
    </sheetNames>
    <sheetDataSet>
      <sheetData sheetId="0">
        <row r="3">
          <cell r="D3">
            <v>2.4752999999999998</v>
          </cell>
        </row>
        <row r="7">
          <cell r="D7">
            <v>0.70992</v>
          </cell>
          <cell r="M7">
            <v>12.491602724200002</v>
          </cell>
          <cell r="N7">
            <v>8.1276999999999999E-4</v>
          </cell>
          <cell r="O7">
            <v>0.66998999999999997</v>
          </cell>
          <cell r="P7">
            <v>0.2959</v>
          </cell>
          <cell r="Q7">
            <v>2.5509999999999999E-3</v>
          </cell>
          <cell r="R7">
            <v>1.2449000000000001E-5</v>
          </cell>
          <cell r="S7">
            <v>5.2184999999999997</v>
          </cell>
          <cell r="T7">
            <v>4.2230000000000002E-3</v>
          </cell>
          <cell r="U7">
            <v>1.5693999999999999</v>
          </cell>
          <cell r="V7">
            <v>6.1474999999999995E-4</v>
          </cell>
          <cell r="W7">
            <v>2.9989999999999999E-3</v>
          </cell>
          <cell r="X7">
            <v>1.1035E-4</v>
          </cell>
          <cell r="Y7">
            <v>5.9294000000000001E-8</v>
          </cell>
          <cell r="Z7">
            <v>7.4861999999999997E-4</v>
          </cell>
          <cell r="AA7">
            <v>2.0135999999999999E-3</v>
          </cell>
          <cell r="AB7">
            <v>2.8999999999999998E-3</v>
          </cell>
          <cell r="AC7">
            <v>5.1903000000000001E-5</v>
          </cell>
          <cell r="AD7">
            <v>3.2011000000000002E-4</v>
          </cell>
          <cell r="AE7">
            <v>8.0185999999999994E-5</v>
          </cell>
          <cell r="AF7">
            <v>1.9613999999999999E-2</v>
          </cell>
          <cell r="AG7">
            <v>6.0482000000000001E-2</v>
          </cell>
          <cell r="AH7">
            <v>3.5621E-2</v>
          </cell>
        </row>
        <row r="69">
          <cell r="D69">
            <v>0.46997</v>
          </cell>
          <cell r="M69">
            <v>6.4030815109999999</v>
          </cell>
          <cell r="N69">
            <v>1.8482999999999999E-2</v>
          </cell>
          <cell r="O69">
            <v>0.43381999999999998</v>
          </cell>
          <cell r="P69">
            <v>0.12280000000000001</v>
          </cell>
          <cell r="Q69">
            <v>5.6743999999999996E-3</v>
          </cell>
          <cell r="R69">
            <v>2.3049E-4</v>
          </cell>
          <cell r="S69">
            <v>7.6722999999999999</v>
          </cell>
          <cell r="T69">
            <v>4.7706999999999999E-2</v>
          </cell>
          <cell r="U69">
            <v>6.5601000000000003</v>
          </cell>
          <cell r="V69">
            <v>4.2883999999999999E-4</v>
          </cell>
          <cell r="W69">
            <v>4.7990999999999997E-3</v>
          </cell>
          <cell r="X69">
            <v>5.0970999999999997E-5</v>
          </cell>
          <cell r="Y69">
            <v>2.131E-8</v>
          </cell>
          <cell r="Z69">
            <v>1.5837E-3</v>
          </cell>
          <cell r="AA69">
            <v>1.1862999999999999E-3</v>
          </cell>
          <cell r="AB69">
            <v>2.3213999999999999E-3</v>
          </cell>
          <cell r="AC69">
            <v>1.4876000000000001E-4</v>
          </cell>
          <cell r="AD69">
            <v>2.8249999999999998E-3</v>
          </cell>
          <cell r="AE69">
            <v>1.7237000000000001E-3</v>
          </cell>
          <cell r="AF69">
            <v>1.7965999999999999E-2</v>
          </cell>
          <cell r="AG69">
            <v>7.1259000000000003E-2</v>
          </cell>
          <cell r="AH69">
            <v>1.4947999999999999E-2</v>
          </cell>
        </row>
      </sheetData>
      <sheetData sheetId="1" refreshError="1"/>
      <sheetData sheetId="2" refreshError="1"/>
      <sheetData sheetId="3" refreshError="1"/>
      <sheetData sheetId="4">
        <row r="39">
          <cell r="D39">
            <v>0</v>
          </cell>
        </row>
      </sheetData>
      <sheetData sheetId="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ZnAc·2H2O pro"/>
      <sheetName val="ZnO nanoparticles"/>
      <sheetName val="KAc crystallization&amp;dry"/>
      <sheetName val="ZnO redisperse"/>
      <sheetName val="overall"/>
    </sheetNames>
    <sheetDataSet>
      <sheetData sheetId="0"/>
      <sheetData sheetId="1"/>
      <sheetData sheetId="2"/>
      <sheetData sheetId="3"/>
      <sheetData sheetId="4">
        <row r="20">
          <cell r="Q20">
            <v>3.2478759444489893</v>
          </cell>
          <cell r="R20">
            <v>77.477468331390256</v>
          </cell>
          <cell r="S20">
            <v>0.19281058877912507</v>
          </cell>
          <cell r="T20">
            <v>2.7717534541965629</v>
          </cell>
          <cell r="U20">
            <v>1.6953552213062446</v>
          </cell>
          <cell r="V20">
            <v>9.913146422528285E-2</v>
          </cell>
          <cell r="W20">
            <v>1.3855215353690852E-3</v>
          </cell>
          <cell r="X20">
            <v>56.123025629121273</v>
          </cell>
          <cell r="Y20">
            <v>0.15965148891486514</v>
          </cell>
          <cell r="Z20">
            <v>43.966360724841117</v>
          </cell>
          <cell r="AA20">
            <v>2.8947584266037236E-3</v>
          </cell>
          <cell r="AB20">
            <v>0.17230548905250334</v>
          </cell>
          <cell r="AC20">
            <v>2.8068119994596979E-4</v>
          </cell>
          <cell r="AD20">
            <v>6.8349598759976725E-7</v>
          </cell>
          <cell r="AE20">
            <v>8.5298197969410489E-3</v>
          </cell>
          <cell r="AF20">
            <v>2.1565521461887286E-2</v>
          </cell>
          <cell r="AG20">
            <v>1.5501818891779061E-2</v>
          </cell>
          <cell r="AH20">
            <v>2.9614349713005367E-3</v>
          </cell>
          <cell r="AI20">
            <v>2.8526227073213877E-2</v>
          </cell>
          <cell r="AJ20">
            <v>9.6959354714147503E-3</v>
          </cell>
          <cell r="AK20">
            <v>0.12785227545589797</v>
          </cell>
          <cell r="AL20">
            <v>0.50015710114948098</v>
          </cell>
          <cell r="AM20">
            <v>0.21128580831457888</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TO with TiO2-old"/>
      <sheetName val="ITO-old"/>
    </sheetNames>
    <sheetDataSet>
      <sheetData sheetId="0"/>
      <sheetData sheetId="1">
        <row r="23">
          <cell r="E23">
            <v>0.15919747552941177</v>
          </cell>
          <cell r="F23">
            <v>2.7861947098039215</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55"/>
  <sheetViews>
    <sheetView zoomScaleNormal="100" workbookViewId="0">
      <selection activeCell="B9" sqref="B9"/>
    </sheetView>
  </sheetViews>
  <sheetFormatPr defaultRowHeight="15"/>
  <cols>
    <col min="1" max="1" width="39.28515625" customWidth="1"/>
    <col min="2" max="2" width="15.42578125" customWidth="1"/>
    <col min="3" max="3" width="30.7109375" customWidth="1"/>
    <col min="5" max="5" width="11.7109375" customWidth="1"/>
    <col min="6" max="6" width="12" style="5" bestFit="1" customWidth="1"/>
    <col min="7" max="7" width="42.28515625" customWidth="1"/>
    <col min="8" max="8" width="22.28515625" style="13" customWidth="1"/>
    <col min="9" max="9" width="16.28515625" hidden="1" customWidth="1"/>
    <col min="10" max="10" width="0" hidden="1" customWidth="1"/>
    <col min="11" max="11" width="18.28515625" hidden="1" customWidth="1"/>
    <col min="12" max="12" width="0" hidden="1" customWidth="1"/>
    <col min="13" max="13" width="25" customWidth="1"/>
    <col min="14" max="14" width="28" style="10" customWidth="1"/>
    <col min="15" max="15" width="21.42578125" style="10" customWidth="1"/>
    <col min="16" max="37" width="14.85546875" customWidth="1"/>
  </cols>
  <sheetData>
    <row r="1" spans="1:37" ht="15.75" thickBot="1">
      <c r="A1" s="99" t="s">
        <v>165</v>
      </c>
      <c r="B1" s="100" t="s">
        <v>166</v>
      </c>
      <c r="C1" s="101" t="s">
        <v>167</v>
      </c>
    </row>
    <row r="2" spans="1:37">
      <c r="A2" s="102" t="s">
        <v>168</v>
      </c>
      <c r="B2" s="103">
        <v>0.9</v>
      </c>
      <c r="C2" s="104" t="s">
        <v>169</v>
      </c>
    </row>
    <row r="3" spans="1:37">
      <c r="A3" s="106" t="s">
        <v>175</v>
      </c>
      <c r="B3" s="105">
        <v>1</v>
      </c>
      <c r="C3" s="107" t="s">
        <v>170</v>
      </c>
    </row>
    <row r="4" spans="1:37">
      <c r="A4" s="106" t="s">
        <v>176</v>
      </c>
      <c r="B4" s="105">
        <v>1</v>
      </c>
      <c r="C4" s="107" t="s">
        <v>170</v>
      </c>
    </row>
    <row r="5" spans="1:37">
      <c r="A5" s="106" t="s">
        <v>178</v>
      </c>
      <c r="B5" s="105">
        <v>1</v>
      </c>
      <c r="C5" s="107" t="s">
        <v>170</v>
      </c>
    </row>
    <row r="6" spans="1:37">
      <c r="A6" s="106" t="s">
        <v>177</v>
      </c>
      <c r="B6" s="105">
        <v>1</v>
      </c>
      <c r="C6" s="107" t="s">
        <v>170</v>
      </c>
    </row>
    <row r="7" spans="1:37">
      <c r="A7" s="106" t="s">
        <v>171</v>
      </c>
      <c r="B7" s="105">
        <v>1</v>
      </c>
      <c r="C7" s="107" t="s">
        <v>170</v>
      </c>
    </row>
    <row r="8" spans="1:37">
      <c r="A8" s="106" t="s">
        <v>172</v>
      </c>
      <c r="B8" s="105">
        <v>1</v>
      </c>
      <c r="C8" s="107" t="s">
        <v>170</v>
      </c>
    </row>
    <row r="9" spans="1:37" ht="15.75" thickBot="1">
      <c r="A9" s="108" t="s">
        <v>173</v>
      </c>
      <c r="B9" s="109">
        <v>0.8</v>
      </c>
      <c r="C9" s="110" t="s">
        <v>174</v>
      </c>
    </row>
    <row r="10" spans="1:37">
      <c r="B10" s="26"/>
    </row>
    <row r="11" spans="1:37" ht="30">
      <c r="A11" s="6" t="s">
        <v>161</v>
      </c>
      <c r="B11" s="6" t="s">
        <v>0</v>
      </c>
      <c r="C11" s="6" t="s">
        <v>1</v>
      </c>
      <c r="D11" s="6" t="s">
        <v>2</v>
      </c>
      <c r="E11" s="6" t="s">
        <v>3</v>
      </c>
      <c r="F11" s="7" t="s">
        <v>4</v>
      </c>
      <c r="G11" s="120" t="s">
        <v>5</v>
      </c>
      <c r="H11" s="120"/>
      <c r="I11" s="120"/>
      <c r="J11" s="120"/>
      <c r="K11" s="120"/>
      <c r="L11" s="120"/>
      <c r="M11" s="33"/>
      <c r="N11" s="97"/>
      <c r="O11" s="97"/>
      <c r="P11" s="33"/>
      <c r="Q11" s="33"/>
      <c r="R11" s="33"/>
      <c r="S11" s="33"/>
      <c r="T11" s="33"/>
      <c r="U11" s="33"/>
      <c r="V11" s="33"/>
      <c r="W11" s="33"/>
      <c r="X11" s="33"/>
      <c r="Y11" s="33"/>
      <c r="Z11" s="33"/>
      <c r="AA11" s="33"/>
      <c r="AB11" s="33"/>
      <c r="AC11" s="33"/>
      <c r="AD11" s="33"/>
      <c r="AE11" s="33"/>
      <c r="AF11" s="33"/>
      <c r="AG11" s="33"/>
      <c r="AH11" s="33"/>
      <c r="AI11" s="33"/>
      <c r="AJ11" s="33"/>
    </row>
    <row r="12" spans="1:37">
      <c r="A12" s="8" t="s">
        <v>6</v>
      </c>
      <c r="B12" s="2"/>
      <c r="C12" s="2"/>
      <c r="D12" s="2"/>
      <c r="E12" s="2"/>
      <c r="F12" s="4"/>
      <c r="G12" s="2"/>
      <c r="H12" s="2"/>
      <c r="J12" t="s">
        <v>23</v>
      </c>
      <c r="M12" s="53"/>
      <c r="N12" s="30" t="s">
        <v>59</v>
      </c>
      <c r="O12" s="30" t="s">
        <v>58</v>
      </c>
      <c r="P12" s="36" t="s">
        <v>61</v>
      </c>
      <c r="Q12" s="36" t="s">
        <v>62</v>
      </c>
      <c r="R12" s="36" t="s">
        <v>63</v>
      </c>
      <c r="S12" s="36" t="s">
        <v>64</v>
      </c>
      <c r="T12" s="36" t="s">
        <v>65</v>
      </c>
      <c r="U12" s="36" t="s">
        <v>66</v>
      </c>
      <c r="V12" s="36" t="s">
        <v>67</v>
      </c>
      <c r="W12" s="36" t="s">
        <v>68</v>
      </c>
      <c r="X12" s="36" t="s">
        <v>69</v>
      </c>
      <c r="Y12" s="36" t="s">
        <v>70</v>
      </c>
      <c r="Z12" s="36" t="s">
        <v>71</v>
      </c>
      <c r="AA12" s="36" t="s">
        <v>72</v>
      </c>
      <c r="AB12" s="36" t="s">
        <v>73</v>
      </c>
      <c r="AC12" s="36" t="s">
        <v>74</v>
      </c>
      <c r="AD12" s="36" t="s">
        <v>75</v>
      </c>
      <c r="AE12" s="36" t="s">
        <v>76</v>
      </c>
      <c r="AF12" s="36" t="s">
        <v>77</v>
      </c>
      <c r="AG12" s="36" t="s">
        <v>78</v>
      </c>
      <c r="AH12" s="36" t="s">
        <v>79</v>
      </c>
      <c r="AI12" s="36" t="s">
        <v>80</v>
      </c>
      <c r="AJ12" s="36" t="s">
        <v>81</v>
      </c>
    </row>
    <row r="13" spans="1:37">
      <c r="A13" s="3" t="s">
        <v>19</v>
      </c>
      <c r="B13" s="2" t="s">
        <v>7</v>
      </c>
      <c r="C13" s="2">
        <v>1</v>
      </c>
      <c r="D13" s="2" t="s">
        <v>7</v>
      </c>
      <c r="E13" s="2">
        <v>1</v>
      </c>
      <c r="F13" s="4">
        <f>1.54*(1-B2)</f>
        <v>0.15399999999999997</v>
      </c>
      <c r="G13" s="2" t="s">
        <v>8</v>
      </c>
      <c r="H13" s="2"/>
      <c r="J13" t="s">
        <v>24</v>
      </c>
      <c r="M13" s="3" t="s">
        <v>19</v>
      </c>
      <c r="N13" s="10">
        <f>$F$13/1.54*'[1]ITO glass'!D14</f>
        <v>1.6837863429999995</v>
      </c>
      <c r="O13" s="10">
        <f>$F$13/1.54*'[1]ITO glass'!M14</f>
        <v>29.222870408888099</v>
      </c>
      <c r="P13" s="10">
        <f>$F$13/1.54*'[1]ITO glass'!N14</f>
        <v>5.4035999599999981E-3</v>
      </c>
      <c r="Q13" s="10">
        <f>$F$13/1.54*'[1]ITO glass'!O14</f>
        <v>1.5863857979999996</v>
      </c>
      <c r="R13" s="10">
        <f>$F$13/1.54*'[1]ITO glass'!P14</f>
        <v>0.68711502629999976</v>
      </c>
      <c r="S13" s="10">
        <f>$F$13/1.54*'[1]ITO glass'!Q14</f>
        <v>8.2522552699999981E-3</v>
      </c>
      <c r="T13" s="10">
        <f>$F$13/1.54*'[1]ITO glass'!R14</f>
        <v>1.0550032339999995E-4</v>
      </c>
      <c r="U13" s="10">
        <f>$F$13/1.54*'[1]ITO glass'!S14</f>
        <v>16.551815009999995</v>
      </c>
      <c r="V13" s="10">
        <f>$F$13/1.54*'[1]ITO glass'!T14</f>
        <v>1.6734018999999996E-2</v>
      </c>
      <c r="W13" s="10">
        <f>$F$13/1.54*'[1]ITO glass'!U14</f>
        <v>6.6525372399999982</v>
      </c>
      <c r="X13" s="10">
        <f>$F$13/1.54*'[1]ITO glass'!V14</f>
        <v>1.5045233709999994E-3</v>
      </c>
      <c r="Y13" s="10">
        <f>$F$13/1.54*'[1]ITO glass'!W14</f>
        <v>6.4124742969999995E-2</v>
      </c>
      <c r="Z13" s="10">
        <f>$F$13/1.54*'[1]ITO glass'!X14</f>
        <v>2.6055490221999996E-4</v>
      </c>
      <c r="AA13" s="10">
        <f>$F$13/1.54*'[1]ITO glass'!Y14</f>
        <v>1.3754312986999998E-7</v>
      </c>
      <c r="AB13" s="10">
        <f>$F$13/1.54*'[1]ITO glass'!Z14</f>
        <v>1.9945352209999995E-3</v>
      </c>
      <c r="AC13" s="10">
        <f>$F$13/1.54*'[1]ITO glass'!AA14</f>
        <v>4.886430722999999E-3</v>
      </c>
      <c r="AD13" s="10">
        <f>$F$13/1.54*'[1]ITO glass'!AB14</f>
        <v>7.216869110999999E-3</v>
      </c>
      <c r="AE13" s="10">
        <f>$F$13/1.54*'[1]ITO glass'!AC14</f>
        <v>7.8770027929999981E-4</v>
      </c>
      <c r="AF13" s="10">
        <f>$F$13/1.54*'[1]ITO glass'!AD14</f>
        <v>1.5844954199999996E-3</v>
      </c>
      <c r="AG13" s="10">
        <f>$F$13/1.54*'[1]ITO glass'!AE14</f>
        <v>1.0150023859999999E-3</v>
      </c>
      <c r="AH13" s="10">
        <f>$F$13/1.54*'[1]ITO glass'!AF14</f>
        <v>4.8907124689999991E-2</v>
      </c>
      <c r="AI13" s="10">
        <f>$F$13/1.54*'[1]ITO glass'!AG14</f>
        <v>0.17239188979999995</v>
      </c>
      <c r="AJ13" s="10">
        <f>$F$13/1.54*'[1]ITO glass'!AH14</f>
        <v>8.5370339059999981E-2</v>
      </c>
      <c r="AK13" s="10"/>
    </row>
    <row r="14" spans="1:37">
      <c r="A14" s="3" t="s">
        <v>9</v>
      </c>
      <c r="B14" s="2" t="s">
        <v>7</v>
      </c>
      <c r="C14" s="2" t="s">
        <v>7</v>
      </c>
      <c r="D14" s="2" t="s">
        <v>7</v>
      </c>
      <c r="E14" s="2">
        <v>1</v>
      </c>
      <c r="F14" s="4">
        <f>0.02577/E14</f>
        <v>2.5770000000000001E-2</v>
      </c>
      <c r="G14" s="119" t="s">
        <v>10</v>
      </c>
      <c r="H14" s="2"/>
      <c r="J14" t="s">
        <v>25</v>
      </c>
      <c r="M14" s="3" t="s">
        <v>9</v>
      </c>
      <c r="N14" s="10">
        <f>F14*[2]production!$D$54</f>
        <v>3.6067691999999998E-2</v>
      </c>
      <c r="O14" s="10">
        <f>$F$14*[2]production!M54</f>
        <v>1.0715802776700001</v>
      </c>
      <c r="P14" s="10">
        <f>$F$14*[2]production!N54</f>
        <v>2.8743858000000001E-2</v>
      </c>
      <c r="Q14" s="10">
        <f>$F$14*[2]production!O54</f>
        <v>3.1405899000000001E-2</v>
      </c>
      <c r="R14" s="10">
        <f>$F$14*[2]production!P54</f>
        <v>8.8342137000000012E-3</v>
      </c>
      <c r="S14" s="10">
        <f>$F$14*[2]production!Q54</f>
        <v>8.7942701999999993E-4</v>
      </c>
      <c r="T14" s="10">
        <f>$F$14*[2]production!R54</f>
        <v>1.4630402100000002E-5</v>
      </c>
      <c r="U14" s="10">
        <f>$F$14*[2]production!S54</f>
        <v>0.43082286000000003</v>
      </c>
      <c r="V14" s="10">
        <f>$F$14*[2]production!T54</f>
        <v>2.2433300400000003E-3</v>
      </c>
      <c r="W14" s="10">
        <f>$F$14*[2]production!U54</f>
        <v>0.34614264</v>
      </c>
      <c r="X14" s="10">
        <f>$F$14*[2]production!V54</f>
        <v>1.6083572399999999E-4</v>
      </c>
      <c r="Y14" s="10">
        <f>$F$14*[2]production!W54</f>
        <v>1.4034857400000002E-3</v>
      </c>
      <c r="Z14" s="10">
        <f>$F$14*[2]production!X54</f>
        <v>2.7079116E-5</v>
      </c>
      <c r="AA14" s="10">
        <f>$F$14*[2]production!Y54</f>
        <v>2.2928857500000002E-9</v>
      </c>
      <c r="AB14" s="10">
        <f>$F$14*[2]production!Z54</f>
        <v>1.0093335900000002E-4</v>
      </c>
      <c r="AC14" s="10">
        <f>$F$14*[2]production!AA54</f>
        <v>1.05937893E-4</v>
      </c>
      <c r="AD14" s="10">
        <f>$F$14*[2]production!AB54</f>
        <v>3.3153105E-4</v>
      </c>
      <c r="AE14" s="10">
        <f>$F$14*[2]production!AC54</f>
        <v>2.1167478000000002E-4</v>
      </c>
      <c r="AF14" s="10">
        <f>$F$14*[2]production!AD54</f>
        <v>1.54050483E-3</v>
      </c>
      <c r="AG14" s="10">
        <f>$F$14*[2]production!AE54</f>
        <v>9.6299913000000015E-3</v>
      </c>
      <c r="AH14" s="10">
        <f>$F$14*[2]production!AF54</f>
        <v>8.7991665000000004E-3</v>
      </c>
      <c r="AI14" s="10">
        <f>$F$14*[2]production!AG54</f>
        <v>4.2486998999999998E-3</v>
      </c>
      <c r="AJ14" s="10">
        <f>$F$14*[2]production!AH54</f>
        <v>1.12439664E-3</v>
      </c>
    </row>
    <row r="15" spans="1:37">
      <c r="A15" s="3" t="s">
        <v>11</v>
      </c>
      <c r="B15" s="2" t="s">
        <v>7</v>
      </c>
      <c r="C15" s="2" t="s">
        <v>7</v>
      </c>
      <c r="D15" s="2" t="s">
        <v>7</v>
      </c>
      <c r="E15" s="2">
        <v>1</v>
      </c>
      <c r="F15" s="4">
        <f>0.03266/E15</f>
        <v>3.2660000000000002E-2</v>
      </c>
      <c r="G15" s="119"/>
      <c r="H15" s="2"/>
      <c r="J15" t="s">
        <v>26</v>
      </c>
      <c r="M15" s="3" t="s">
        <v>11</v>
      </c>
      <c r="N15" s="10">
        <f>F15*[2]production!$D$74</f>
        <v>5.6916582000000001E-5</v>
      </c>
      <c r="O15" s="10">
        <f>$F$15*[2]production!M74</f>
        <v>7.8310930304560005E-4</v>
      </c>
      <c r="P15" s="10">
        <f>$F$15*[2]production!N74</f>
        <v>2.6201811600000002E-6</v>
      </c>
      <c r="Q15" s="10">
        <f>$F$15*[2]production!O74</f>
        <v>5.2353980000000006E-5</v>
      </c>
      <c r="R15" s="10">
        <f>$F$15*[2]production!P74</f>
        <v>1.50591994E-5</v>
      </c>
      <c r="S15" s="10">
        <f>$F$15*[2]production!Q74</f>
        <v>7.8478714000000003E-7</v>
      </c>
      <c r="T15" s="10">
        <f>$F$15*[2]production!R74</f>
        <v>2.7811623000000003E-8</v>
      </c>
      <c r="U15" s="10">
        <f>$F$15*[2]production!S74</f>
        <v>1.04061292E-3</v>
      </c>
      <c r="V15" s="10">
        <f>$F$15*[2]production!T74</f>
        <v>5.6795740000000004E-6</v>
      </c>
      <c r="W15" s="10">
        <f>$F$15*[2]production!U74</f>
        <v>8.9367557999999998E-4</v>
      </c>
      <c r="X15" s="10">
        <f>$F$15*[2]production!V74</f>
        <v>5.6067422000000004E-8</v>
      </c>
      <c r="Y15" s="10">
        <f>$F$15*[2]production!W74</f>
        <v>3.7415296000000003E-6</v>
      </c>
      <c r="Z15" s="10">
        <f>$F$15*[2]production!X74</f>
        <v>7.2221057999999999E-9</v>
      </c>
      <c r="AA15" s="10">
        <f>$F$15*[2]production!Y74</f>
        <v>2.3853884200000003E-11</v>
      </c>
      <c r="AB15" s="10">
        <f>$F$15*[2]production!Z74</f>
        <v>1.8625998000000001E-7</v>
      </c>
      <c r="AC15" s="10">
        <f>$F$15*[2]production!AA74</f>
        <v>1.60177704E-7</v>
      </c>
      <c r="AD15" s="10">
        <f>$F$15*[2]production!AB74</f>
        <v>2.8821796800000001E-7</v>
      </c>
      <c r="AE15" s="10">
        <f>$F$15*[2]production!AC74</f>
        <v>4.6543766000000001E-8</v>
      </c>
      <c r="AF15" s="10">
        <f>$F$15*[2]production!AD74</f>
        <v>4.9845692000000008E-7</v>
      </c>
      <c r="AG15" s="10">
        <f>$F$15*[2]production!AE74</f>
        <v>4.2774802000000001E-5</v>
      </c>
      <c r="AH15" s="10">
        <f>$F$15*[2]production!AF74</f>
        <v>2.45299462E-6</v>
      </c>
      <c r="AI15" s="10">
        <f>$F$15*[2]production!AG74</f>
        <v>9.3691742000000004E-6</v>
      </c>
      <c r="AJ15" s="10">
        <f>$F$15*[2]production!AH74</f>
        <v>1.9793919600000001E-6</v>
      </c>
    </row>
    <row r="16" spans="1:37">
      <c r="A16" s="8" t="s">
        <v>17</v>
      </c>
      <c r="B16" s="2"/>
      <c r="C16" s="2"/>
      <c r="D16" s="2"/>
      <c r="E16" s="2"/>
      <c r="F16" s="4"/>
      <c r="G16" s="2"/>
      <c r="H16" s="2"/>
      <c r="J16" t="s">
        <v>27</v>
      </c>
      <c r="M16" s="3" t="s">
        <v>147</v>
      </c>
      <c r="N16" s="10">
        <f>(F17+F18+F19)*[3]overall!$V$20</f>
        <v>3.2234827634271858E-2</v>
      </c>
      <c r="O16" s="10">
        <f>($F$17+$F$18+$F$19)*[3]overall!W20</f>
        <v>0.63858715683810552</v>
      </c>
      <c r="P16" s="10">
        <f>($F$17+$F$18+$F$19)*[3]overall!X20</f>
        <v>7.3628298994603885E-3</v>
      </c>
      <c r="Q16" s="10">
        <f>($F$17+$F$18+$F$19)*[3]overall!Y20</f>
        <v>2.8093219524521807E-2</v>
      </c>
      <c r="R16" s="10">
        <f>($F$17+$F$18+$F$19)*[3]overall!Z20</f>
        <v>1.2424591747445897E-2</v>
      </c>
      <c r="S16" s="10">
        <f>($F$17+$F$18+$F$19)*[3]overall!AA20</f>
        <v>1.161638379643796E-3</v>
      </c>
      <c r="T16" s="10">
        <f>($F$17+$F$18+$F$19)*[3]overall!AB20</f>
        <v>2.1810682799574283E-5</v>
      </c>
      <c r="U16" s="10">
        <f>($F$17+$F$18+$F$19)*[3]overall!AC20</f>
        <v>1.3647452642876718</v>
      </c>
      <c r="V16" s="10">
        <f>($F$17+$F$18+$F$19)*[3]overall!AD20</f>
        <v>2.391618747304129E-3</v>
      </c>
      <c r="W16" s="10">
        <f>($F$17+$F$18+$F$19)*[3]overall!AE20</f>
        <v>1.3447940554718096</v>
      </c>
      <c r="X16" s="10">
        <f>($F$17+$F$18+$F$19)*[3]overall!AF20</f>
        <v>5.8127108739033993E-5</v>
      </c>
      <c r="Y16" s="10">
        <f>($F$17+$F$18+$F$19)*[3]overall!AG20</f>
        <v>1.6552312745023234E-2</v>
      </c>
      <c r="Z16" s="10">
        <f>($F$17+$F$18+$F$19)*[3]overall!AH20</f>
        <v>3.8515563161359344E-6</v>
      </c>
      <c r="AA16" s="10">
        <f>($F$17+$F$18+$F$19)*[3]overall!AI20</f>
        <v>4.2441700767421183E-9</v>
      </c>
      <c r="AB16" s="10">
        <f>($F$17+$F$18+$F$19)*[3]overall!AJ20</f>
        <v>2.8530827241998844E-4</v>
      </c>
      <c r="AC16" s="10">
        <f>($F$17+$F$18+$F$19)*[3]overall!AK20</f>
        <v>2.0395655090142551E-4</v>
      </c>
      <c r="AD16" s="10">
        <f>($F$17+$F$18+$F$19)*[3]overall!AL20</f>
        <v>1.1569169650107493E-3</v>
      </c>
      <c r="AE16" s="10">
        <f>($F$17+$F$18+$F$19)*[3]overall!AM20</f>
        <v>9.7494942827334256E-5</v>
      </c>
      <c r="AF16" s="10">
        <f>($F$17+$F$18+$F$19)*[3]overall!AN20</f>
        <v>3.7127633341202279E-4</v>
      </c>
      <c r="AG16" s="10">
        <f>($F$17+$F$18+$F$19)*[3]overall!AO20</f>
        <v>1.5972693761138291E-4</v>
      </c>
      <c r="AH16" s="10">
        <f>($F$17+$F$18+$F$19)*[3]overall!AP20</f>
        <v>1.7277310414828702E-3</v>
      </c>
      <c r="AI16" s="10">
        <f>($F$17+$F$18+$F$19)*[3]overall!AQ20</f>
        <v>1.0985954938737668E-2</v>
      </c>
      <c r="AJ16" s="10">
        <f>($F$17+$F$18+$F$19)*[3]overall!AR20</f>
        <v>2.178051360636635E-3</v>
      </c>
    </row>
    <row r="17" spans="1:37">
      <c r="A17" s="3" t="s">
        <v>146</v>
      </c>
      <c r="B17" s="2">
        <v>80</v>
      </c>
      <c r="C17" s="2">
        <v>0.8</v>
      </c>
      <c r="D17" s="2">
        <v>6840</v>
      </c>
      <c r="E17" s="111">
        <f>B9</f>
        <v>0.8</v>
      </c>
      <c r="F17" s="4">
        <f>B17*C17/1000000000*D17*1000/K30*K33/E17/1000</f>
        <v>2.1231360000000003E-3</v>
      </c>
      <c r="G17" s="2"/>
      <c r="M17" s="3" t="s">
        <v>144</v>
      </c>
      <c r="N17" s="10">
        <f>F21*'[2]Jian''s'!$D$4</f>
        <v>2.8789914277598614E-3</v>
      </c>
      <c r="O17" s="10">
        <f>$F$21*[1]PbI2!M18</f>
        <v>3.423458644077676E-2</v>
      </c>
      <c r="P17" s="10">
        <f>$F$21*[1]PbI2!N18</f>
        <v>6.6034555144334412E-4</v>
      </c>
      <c r="Q17" s="10">
        <f>$F$21*[1]PbI2!O18</f>
        <v>2.4587523524323678E-3</v>
      </c>
      <c r="R17" s="10">
        <f>$F$21*[1]PbI2!P18</f>
        <v>6.5261935849383814E-4</v>
      </c>
      <c r="S17" s="10">
        <f>$F$21*[1]PbI2!Q18</f>
        <v>4.495177248258154E-5</v>
      </c>
      <c r="T17" s="10">
        <f>$F$21*[1]PbI2!R18</f>
        <v>1.2479960043930509E-6</v>
      </c>
      <c r="U17" s="10">
        <f>$F$21*[1]PbI2!S18</f>
        <v>9.8360964116525618E-2</v>
      </c>
      <c r="V17" s="10">
        <f>$F$21*[1]PbI2!T18</f>
        <v>1.2085904444056423E-4</v>
      </c>
      <c r="W17" s="10">
        <f>$F$21*[1]PbI2!U18</f>
        <v>4.9328824609385799E-2</v>
      </c>
      <c r="X17" s="10">
        <f>$F$21*[1]PbI2!V18</f>
        <v>3.2538931957673838E-6</v>
      </c>
      <c r="Y17" s="10">
        <f>$F$21*[1]PbI2!W18</f>
        <v>3.9878239054871563E-4</v>
      </c>
      <c r="Z17" s="10">
        <f>$F$21*[1]PbI2!X18</f>
        <v>4.1827845473496658E-7</v>
      </c>
      <c r="AA17" s="10">
        <f>$F$21*[1]PbI2!Y18</f>
        <v>2.8149239721843114E-10</v>
      </c>
      <c r="AB17" s="10">
        <f>$F$21*[1]PbI2!Z18</f>
        <v>6.9684005091555535E-6</v>
      </c>
      <c r="AC17" s="10">
        <f>$F$21*[1]PbI2!AA18</f>
        <v>9.8083292913872823E-6</v>
      </c>
      <c r="AD17" s="10">
        <f>$F$21*[1]PbI2!AB18</f>
        <v>1.9713872137565948E-5</v>
      </c>
      <c r="AE17" s="10">
        <f>$F$21*[1]PbI2!AC18</f>
        <v>3.3914883797136942E-6</v>
      </c>
      <c r="AF17" s="10">
        <f>$F$21*[1]PbI2!AD18</f>
        <v>2.5360043928155602E-5</v>
      </c>
      <c r="AG17" s="10">
        <f>$F$21*[1]PbI2!AE18</f>
        <v>7.4052802775189512E-6</v>
      </c>
      <c r="AH17" s="10">
        <f>$F$21*[1]PbI2!AF18</f>
        <v>1.2059632821182876E-4</v>
      </c>
      <c r="AI17" s="10">
        <f>$F$21*[1]PbI2!AG18</f>
        <v>7.6989592483508041E-4</v>
      </c>
      <c r="AJ17" s="10">
        <f>$F$21*[1]PbI2!AH18</f>
        <v>9.6765257180143541E-5</v>
      </c>
    </row>
    <row r="18" spans="1:37">
      <c r="A18" s="3" t="s">
        <v>21</v>
      </c>
      <c r="B18" s="2" t="s">
        <v>7</v>
      </c>
      <c r="C18" s="2" t="s">
        <v>7</v>
      </c>
      <c r="D18" s="2" t="s">
        <v>7</v>
      </c>
      <c r="E18" s="111">
        <f>B9</f>
        <v>0.8</v>
      </c>
      <c r="F18" s="4">
        <f>F17/K33*155/[3]overall!$S$9*[3]overall!$S$6</f>
        <v>6.2105521472392644E-3</v>
      </c>
      <c r="G18" s="1" t="s">
        <v>28</v>
      </c>
      <c r="J18" t="s">
        <v>36</v>
      </c>
      <c r="M18" s="3" t="s">
        <v>57</v>
      </c>
      <c r="N18" s="10">
        <f>F22*[2]production!$D$75</f>
        <v>3.7194557030399995E-3</v>
      </c>
      <c r="O18" s="10">
        <f>$F$22*[2]production!M75</f>
        <v>0.10116651734077545</v>
      </c>
      <c r="P18" s="10">
        <f>$F$22*[2]production!N75</f>
        <v>1.513807551443478E-4</v>
      </c>
      <c r="Q18" s="10">
        <f>$F$22*[2]production!O75</f>
        <v>3.3666455961599991E-3</v>
      </c>
      <c r="R18" s="10">
        <f>$F$22*[2]production!P75</f>
        <v>2.2638865185391301E-3</v>
      </c>
      <c r="S18" s="10">
        <f>$F$22*[2]production!Q75</f>
        <v>4.7371971646330429E-5</v>
      </c>
      <c r="T18" s="10">
        <f>$F$22*[2]production!R75</f>
        <v>1.2779291656904347E-6</v>
      </c>
      <c r="U18" s="10">
        <f>$F$22*[2]production!S75</f>
        <v>7.7167136162504327E-2</v>
      </c>
      <c r="V18" s="10">
        <f>$F$22*[2]production!T75</f>
        <v>3.3320665657878251E-4</v>
      </c>
      <c r="W18" s="10">
        <f>$F$22*[2]production!U75</f>
        <v>5.0130494294817383E-2</v>
      </c>
      <c r="X18" s="10">
        <f>$F$22*[2]production!V75</f>
        <v>1.6245644457182604E-5</v>
      </c>
      <c r="Y18" s="10">
        <f>$F$22*[2]production!W75</f>
        <v>2.1678192123547821E-4</v>
      </c>
      <c r="Z18" s="10">
        <f>$F$22*[2]production!X75</f>
        <v>1.4215101395478259E-6</v>
      </c>
      <c r="AA18" s="10">
        <f>$F$22*[2]production!Y75</f>
        <v>6.7656602846608689E-10</v>
      </c>
      <c r="AB18" s="10">
        <f>$F$22*[2]production!Z75</f>
        <v>9.383006891853912E-6</v>
      </c>
      <c r="AC18" s="10">
        <f>$F$22*[2]production!AA75</f>
        <v>1.1381570850281738E-5</v>
      </c>
      <c r="AD18" s="10">
        <f>$F$22*[2]production!AB75</f>
        <v>2.3906329644521733E-5</v>
      </c>
      <c r="AE18" s="10">
        <f>$F$22*[2]production!AC75</f>
        <v>2.3906329644521733E-5</v>
      </c>
      <c r="AF18" s="10">
        <f>$F$22*[2]production!AD75</f>
        <v>2.873049437050434E-5</v>
      </c>
      <c r="AG18" s="10">
        <f>$F$22*[2]production!AE75</f>
        <v>1.0055608031499128E-5</v>
      </c>
      <c r="AH18" s="10">
        <f>$F$22*[2]production!AF75</f>
        <v>1.4979479961599996E-4</v>
      </c>
      <c r="AI18" s="10">
        <f>$F$22*[2]production!AG75</f>
        <v>6.6525634559999993E-4</v>
      </c>
      <c r="AJ18" s="10">
        <f>$F$22*[2]production!AH75</f>
        <v>2.814941066462608E-4</v>
      </c>
    </row>
    <row r="19" spans="1:37">
      <c r="A19" s="3" t="s">
        <v>22</v>
      </c>
      <c r="B19" s="2" t="s">
        <v>7</v>
      </c>
      <c r="C19" s="2" t="s">
        <v>7</v>
      </c>
      <c r="D19" s="2" t="s">
        <v>7</v>
      </c>
      <c r="E19" s="111">
        <f>B9</f>
        <v>0.8</v>
      </c>
      <c r="F19" s="4">
        <f>F18/[3]overall!$S$6*[3]overall!$S$7</f>
        <v>1.5350271091199999E-3</v>
      </c>
      <c r="G19" s="1"/>
      <c r="H19" s="2"/>
      <c r="M19" s="3" t="s">
        <v>95</v>
      </c>
      <c r="N19" s="10">
        <f>F23*'[2]Jian''s'!$D$5</f>
        <v>3.5150263174525943E-2</v>
      </c>
      <c r="O19" s="10">
        <f>$F$23*[1]CH3NH3I!M17</f>
        <v>0.74664235335118256</v>
      </c>
      <c r="P19" s="10">
        <f>$F$23*[1]CH3NH3I!N17</f>
        <v>3.5111398085793197E-3</v>
      </c>
      <c r="Q19" s="10">
        <f>$F$23*[1]CH3NH3I!O17</f>
        <v>3.2166604068636848E-2</v>
      </c>
      <c r="R19" s="10">
        <f>$F$23*[1]CH3NH3I!P17</f>
        <v>1.4835001054110912E-2</v>
      </c>
      <c r="S19" s="10">
        <f>$F$23*[1]CH3NH3I!Q17</f>
        <v>1.2125510167172811E-3</v>
      </c>
      <c r="T19" s="10">
        <f>$F$23*[1]CH3NH3I!R17</f>
        <v>2.8544941132135958E-5</v>
      </c>
      <c r="U19" s="10">
        <f>$F$23*[1]CH3NH3I!S17</f>
        <v>1.4225482342239713</v>
      </c>
      <c r="V19" s="10">
        <f>$F$23*[1]CH3NH3I!T17</f>
        <v>3.4389157035048306E-3</v>
      </c>
      <c r="W19" s="10">
        <f>$F$23*[1]CH3NH3I!U17</f>
        <v>1.0821031758929518</v>
      </c>
      <c r="X19" s="10">
        <f>$F$23*[1]CH3NH3I!V17</f>
        <v>4.5692775899821107E-5</v>
      </c>
      <c r="Y19" s="10">
        <f>$F$23*[1]CH3NH3I!W17</f>
        <v>2.5696633636636849E-3</v>
      </c>
      <c r="Z19" s="10">
        <f>$F$23*[1]CH3NH3I!X17</f>
        <v>6.7847243048300538E-6</v>
      </c>
      <c r="AA19" s="10">
        <f>$F$23*[1]CH3NH3I!Y17</f>
        <v>1.1630181067471915E-8</v>
      </c>
      <c r="AB19" s="10">
        <f>$F$23*[1]CH3NH3I!Z17</f>
        <v>1.0498336789753131E-4</v>
      </c>
      <c r="AC19" s="10">
        <f>$F$23*[1]CH3NH3I!AA17</f>
        <v>1.4136695403506262E-4</v>
      </c>
      <c r="AD19" s="10">
        <f>$F$23*[1]CH3NH3I!AB17</f>
        <v>2.6641628839613597E-4</v>
      </c>
      <c r="AE19" s="10">
        <f>$F$23*[1]CH3NH3I!AC17</f>
        <v>5.0545323332465123E-5</v>
      </c>
      <c r="AF19" s="10">
        <f>$F$23*[1]CH3NH3I!AD17</f>
        <v>4.8560005155606447E-4</v>
      </c>
      <c r="AG19" s="10">
        <f>$F$23*[1]CH3NH3I!AE17</f>
        <v>6.3073102320864414E-4</v>
      </c>
      <c r="AH19" s="10">
        <f>$F$23*[1]CH3NH3I!AF17</f>
        <v>2.0143607404765652E-3</v>
      </c>
      <c r="AI19" s="10">
        <f>$F$23*[1]CH3NH3I!AG17</f>
        <v>1.1101692390354204E-2</v>
      </c>
      <c r="AJ19" s="10">
        <f>$F$23*[1]CH3NH3I!AH17</f>
        <v>1.8981062049316635E-3</v>
      </c>
    </row>
    <row r="20" spans="1:37">
      <c r="A20" s="8" t="s">
        <v>13</v>
      </c>
      <c r="B20" s="2"/>
      <c r="C20" s="2"/>
      <c r="D20" s="2"/>
      <c r="E20" s="2"/>
      <c r="F20" s="4"/>
      <c r="G20" s="2"/>
      <c r="H20" s="2"/>
      <c r="M20" s="3" t="s">
        <v>15</v>
      </c>
      <c r="N20" s="10">
        <f>F24*[2]production!$D$76</f>
        <v>6.2385419519999999E-3</v>
      </c>
      <c r="O20" s="10">
        <f>$F$24*[2]production!M76</f>
        <v>0.20621291360633598</v>
      </c>
      <c r="P20" s="10">
        <f>$F$24*[2]production!N76</f>
        <v>1.2545751935999998E-4</v>
      </c>
      <c r="Q20" s="10">
        <f>$F$24*[2]production!O76</f>
        <v>5.4353651199999997E-3</v>
      </c>
      <c r="R20" s="10">
        <f>$F$24*[2]production!P76</f>
        <v>4.7196460799999989E-3</v>
      </c>
      <c r="S20" s="10">
        <f>$F$24*[2]production!Q76</f>
        <v>3.1689784319999993E-5</v>
      </c>
      <c r="T20" s="10">
        <f>$F$24*[2]production!R76</f>
        <v>8.9770640639999992E-7</v>
      </c>
      <c r="U20" s="10">
        <f>$F$24*[2]production!S76</f>
        <v>5.2228700159999995E-2</v>
      </c>
      <c r="V20" s="10">
        <f>$F$24*[2]production!T76</f>
        <v>1.2597338367999997E-4</v>
      </c>
      <c r="W20" s="10">
        <f>$F$24*[2]production!U76</f>
        <v>3.8887970559999992E-2</v>
      </c>
      <c r="X20" s="10">
        <f>$F$24*[2]production!V76</f>
        <v>3.8214955519999997E-6</v>
      </c>
      <c r="Y20" s="10">
        <f>$F$24*[2]production!W76</f>
        <v>2.2067035775999997E-4</v>
      </c>
      <c r="Z20" s="10">
        <f>$F$24*[2]production!X76</f>
        <v>5.0250650879999991E-7</v>
      </c>
      <c r="AA20" s="10">
        <f>$F$24*[2]production!Y76</f>
        <v>2.2110423039999998E-10</v>
      </c>
      <c r="AB20" s="10">
        <f>$F$24*[2]production!Z76</f>
        <v>8.2336728320000002E-6</v>
      </c>
      <c r="AC20" s="10">
        <f>$F$24*[2]production!AA76</f>
        <v>2.6868673535999998E-5</v>
      </c>
      <c r="AD20" s="10">
        <f>$F$24*[2]production!AB76</f>
        <v>2.3103205631999996E-5</v>
      </c>
      <c r="AE20" s="10">
        <f>$F$24*[2]production!AC76</f>
        <v>1.7903908223999997E-6</v>
      </c>
      <c r="AF20" s="10">
        <f>$F$24*[2]production!AD76</f>
        <v>1.77904864E-5</v>
      </c>
      <c r="AG20" s="10">
        <f>$F$24*[2]production!AE76</f>
        <v>1.4438734847999999E-5</v>
      </c>
      <c r="AH20" s="10">
        <f>$F$24*[2]production!AF76</f>
        <v>1.8744322943999999E-4</v>
      </c>
      <c r="AI20" s="10">
        <f>$F$24*[2]production!AG76</f>
        <v>5.6594757119999997E-4</v>
      </c>
      <c r="AJ20" s="10">
        <f>$F$24*[2]production!AH76</f>
        <v>5.761623679999999E-4</v>
      </c>
    </row>
    <row r="21" spans="1:37" ht="15" customHeight="1">
      <c r="A21" s="3" t="s">
        <v>144</v>
      </c>
      <c r="B21" s="2">
        <f>320*96/300</f>
        <v>102.4</v>
      </c>
      <c r="C21" s="2">
        <v>0.8</v>
      </c>
      <c r="D21" s="2">
        <v>6160</v>
      </c>
      <c r="E21" s="111">
        <f>B9</f>
        <v>0.8</v>
      </c>
      <c r="F21" s="4">
        <f>B21*C21*D21/1000000000/E21</f>
        <v>6.3078400000000001E-4</v>
      </c>
      <c r="G21" s="2"/>
      <c r="H21" s="2"/>
      <c r="M21" s="38" t="str">
        <f>A25</f>
        <v>Nitrogen</v>
      </c>
      <c r="N21" s="54">
        <f>$F$25*[4]production!D69</f>
        <v>1.6371150925259081</v>
      </c>
      <c r="O21" s="54">
        <f>$F$25*[4]production!M69</f>
        <v>22.304788348898221</v>
      </c>
      <c r="P21" s="54">
        <f>$F$25*[4]production!N69</f>
        <v>6.438453147042654E-2</v>
      </c>
      <c r="Q21" s="54">
        <f>$F$25*[4]production!O69</f>
        <v>1.5111885214792209</v>
      </c>
      <c r="R21" s="54">
        <f>$F$25*[4]production!P69</f>
        <v>0.42776716250437585</v>
      </c>
      <c r="S21" s="54">
        <f>$F$25*[4]production!Q69</f>
        <v>1.9766465691488846E-2</v>
      </c>
      <c r="T21" s="54">
        <f>$F$25*[4]production!R69</f>
        <v>8.0289945672340057E-4</v>
      </c>
      <c r="U21" s="54">
        <f>$F$25*[4]production!S69</f>
        <v>26.72604235246191</v>
      </c>
      <c r="V21" s="54">
        <f>$F$25*[4]production!T69</f>
        <v>0.16618475587619103</v>
      </c>
      <c r="W21" s="54">
        <f>$F$25*[4]production!U69</f>
        <v>22.851753768281402</v>
      </c>
      <c r="X21" s="54">
        <f>$F$25*[4]production!V69</f>
        <v>1.493840960654532E-3</v>
      </c>
      <c r="Y21" s="54">
        <f>$F$25*[4]production!W69</f>
        <v>1.671740545256311E-2</v>
      </c>
      <c r="Z21" s="54">
        <f>$F$25*[4]production!X69</f>
        <v>1.7755472345285455E-4</v>
      </c>
      <c r="AA21" s="54">
        <f>$F$25*[4]production!Y69</f>
        <v>7.4232233167493881E-8</v>
      </c>
      <c r="AB21" s="54">
        <f>$F$25*[4]production!Z69</f>
        <v>5.5167333490079807E-3</v>
      </c>
      <c r="AC21" s="54">
        <f>$F$25*[4]production!AA69</f>
        <v>4.1324119289816042E-3</v>
      </c>
      <c r="AD21" s="54">
        <f>$F$25*[4]production!AB69</f>
        <v>8.0864714253880941E-3</v>
      </c>
      <c r="AE21" s="54">
        <f>$F$25*[4]production!AC69</f>
        <v>5.1819741933347677E-4</v>
      </c>
      <c r="AF21" s="54">
        <f>$F$25*[4]production!AD69</f>
        <v>9.8407348051698842E-3</v>
      </c>
      <c r="AG21" s="54">
        <f>$F$25*[4]production!AE69</f>
        <v>6.0044157818305594E-3</v>
      </c>
      <c r="AH21" s="54">
        <f>$F$25*[4]production!AF69</f>
        <v>6.2583589914931723E-2</v>
      </c>
      <c r="AI21" s="54">
        <f>$F$25*[4]production!AG69</f>
        <v>0.24822687486074366</v>
      </c>
      <c r="AJ21" s="54">
        <f>$F$25*[4]production!AH69</f>
        <v>5.2070550041656435E-2</v>
      </c>
      <c r="AK21" s="10"/>
    </row>
    <row r="22" spans="1:37" ht="15" customHeight="1">
      <c r="A22" s="3" t="s">
        <v>57</v>
      </c>
      <c r="B22" s="2" t="s">
        <v>7</v>
      </c>
      <c r="C22" s="2" t="s">
        <v>7</v>
      </c>
      <c r="D22" s="2" t="s">
        <v>7</v>
      </c>
      <c r="E22" s="111">
        <f>B9</f>
        <v>0.8</v>
      </c>
      <c r="F22" s="4">
        <f>F21/0.46*0.948</f>
        <v>1.2999635478260867E-3</v>
      </c>
      <c r="G22" s="2" t="s">
        <v>14</v>
      </c>
      <c r="H22" s="4">
        <f>F21*1000/460*0.948</f>
        <v>1.2999635478260869E-3</v>
      </c>
      <c r="I22" t="b">
        <f>F22=H22</f>
        <v>1</v>
      </c>
      <c r="M22" s="3" t="s">
        <v>55</v>
      </c>
      <c r="N22" s="10">
        <f>(F27+F28)*[5]overall!$Q$20</f>
        <v>6.3772044169255901E-2</v>
      </c>
      <c r="O22" s="10">
        <f>($F$27+$F$28)*[5]overall!R20</f>
        <v>1.5212700906868477</v>
      </c>
      <c r="P22" s="10">
        <f>($F$27+$F$28)*[5]overall!S20</f>
        <v>3.7858359106781206E-3</v>
      </c>
      <c r="Q22" s="10">
        <f>($F$27+$F$28)*[5]overall!T20</f>
        <v>5.4423379073149515E-2</v>
      </c>
      <c r="R22" s="10">
        <f>($F$27+$F$28)*[5]overall!U20</f>
        <v>3.3288299770348112E-2</v>
      </c>
      <c r="S22" s="10">
        <f>($F$27+$F$28)*[5]overall!V20</f>
        <v>1.9464463000634286E-3</v>
      </c>
      <c r="T22" s="10">
        <f>($F$27+$F$28)*[5]overall!W20</f>
        <v>2.7204715346971988E-5</v>
      </c>
      <c r="U22" s="10">
        <f>($F$27+$F$28)*[5]overall!X20</f>
        <v>1.1019756082277963</v>
      </c>
      <c r="V22" s="10">
        <f>($F$27+$F$28)*[5]overall!Y20</f>
        <v>3.1347569848433768E-3</v>
      </c>
      <c r="W22" s="10">
        <f>($F$27+$F$28)*[5]overall!Z20</f>
        <v>0.86327949283225536</v>
      </c>
      <c r="X22" s="10">
        <f>($F$27+$F$28)*[5]overall!AA20</f>
        <v>5.6838581706364108E-5</v>
      </c>
      <c r="Y22" s="10">
        <f>($F$27+$F$28)*[5]overall!AB20</f>
        <v>3.3832182775459033E-3</v>
      </c>
      <c r="Z22" s="10">
        <f>($F$27+$F$28)*[5]overall!AC20</f>
        <v>5.5111753609391167E-6</v>
      </c>
      <c r="AA22" s="10">
        <f>($F$27+$F$28)*[5]overall!AD20</f>
        <v>1.342044371652143E-8</v>
      </c>
      <c r="AB22" s="10">
        <f>($F$27+$F$28)*[5]overall!AE20</f>
        <v>1.6748301171293749E-4</v>
      </c>
      <c r="AC22" s="10">
        <f>($F$27+$F$28)*[5]overall!AF20</f>
        <v>4.2343901390415686E-4</v>
      </c>
      <c r="AD22" s="10">
        <f>($F$27+$F$28)*[5]overall!AG20</f>
        <v>3.0437821394008186E-4</v>
      </c>
      <c r="AE22" s="10">
        <f>($F$27+$F$28)*[5]overall!AH20</f>
        <v>5.8147775661486041E-5</v>
      </c>
      <c r="AF22" s="10">
        <f>($F$27+$F$28)*[5]overall!AI20</f>
        <v>5.6011246858255447E-4</v>
      </c>
      <c r="AG22" s="10">
        <f>($F$27+$F$28)*[5]overall!AJ20</f>
        <v>1.9037969298122862E-4</v>
      </c>
      <c r="AH22" s="10">
        <f>($F$27+$F$28)*[5]overall!AK20</f>
        <v>2.5103794285765567E-3</v>
      </c>
      <c r="AI22" s="10">
        <f>($F$27+$F$28)*[5]overall!AL20</f>
        <v>9.8205846810700582E-3</v>
      </c>
      <c r="AJ22" s="10">
        <f>($F$27+$F$28)*[5]overall!AM20</f>
        <v>4.1485968462567566E-3</v>
      </c>
    </row>
    <row r="23" spans="1:37">
      <c r="A23" s="3" t="s">
        <v>145</v>
      </c>
      <c r="B23" s="2">
        <f>320/300*204</f>
        <v>217.6</v>
      </c>
      <c r="C23" s="2">
        <v>0.8</v>
      </c>
      <c r="D23" s="2">
        <v>1000</v>
      </c>
      <c r="E23" s="111">
        <f>B9</f>
        <v>0.8</v>
      </c>
      <c r="F23" s="4">
        <f>B23*C23*D23/1000000000/E23</f>
        <v>2.1759999999999998E-4</v>
      </c>
      <c r="G23" s="2"/>
      <c r="H23" s="2"/>
      <c r="M23" s="3" t="s">
        <v>27</v>
      </c>
      <c r="N23" s="10">
        <f>F30*[2]production!$D$78</f>
        <v>7.007356097560976E-3</v>
      </c>
      <c r="O23" s="10">
        <f>$F$30*[2]production!M78</f>
        <v>6.5261304301170733E-2</v>
      </c>
      <c r="P23" s="10">
        <f>$F$30*[2]production!N78</f>
        <v>9.7510829268292686E-5</v>
      </c>
      <c r="Q23" s="10">
        <f>$F$30*[2]production!O78</f>
        <v>6.4433853658536584E-3</v>
      </c>
      <c r="R23" s="10">
        <f>$F$30*[2]production!P78</f>
        <v>1.4504663414634147E-3</v>
      </c>
      <c r="S23" s="10">
        <f>$F$30*[2]production!Q78</f>
        <v>6.2695317073170734E-5</v>
      </c>
      <c r="T23" s="10">
        <f>$F$30*[2]production!R78</f>
        <v>1.76364E-6</v>
      </c>
      <c r="U23" s="10">
        <f>$F$30*[2]production!S78</f>
        <v>7.8660878048780483E-2</v>
      </c>
      <c r="V23" s="10">
        <f>$F$30*[2]production!T78</f>
        <v>6.9267512195121954E-5</v>
      </c>
      <c r="W23" s="10">
        <f>$F$30*[2]production!U78</f>
        <v>8.3944975609756098E-2</v>
      </c>
      <c r="X23" s="10">
        <f>$F$30*[2]production!V78</f>
        <v>6.2105268292682925E-6</v>
      </c>
      <c r="Y23" s="10">
        <f>$F$30*[2]production!W78</f>
        <v>7.0084097560975617E-5</v>
      </c>
      <c r="Z23" s="10">
        <f>$F$30*[2]production!X78</f>
        <v>4.3558243902439025E-7</v>
      </c>
      <c r="AA23" s="10">
        <f>$F$30*[2]production!Y78</f>
        <v>1.8822556097560975E-10</v>
      </c>
      <c r="AB23" s="10">
        <f>$F$30*[2]production!Z78</f>
        <v>1.4607395121951219E-5</v>
      </c>
      <c r="AC23" s="10">
        <f>$F$30*[2]production!AA78</f>
        <v>1.8946360975609756E-5</v>
      </c>
      <c r="AD23" s="10">
        <f>$F$30*[2]production!AB78</f>
        <v>3.4886634146341461E-5</v>
      </c>
      <c r="AE23" s="10">
        <f>$F$30*[2]production!AC78</f>
        <v>1.6350936585365853E-6</v>
      </c>
      <c r="AF23" s="10">
        <f>$F$30*[2]production!AD78</f>
        <v>5.1297365853658533E-5</v>
      </c>
      <c r="AG23" s="10">
        <f>$F$30*[2]production!AE78</f>
        <v>1.7398536585365853E-5</v>
      </c>
      <c r="AH23" s="10">
        <f>$F$30*[2]production!AF78</f>
        <v>2.6886731707317072E-4</v>
      </c>
      <c r="AI23" s="10">
        <f>$F$30*[2]production!AG78</f>
        <v>7.9453756097560982E-4</v>
      </c>
      <c r="AJ23" s="10">
        <f>$F$30*[2]production!AH78</f>
        <v>1.7718585365853658E-4</v>
      </c>
    </row>
    <row r="24" spans="1:37">
      <c r="A24" s="3" t="s">
        <v>15</v>
      </c>
      <c r="B24" s="2" t="s">
        <v>7</v>
      </c>
      <c r="C24" s="2" t="s">
        <v>7</v>
      </c>
      <c r="D24" s="2" t="s">
        <v>7</v>
      </c>
      <c r="E24" s="111">
        <f>B9</f>
        <v>0.8</v>
      </c>
      <c r="F24" s="4">
        <f>F23*1000000/50*0.785/1000</f>
        <v>3.4163199999999996E-3</v>
      </c>
      <c r="G24" s="2" t="s">
        <v>16</v>
      </c>
      <c r="H24" s="2"/>
      <c r="M24" s="9" t="s">
        <v>47</v>
      </c>
      <c r="N24" s="10">
        <f>SUM(N25:N35)</f>
        <v>0</v>
      </c>
      <c r="O24" s="10">
        <f>SUM(O25:O35)</f>
        <v>0</v>
      </c>
      <c r="P24" s="10">
        <f>SUM(P25:P35)</f>
        <v>0</v>
      </c>
      <c r="Q24" s="10">
        <f t="shared" ref="Q24:AJ24" si="0">SUM(Q25:Q35)</f>
        <v>0</v>
      </c>
      <c r="R24" s="10">
        <f t="shared" si="0"/>
        <v>0</v>
      </c>
      <c r="S24" s="10">
        <f t="shared" si="0"/>
        <v>2.040519111782721E-5</v>
      </c>
      <c r="T24" s="10">
        <f t="shared" si="0"/>
        <v>0</v>
      </c>
      <c r="U24" s="10">
        <f t="shared" si="0"/>
        <v>3.7593589170151757E-2</v>
      </c>
      <c r="V24" s="10">
        <f t="shared" si="0"/>
        <v>0</v>
      </c>
      <c r="W24" s="10">
        <f t="shared" si="0"/>
        <v>7.5792689177501746E-4</v>
      </c>
      <c r="X24" s="10">
        <f t="shared" si="0"/>
        <v>0</v>
      </c>
      <c r="Y24" s="10">
        <f t="shared" si="0"/>
        <v>0</v>
      </c>
      <c r="Z24" s="10">
        <f t="shared" si="0"/>
        <v>0</v>
      </c>
      <c r="AA24" s="10">
        <f t="shared" si="0"/>
        <v>0</v>
      </c>
      <c r="AB24" s="10">
        <f t="shared" si="0"/>
        <v>0</v>
      </c>
      <c r="AC24" s="10">
        <f t="shared" si="0"/>
        <v>4.9979799170950089E-3</v>
      </c>
      <c r="AD24" s="10">
        <f t="shared" si="0"/>
        <v>0</v>
      </c>
      <c r="AE24" s="10">
        <f t="shared" si="0"/>
        <v>6.6247725673163424E-5</v>
      </c>
      <c r="AF24" s="10">
        <f t="shared" si="0"/>
        <v>0</v>
      </c>
      <c r="AG24" s="10">
        <f t="shared" si="0"/>
        <v>0</v>
      </c>
      <c r="AH24" s="10">
        <f t="shared" si="0"/>
        <v>0</v>
      </c>
      <c r="AI24" s="10">
        <f t="shared" si="0"/>
        <v>4.1279594990028285E-7</v>
      </c>
      <c r="AJ24" s="10">
        <f t="shared" si="0"/>
        <v>0</v>
      </c>
    </row>
    <row r="25" spans="1:37">
      <c r="A25" s="38" t="s">
        <v>153</v>
      </c>
      <c r="B25" s="38"/>
      <c r="C25" s="38"/>
      <c r="D25" s="38"/>
      <c r="E25" s="38"/>
      <c r="F25" s="51">
        <f>'energy consumption'!F12*1000/7.4*4.91/1000</f>
        <v>3.4834459487327023</v>
      </c>
      <c r="G25" s="38" t="s">
        <v>154</v>
      </c>
      <c r="H25" s="29" t="s">
        <v>163</v>
      </c>
      <c r="M25" s="3" t="s">
        <v>146</v>
      </c>
    </row>
    <row r="26" spans="1:37" ht="15" customHeight="1">
      <c r="A26" s="8" t="s">
        <v>12</v>
      </c>
      <c r="B26" s="2"/>
      <c r="C26" s="2"/>
      <c r="D26" s="2"/>
      <c r="E26" s="2"/>
      <c r="F26" s="4"/>
      <c r="G26" s="2"/>
      <c r="H26" s="2"/>
      <c r="M26" s="3" t="s">
        <v>21</v>
      </c>
      <c r="N26" s="10">
        <f>$F$34*'[2]direct emissions'!D33</f>
        <v>0</v>
      </c>
      <c r="O26" s="10">
        <f>$F$34*'[2]direct emissions'!M33</f>
        <v>0</v>
      </c>
      <c r="P26" s="10">
        <f>$F$34*'[2]direct emissions'!N33</f>
        <v>0</v>
      </c>
      <c r="Q26" s="10">
        <f>$F$34*'[2]direct emissions'!O33</f>
        <v>0</v>
      </c>
      <c r="R26" s="10">
        <f>$F$34*'[2]direct emissions'!P33</f>
        <v>0</v>
      </c>
      <c r="S26" s="10">
        <f>$F$34*'[2]direct emissions'!Q33</f>
        <v>9.2390539832831998E-7</v>
      </c>
      <c r="T26" s="10">
        <f>$F$34*'[2]direct emissions'!R33</f>
        <v>0</v>
      </c>
      <c r="U26" s="10">
        <f>$F$34*'[2]direct emissions'!S33</f>
        <v>1.3266182311799186E-3</v>
      </c>
      <c r="V26" s="10">
        <f>$F$34*'[2]direct emissions'!T33</f>
        <v>0</v>
      </c>
      <c r="W26" s="10">
        <f>$F$34*'[2]direct emissions'!U33</f>
        <v>1.0093882404062093E-7</v>
      </c>
      <c r="X26" s="10">
        <f>$F$34*'[2]direct emissions'!V33</f>
        <v>0</v>
      </c>
      <c r="Y26" s="10">
        <f>$F$34*'[2]direct emissions'!W33</f>
        <v>0</v>
      </c>
      <c r="Z26" s="10">
        <f>$F$34*'[2]direct emissions'!X33</f>
        <v>0</v>
      </c>
      <c r="AA26" s="10">
        <f>$F$34*'[2]direct emissions'!Y33</f>
        <v>0</v>
      </c>
      <c r="AB26" s="10">
        <f>$F$34*'[2]direct emissions'!Z33</f>
        <v>0</v>
      </c>
      <c r="AC26" s="10">
        <f>$F$34*'[2]direct emissions'!AA33</f>
        <v>3.9130674846625767E-3</v>
      </c>
      <c r="AD26" s="10">
        <f>$F$34*'[2]direct emissions'!AB33</f>
        <v>0</v>
      </c>
      <c r="AE26" s="10">
        <f>$F$34*'[2]direct emissions'!AC33</f>
        <v>1.9413585087095561E-6</v>
      </c>
      <c r="AF26" s="10">
        <f>$F$34*'[2]direct emissions'!AD33</f>
        <v>0</v>
      </c>
      <c r="AG26" s="10">
        <f>$F$34*'[2]direct emissions'!AE33</f>
        <v>0</v>
      </c>
      <c r="AH26" s="10">
        <f>$F$34*'[2]direct emissions'!AF33</f>
        <v>0</v>
      </c>
      <c r="AI26" s="10">
        <f>$F$34*'[2]direct emissions'!AG33</f>
        <v>0</v>
      </c>
      <c r="AJ26" s="10">
        <f>$F$34*'[2]direct emissions'!AH33</f>
        <v>0</v>
      </c>
    </row>
    <row r="27" spans="1:37" ht="15" customHeight="1">
      <c r="A27" s="3" t="s">
        <v>29</v>
      </c>
      <c r="B27" s="2">
        <v>70</v>
      </c>
      <c r="C27" s="2">
        <v>0.8</v>
      </c>
      <c r="D27" s="2">
        <v>5610</v>
      </c>
      <c r="E27" s="111">
        <f>B9</f>
        <v>0.8</v>
      </c>
      <c r="F27" s="5">
        <f>B27*C27*D27/E27/1000000000</f>
        <v>3.927E-4</v>
      </c>
      <c r="G27" s="2" t="s">
        <v>32</v>
      </c>
      <c r="H27" s="2"/>
      <c r="M27" s="3" t="s">
        <v>22</v>
      </c>
      <c r="N27" s="10">
        <f>$F$35*'[2]direct emissions'!D34</f>
        <v>0</v>
      </c>
      <c r="O27" s="10">
        <f>$F$35*'[2]direct emissions'!M34</f>
        <v>0</v>
      </c>
      <c r="P27" s="10">
        <f>$F$35*'[2]direct emissions'!N34</f>
        <v>0</v>
      </c>
      <c r="Q27" s="10">
        <f>$F$35*'[2]direct emissions'!O34</f>
        <v>0</v>
      </c>
      <c r="R27" s="10">
        <f>$F$35*'[2]direct emissions'!P34</f>
        <v>0</v>
      </c>
      <c r="S27" s="10">
        <f>$F$35*'[2]direct emissions'!Q34</f>
        <v>1.0843991205639117E-5</v>
      </c>
      <c r="T27" s="10">
        <f>$F$35*'[2]direct emissions'!R34</f>
        <v>0</v>
      </c>
      <c r="U27" s="10">
        <f>$F$35*'[2]direct emissions'!S34</f>
        <v>0</v>
      </c>
      <c r="V27" s="10">
        <f>$F$35*'[2]direct emissions'!T34</f>
        <v>0</v>
      </c>
      <c r="W27" s="10">
        <f>$F$35*'[2]direct emissions'!U34</f>
        <v>4.1826517879435955E-7</v>
      </c>
      <c r="X27" s="10">
        <f>$F$35*'[2]direct emissions'!V34</f>
        <v>0</v>
      </c>
      <c r="Y27" s="10">
        <f>$F$35*'[2]direct emissions'!W34</f>
        <v>0</v>
      </c>
      <c r="Z27" s="10">
        <f>$F$35*'[2]direct emissions'!X34</f>
        <v>0</v>
      </c>
      <c r="AA27" s="10">
        <f>$F$35*'[2]direct emissions'!Y34</f>
        <v>0</v>
      </c>
      <c r="AB27" s="10">
        <f>$F$35*'[2]direct emissions'!Z34</f>
        <v>0</v>
      </c>
      <c r="AC27" s="10">
        <f>$F$35*'[2]direct emissions'!AA34</f>
        <v>0</v>
      </c>
      <c r="AD27" s="10">
        <f>$F$35*'[2]direct emissions'!AB34</f>
        <v>0</v>
      </c>
      <c r="AE27" s="10">
        <f>$F$35*'[2]direct emissions'!AC34</f>
        <v>4.2567213969944052E-5</v>
      </c>
      <c r="AF27" s="10">
        <f>$F$35*'[2]direct emissions'!AD34</f>
        <v>0</v>
      </c>
      <c r="AG27" s="10">
        <f>$F$35*'[2]direct emissions'!AE34</f>
        <v>0</v>
      </c>
      <c r="AH27" s="10">
        <f>$F$35*'[2]direct emissions'!AF34</f>
        <v>0</v>
      </c>
      <c r="AI27" s="10">
        <f>$F$35*'[2]direct emissions'!AG34</f>
        <v>0</v>
      </c>
      <c r="AJ27" s="10">
        <f>$F$35*'[2]direct emissions'!AH34</f>
        <v>0</v>
      </c>
    </row>
    <row r="28" spans="1:37">
      <c r="A28" s="3" t="s">
        <v>30</v>
      </c>
      <c r="B28" s="2" t="s">
        <v>7</v>
      </c>
      <c r="C28" s="2" t="s">
        <v>7</v>
      </c>
      <c r="D28" s="2" t="s">
        <v>7</v>
      </c>
      <c r="E28" s="111">
        <f>B9</f>
        <v>0.8</v>
      </c>
      <c r="F28" s="5">
        <f>F27/2*98</f>
        <v>1.92423E-2</v>
      </c>
      <c r="G28" s="1" t="s">
        <v>31</v>
      </c>
      <c r="H28" s="2"/>
      <c r="M28" s="3" t="s">
        <v>144</v>
      </c>
      <c r="P28" s="10"/>
      <c r="Q28" s="10"/>
      <c r="R28" s="10"/>
      <c r="S28" s="10"/>
      <c r="T28" s="10"/>
      <c r="U28" s="10"/>
      <c r="V28" s="10"/>
      <c r="W28" s="10"/>
      <c r="X28" s="10"/>
      <c r="Y28" s="10"/>
      <c r="Z28" s="10"/>
      <c r="AA28" s="10"/>
      <c r="AB28" s="10"/>
      <c r="AC28" s="10"/>
      <c r="AD28" s="10"/>
      <c r="AE28" s="10"/>
      <c r="AF28" s="10"/>
      <c r="AG28" s="10"/>
      <c r="AH28" s="10"/>
      <c r="AI28" s="10"/>
      <c r="AJ28" s="10"/>
    </row>
    <row r="29" spans="1:37">
      <c r="A29" s="8" t="s">
        <v>18</v>
      </c>
      <c r="B29" s="2"/>
      <c r="C29" s="2"/>
      <c r="D29" s="2"/>
      <c r="E29" s="2"/>
      <c r="F29" s="4"/>
      <c r="G29" s="2"/>
      <c r="H29" s="2"/>
      <c r="M29" s="3" t="s">
        <v>57</v>
      </c>
      <c r="N29" s="10">
        <f>$F$37*'[2]direct emissions'!D28</f>
        <v>0</v>
      </c>
      <c r="O29" s="10">
        <f>$F$37*'[2]direct emissions'!M28</f>
        <v>0</v>
      </c>
      <c r="P29" s="10">
        <f>$F$37*'[2]direct emissions'!N28</f>
        <v>0</v>
      </c>
      <c r="Q29" s="10">
        <f>$F$37*'[2]direct emissions'!O28</f>
        <v>0</v>
      </c>
      <c r="R29" s="10">
        <f>$F$37*'[2]direct emissions'!P28</f>
        <v>0</v>
      </c>
      <c r="S29" s="10">
        <f>$F$37*'[2]direct emissions'!Q28</f>
        <v>0</v>
      </c>
      <c r="T29" s="10">
        <f>$F$37*'[2]direct emissions'!R28</f>
        <v>0</v>
      </c>
      <c r="U29" s="10">
        <f>$F$37*'[2]direct emissions'!S28</f>
        <v>0</v>
      </c>
      <c r="V29" s="10">
        <f>$F$37*'[2]direct emissions'!T28</f>
        <v>0</v>
      </c>
      <c r="W29" s="10">
        <f>$F$37*'[2]direct emissions'!U28</f>
        <v>0</v>
      </c>
      <c r="X29" s="10">
        <f>$F$37*'[2]direct emissions'!V28</f>
        <v>0</v>
      </c>
      <c r="Y29" s="10">
        <f>$F$37*'[2]direct emissions'!W28</f>
        <v>0</v>
      </c>
      <c r="Z29" s="10">
        <f>$F$37*'[2]direct emissions'!X28</f>
        <v>0</v>
      </c>
      <c r="AA29" s="10">
        <f>$F$37*'[2]direct emissions'!Y28</f>
        <v>0</v>
      </c>
      <c r="AB29" s="10">
        <f>$F$37*'[2]direct emissions'!Z28</f>
        <v>0</v>
      </c>
      <c r="AC29" s="10">
        <f>$F$37*'[2]direct emissions'!AA28</f>
        <v>0</v>
      </c>
      <c r="AD29" s="10">
        <f>$F$37*'[2]direct emissions'!AB28</f>
        <v>0</v>
      </c>
      <c r="AE29" s="10">
        <f>$F$37*'[2]direct emissions'!AC28</f>
        <v>0</v>
      </c>
      <c r="AF29" s="10">
        <f>$F$37*'[2]direct emissions'!AD28</f>
        <v>0</v>
      </c>
      <c r="AG29" s="10">
        <f>$F$37*'[2]direct emissions'!AE28</f>
        <v>0</v>
      </c>
      <c r="AH29" s="10">
        <f>$F$37*'[2]direct emissions'!AF28</f>
        <v>0</v>
      </c>
      <c r="AI29" s="10">
        <f>$F$37*'[2]direct emissions'!AG28</f>
        <v>0</v>
      </c>
      <c r="AJ29" s="10">
        <f>$F$37*'[2]direct emissions'!AH28</f>
        <v>0</v>
      </c>
    </row>
    <row r="30" spans="1:37">
      <c r="A30" s="3" t="s">
        <v>27</v>
      </c>
      <c r="B30" s="2">
        <v>100</v>
      </c>
      <c r="C30" s="2">
        <v>0.8</v>
      </c>
      <c r="D30" s="2">
        <v>2700</v>
      </c>
      <c r="E30" s="2">
        <v>0.82</v>
      </c>
      <c r="F30" s="4">
        <f>B30*C30*D30/E30/1000000000</f>
        <v>2.6341463414634146E-4</v>
      </c>
      <c r="G30" s="2" t="s">
        <v>158</v>
      </c>
      <c r="I30" t="s">
        <v>33</v>
      </c>
      <c r="J30" t="s">
        <v>34</v>
      </c>
      <c r="K30">
        <f>59+16</f>
        <v>75</v>
      </c>
      <c r="L30">
        <v>6840</v>
      </c>
      <c r="M30" s="3" t="s">
        <v>145</v>
      </c>
      <c r="P30" s="10"/>
      <c r="Q30" s="10"/>
      <c r="R30" s="10"/>
      <c r="S30" s="10"/>
      <c r="T30" s="10"/>
      <c r="U30" s="10"/>
      <c r="V30" s="10"/>
      <c r="W30" s="10"/>
      <c r="X30" s="10"/>
      <c r="Y30" s="10"/>
      <c r="Z30" s="10"/>
      <c r="AA30" s="10"/>
      <c r="AB30" s="10"/>
      <c r="AC30" s="10"/>
      <c r="AD30" s="10"/>
      <c r="AE30" s="10"/>
      <c r="AF30" s="10"/>
      <c r="AG30" s="10"/>
      <c r="AH30" s="10"/>
      <c r="AI30" s="10"/>
      <c r="AJ30" s="10"/>
    </row>
    <row r="31" spans="1:37">
      <c r="A31" s="9" t="s">
        <v>47</v>
      </c>
      <c r="H31" s="14" t="s">
        <v>84</v>
      </c>
      <c r="J31" t="s">
        <v>35</v>
      </c>
      <c r="K31">
        <f>59*2+16*3</f>
        <v>166</v>
      </c>
      <c r="L31">
        <v>4840</v>
      </c>
      <c r="M31" s="3" t="s">
        <v>15</v>
      </c>
      <c r="N31" s="10">
        <f>$F$39*'[2]direct emissions'!D24</f>
        <v>0</v>
      </c>
      <c r="O31" s="10">
        <f>$F$39*'[2]direct emissions'!M24</f>
        <v>0</v>
      </c>
      <c r="P31" s="10">
        <f>$F$39*'[2]direct emissions'!N24</f>
        <v>0</v>
      </c>
      <c r="Q31" s="10">
        <f>$F$39*'[2]direct emissions'!O24</f>
        <v>0</v>
      </c>
      <c r="R31" s="10">
        <f>$F$39*'[2]direct emissions'!P24</f>
        <v>0</v>
      </c>
      <c r="S31" s="10">
        <f>$F$39*'[2]direct emissions'!Q24</f>
        <v>0</v>
      </c>
      <c r="T31" s="10">
        <f>$F$39*'[2]direct emissions'!R24</f>
        <v>0</v>
      </c>
      <c r="U31" s="10">
        <f>$F$39*'[2]direct emissions'!S24</f>
        <v>0</v>
      </c>
      <c r="V31" s="10">
        <f>$F$39*'[2]direct emissions'!T24</f>
        <v>0</v>
      </c>
      <c r="W31" s="10">
        <f>$F$39*'[2]direct emissions'!U24</f>
        <v>0</v>
      </c>
      <c r="X31" s="10">
        <f>$F$39*'[2]direct emissions'!V24</f>
        <v>0</v>
      </c>
      <c r="Y31" s="10">
        <f>$F$39*'[2]direct emissions'!W24</f>
        <v>0</v>
      </c>
      <c r="Z31" s="10">
        <f>$F$39*'[2]direct emissions'!X24</f>
        <v>0</v>
      </c>
      <c r="AA31" s="10">
        <f>$F$39*'[2]direct emissions'!Y24</f>
        <v>0</v>
      </c>
      <c r="AB31" s="10">
        <f>$F$39*'[2]direct emissions'!Z24</f>
        <v>0</v>
      </c>
      <c r="AC31" s="10">
        <f>$F$39*'[2]direct emissions'!AA24</f>
        <v>1.0849124324324325E-3</v>
      </c>
      <c r="AD31" s="10">
        <f>$F$39*'[2]direct emissions'!AB24</f>
        <v>0</v>
      </c>
      <c r="AE31" s="10">
        <f>$F$39*'[2]direct emissions'!AC24</f>
        <v>0</v>
      </c>
      <c r="AF31" s="10">
        <f>$F$39*'[2]direct emissions'!AD24</f>
        <v>0</v>
      </c>
      <c r="AG31" s="10">
        <f>$F$39*'[2]direct emissions'!AE24</f>
        <v>0</v>
      </c>
      <c r="AH31" s="10">
        <f>$F$39*'[2]direct emissions'!AF24</f>
        <v>0</v>
      </c>
      <c r="AI31" s="10">
        <f>$F$39*'[2]direct emissions'!AG24</f>
        <v>4.1279594990028285E-7</v>
      </c>
      <c r="AJ31" s="10">
        <f>$F$39*'[2]direct emissions'!AH24</f>
        <v>0</v>
      </c>
    </row>
    <row r="32" spans="1:37">
      <c r="A32" s="38" t="s">
        <v>9</v>
      </c>
      <c r="B32" s="35"/>
      <c r="C32" s="35"/>
      <c r="D32" s="35"/>
      <c r="E32" s="35"/>
      <c r="F32" s="39">
        <f>F14</f>
        <v>2.5770000000000001E-2</v>
      </c>
      <c r="G32" s="38" t="s">
        <v>85</v>
      </c>
      <c r="H32" s="13" t="s">
        <v>88</v>
      </c>
      <c r="M32" s="3" t="s">
        <v>29</v>
      </c>
      <c r="P32" s="10"/>
      <c r="Q32" s="10"/>
      <c r="R32" s="10"/>
      <c r="S32" s="10"/>
      <c r="T32" s="10"/>
      <c r="U32" s="10"/>
      <c r="V32" s="10"/>
      <c r="W32" s="10"/>
      <c r="X32" s="10"/>
      <c r="Y32" s="10"/>
      <c r="Z32" s="10"/>
      <c r="AA32" s="10"/>
      <c r="AB32" s="10"/>
      <c r="AC32" s="10"/>
      <c r="AD32" s="10"/>
      <c r="AE32" s="10"/>
      <c r="AF32" s="10"/>
      <c r="AG32" s="10"/>
      <c r="AH32" s="10"/>
      <c r="AI32" s="10"/>
      <c r="AJ32" s="10"/>
    </row>
    <row r="33" spans="1:36">
      <c r="A33" s="3" t="s">
        <v>146</v>
      </c>
      <c r="F33" s="5">
        <f>F17*0.7</f>
        <v>1.4861952000000001E-3</v>
      </c>
      <c r="G33" s="13" t="s">
        <v>86</v>
      </c>
      <c r="H33" s="13" t="s">
        <v>89</v>
      </c>
      <c r="J33" t="s">
        <v>20</v>
      </c>
      <c r="K33">
        <f>59+(14+16*3)*2+6*18</f>
        <v>291</v>
      </c>
      <c r="M33" s="3" t="s">
        <v>30</v>
      </c>
      <c r="N33" s="10">
        <f>$F$41*'[2]direct emissions'!D35</f>
        <v>0</v>
      </c>
      <c r="O33" s="10">
        <f>$F$41*'[2]direct emissions'!M35</f>
        <v>0</v>
      </c>
      <c r="P33" s="10">
        <f>$F$41*'[2]direct emissions'!N35</f>
        <v>0</v>
      </c>
      <c r="Q33" s="10">
        <f>$F$41*'[2]direct emissions'!O35</f>
        <v>0</v>
      </c>
      <c r="R33" s="10">
        <f>$F$41*'[2]direct emissions'!P35</f>
        <v>0</v>
      </c>
      <c r="S33" s="10">
        <f>$F$41*'[2]direct emissions'!Q35</f>
        <v>8.6372945138597759E-6</v>
      </c>
      <c r="T33" s="10">
        <f>$F$41*'[2]direct emissions'!R35</f>
        <v>0</v>
      </c>
      <c r="U33" s="10">
        <f>$F$41*'[2]direct emissions'!S35</f>
        <v>3.626697093897184E-2</v>
      </c>
      <c r="V33" s="10">
        <f>$F$41*'[2]direct emissions'!T35</f>
        <v>0</v>
      </c>
      <c r="W33" s="10">
        <f>$F$41*'[2]direct emissions'!U35</f>
        <v>7.574076877721825E-4</v>
      </c>
      <c r="X33" s="10">
        <f>$F$41*'[2]direct emissions'!V35</f>
        <v>0</v>
      </c>
      <c r="Y33" s="10">
        <f>$F$41*'[2]direct emissions'!W35</f>
        <v>0</v>
      </c>
      <c r="Z33" s="10">
        <f>$F$41*'[2]direct emissions'!X35</f>
        <v>0</v>
      </c>
      <c r="AA33" s="10">
        <f>$F$41*'[2]direct emissions'!Y35</f>
        <v>0</v>
      </c>
      <c r="AB33" s="10">
        <f>$F$41*'[2]direct emissions'!Z35</f>
        <v>0</v>
      </c>
      <c r="AC33" s="10">
        <f>$F$41*'[2]direct emissions'!AA35</f>
        <v>0</v>
      </c>
      <c r="AD33" s="10">
        <f>$F$41*'[2]direct emissions'!AB35</f>
        <v>0</v>
      </c>
      <c r="AE33" s="10">
        <f>$F$41*'[2]direct emissions'!AC35</f>
        <v>2.1739153194509808E-5</v>
      </c>
      <c r="AF33" s="10">
        <f>$F$41*'[2]direct emissions'!AD35</f>
        <v>0</v>
      </c>
      <c r="AG33" s="10">
        <f>$F$41*'[2]direct emissions'!AE35</f>
        <v>0</v>
      </c>
      <c r="AH33" s="10">
        <f>$F$41*'[2]direct emissions'!AF35</f>
        <v>0</v>
      </c>
      <c r="AI33" s="10">
        <f>$F$41*'[2]direct emissions'!AG35</f>
        <v>0</v>
      </c>
      <c r="AJ33" s="10">
        <f>$F$41*'[2]direct emissions'!AH35</f>
        <v>0</v>
      </c>
    </row>
    <row r="34" spans="1:36">
      <c r="A34" s="3" t="s">
        <v>21</v>
      </c>
      <c r="F34" s="5">
        <f>F18</f>
        <v>6.2105521472392644E-3</v>
      </c>
      <c r="G34" s="13" t="s">
        <v>87</v>
      </c>
      <c r="H34" s="13" t="s">
        <v>89</v>
      </c>
      <c r="M34" s="3" t="s">
        <v>27</v>
      </c>
      <c r="N34" s="10">
        <f>$F$42*'[2]direct emissions'!D36</f>
        <v>0</v>
      </c>
      <c r="O34" s="10">
        <f>$F$42*'[2]direct emissions'!M36</f>
        <v>0</v>
      </c>
      <c r="P34" s="10">
        <f>$F$42*'[2]direct emissions'!N36</f>
        <v>0</v>
      </c>
      <c r="Q34" s="10">
        <f>$F$42*'[2]direct emissions'!O36</f>
        <v>0</v>
      </c>
      <c r="R34" s="10">
        <f>$F$42*'[2]direct emissions'!P36</f>
        <v>0</v>
      </c>
      <c r="S34" s="10">
        <f>$F$42*'[2]direct emissions'!Q36</f>
        <v>0</v>
      </c>
      <c r="T34" s="10">
        <f>$F$42*'[2]direct emissions'!R36</f>
        <v>0</v>
      </c>
      <c r="U34" s="10">
        <f>$F$42*'[2]direct emissions'!S36</f>
        <v>0</v>
      </c>
      <c r="V34" s="10">
        <f>$F$42*'[2]direct emissions'!T36</f>
        <v>0</v>
      </c>
      <c r="W34" s="10">
        <f>$F$42*'[2]direct emissions'!U36</f>
        <v>0</v>
      </c>
      <c r="X34" s="10">
        <f>$F$42*'[2]direct emissions'!V36</f>
        <v>0</v>
      </c>
      <c r="Y34" s="10">
        <f>$F$42*'[2]direct emissions'!W36</f>
        <v>0</v>
      </c>
      <c r="Z34" s="10">
        <f>$F$42*'[2]direct emissions'!X36</f>
        <v>0</v>
      </c>
      <c r="AA34" s="10">
        <f>$F$42*'[2]direct emissions'!Y36</f>
        <v>0</v>
      </c>
      <c r="AB34" s="10">
        <f>$F$42*'[2]direct emissions'!Z36</f>
        <v>0</v>
      </c>
      <c r="AC34" s="10">
        <f>$F$42*'[2]direct emissions'!AA36</f>
        <v>0</v>
      </c>
      <c r="AD34" s="10">
        <f>$F$42*'[2]direct emissions'!AB36</f>
        <v>0</v>
      </c>
      <c r="AE34" s="10">
        <f>$F$42*'[2]direct emissions'!AC36</f>
        <v>0</v>
      </c>
      <c r="AF34" s="10">
        <f>$F$42*'[2]direct emissions'!AD36</f>
        <v>0</v>
      </c>
      <c r="AG34" s="10">
        <f>$F$42*'[2]direct emissions'!AE36</f>
        <v>0</v>
      </c>
      <c r="AH34" s="10">
        <f>$F$42*'[2]direct emissions'!AF36</f>
        <v>0</v>
      </c>
      <c r="AI34" s="10">
        <f>$F$42*'[2]direct emissions'!AG36</f>
        <v>0</v>
      </c>
      <c r="AJ34" s="10">
        <f>$F$42*'[2]direct emissions'!AH36</f>
        <v>0</v>
      </c>
    </row>
    <row r="35" spans="1:36">
      <c r="A35" s="3" t="s">
        <v>22</v>
      </c>
      <c r="F35" s="5">
        <f>F19</f>
        <v>1.5350271091199999E-3</v>
      </c>
      <c r="G35" s="13" t="s">
        <v>87</v>
      </c>
      <c r="H35" s="13" t="s">
        <v>89</v>
      </c>
      <c r="M35" s="38" t="str">
        <f>A43</f>
        <v>Nitrogen</v>
      </c>
      <c r="N35" s="54"/>
      <c r="O35" s="54"/>
      <c r="P35" s="54"/>
      <c r="Q35" s="54"/>
      <c r="R35" s="54"/>
      <c r="S35" s="54"/>
      <c r="T35" s="54"/>
      <c r="U35" s="54"/>
      <c r="V35" s="54"/>
      <c r="W35" s="54"/>
      <c r="X35" s="54"/>
      <c r="Y35" s="54"/>
      <c r="Z35" s="54"/>
      <c r="AA35" s="54"/>
      <c r="AB35" s="54"/>
      <c r="AC35" s="54"/>
      <c r="AD35" s="54"/>
      <c r="AE35" s="54"/>
      <c r="AF35" s="54"/>
      <c r="AG35" s="54"/>
      <c r="AH35" s="54"/>
      <c r="AI35" s="54"/>
      <c r="AJ35" s="54"/>
    </row>
    <row r="36" spans="1:36">
      <c r="A36" s="3" t="s">
        <v>144</v>
      </c>
      <c r="F36" s="5">
        <f>F21*0.7</f>
        <v>4.415488E-4</v>
      </c>
      <c r="G36" s="2" t="s">
        <v>90</v>
      </c>
      <c r="H36" s="13" t="s">
        <v>89</v>
      </c>
      <c r="M36" s="9" t="s">
        <v>96</v>
      </c>
      <c r="N36" s="10">
        <f>$F$46/1000*[2]production!D3</f>
        <v>1.44631779E-4</v>
      </c>
      <c r="O36" s="10">
        <f>$F$46/1000*[2]production!M3</f>
        <v>1.2086428794910004E-3</v>
      </c>
      <c r="P36" s="10">
        <f>$F$46/1000*[2]production!N3</f>
        <v>5.1931415399999998E-6</v>
      </c>
      <c r="Q36" s="10">
        <f>$F$46/1000*[2]production!O3</f>
        <v>1.32338107E-4</v>
      </c>
      <c r="R36" s="10">
        <f>$F$46/1000*[2]production!P3</f>
        <v>2.28677491E-5</v>
      </c>
      <c r="S36" s="10">
        <f>$F$46/1000*[2]production!Q3</f>
        <v>2.0220870100000002E-6</v>
      </c>
      <c r="T36" s="10">
        <f>$F$46/1000*[2]production!R3</f>
        <v>8.2175952000000003E-7</v>
      </c>
      <c r="U36" s="10">
        <f>$F$46/1000*[2]production!S3</f>
        <v>1.86689693E-3</v>
      </c>
      <c r="V36" s="10">
        <f>$F$46/1000*[2]production!T3</f>
        <v>9.2705037999999998E-6</v>
      </c>
      <c r="W36" s="10">
        <f>$F$46/1000*[2]production!U3</f>
        <v>1.81571225E-3</v>
      </c>
      <c r="X36" s="10">
        <f>$F$46/1000*[2]production!V3</f>
        <v>7.6163505000000001E-6</v>
      </c>
      <c r="Y36" s="10">
        <f>$F$46/1000*[2]production!W3</f>
        <v>1.02053838E-5</v>
      </c>
      <c r="Z36" s="10">
        <f>$F$46/1000*[2]production!X3</f>
        <v>1.0613225200000001E-8</v>
      </c>
      <c r="AA36" s="10">
        <f>$F$46/1000*[2]production!Y3</f>
        <v>1.0723657900000001E-11</v>
      </c>
      <c r="AB36" s="10">
        <f>$F$46/1000*[2]production!Z3</f>
        <v>2.9549219600000003E-7</v>
      </c>
      <c r="AC36" s="10">
        <f>$F$46/1000*[2]production!AA3</f>
        <v>3.4743062300000002E-7</v>
      </c>
      <c r="AD36" s="10">
        <f>$F$46/1000*[2]production!AB3</f>
        <v>6.0591910000000003E-7</v>
      </c>
      <c r="AE36" s="10">
        <f>$F$46/1000*[2]production!AC3</f>
        <v>8.0721045000000003E-8</v>
      </c>
      <c r="AF36" s="10">
        <f>$F$46/1000*[2]production!AD3</f>
        <v>1.36498323E-6</v>
      </c>
      <c r="AG36" s="10">
        <f>$F$46/1000*[2]production!AE3</f>
        <v>6.2222107000000004E-7</v>
      </c>
      <c r="AH36" s="10">
        <f>$F$46/1000*[2]production!AF3</f>
        <v>5.9277235000000001E-6</v>
      </c>
      <c r="AI36" s="10">
        <f>$F$46/1000*[2]production!AG3</f>
        <v>1.7941515800000001E-5</v>
      </c>
      <c r="AJ36" s="10">
        <f>$F$46/1000*[2]production!AH3</f>
        <v>3.2155781900000001E-6</v>
      </c>
    </row>
    <row r="37" spans="1:36">
      <c r="A37" s="3" t="s">
        <v>57</v>
      </c>
      <c r="F37" s="5">
        <f>F22</f>
        <v>1.2999635478260867E-3</v>
      </c>
      <c r="G37" s="2" t="s">
        <v>14</v>
      </c>
      <c r="H37" s="13" t="s">
        <v>89</v>
      </c>
      <c r="M37" s="3"/>
    </row>
    <row r="38" spans="1:36">
      <c r="A38" s="3" t="s">
        <v>145</v>
      </c>
      <c r="F38" s="5">
        <f>F23*0.7</f>
        <v>1.5231999999999998E-4</v>
      </c>
      <c r="G38" s="2" t="s">
        <v>136</v>
      </c>
      <c r="H38" s="13" t="s">
        <v>89</v>
      </c>
      <c r="M38" s="3"/>
    </row>
    <row r="39" spans="1:36">
      <c r="A39" s="3" t="s">
        <v>15</v>
      </c>
      <c r="F39" s="5">
        <f>F24</f>
        <v>3.4163199999999996E-3</v>
      </c>
      <c r="G39" s="2" t="s">
        <v>16</v>
      </c>
      <c r="H39" s="13" t="s">
        <v>89</v>
      </c>
      <c r="M39" s="3"/>
    </row>
    <row r="40" spans="1:36">
      <c r="A40" s="3" t="s">
        <v>29</v>
      </c>
      <c r="F40" s="5">
        <f>F27*0.7</f>
        <v>2.7488999999999997E-4</v>
      </c>
      <c r="G40" s="13" t="s">
        <v>92</v>
      </c>
      <c r="H40" s="13" t="s">
        <v>89</v>
      </c>
      <c r="M40" s="3"/>
    </row>
    <row r="41" spans="1:36">
      <c r="A41" s="3" t="s">
        <v>30</v>
      </c>
      <c r="F41" s="5">
        <f>F28</f>
        <v>1.92423E-2</v>
      </c>
      <c r="G41" s="13" t="s">
        <v>93</v>
      </c>
      <c r="H41" s="13" t="s">
        <v>89</v>
      </c>
      <c r="M41" s="3"/>
    </row>
    <row r="42" spans="1:36">
      <c r="A42" s="3" t="s">
        <v>27</v>
      </c>
      <c r="F42" s="5">
        <f>F30*0.18</f>
        <v>4.741463414634146E-5</v>
      </c>
      <c r="G42" s="13" t="s">
        <v>91</v>
      </c>
      <c r="H42" s="13" t="s">
        <v>89</v>
      </c>
      <c r="M42" s="3"/>
    </row>
    <row r="43" spans="1:36">
      <c r="A43" s="38" t="str">
        <f>A25</f>
        <v>Nitrogen</v>
      </c>
      <c r="B43" s="35"/>
      <c r="C43" s="35"/>
      <c r="D43" s="35"/>
      <c r="E43" s="35"/>
      <c r="F43" s="39">
        <f>F25</f>
        <v>3.4834459487327023</v>
      </c>
      <c r="G43" s="52"/>
      <c r="H43" s="13" t="s">
        <v>89</v>
      </c>
      <c r="M43" s="3"/>
    </row>
    <row r="44" spans="1:36">
      <c r="A44" s="9" t="s">
        <v>48</v>
      </c>
      <c r="F44" s="5">
        <f>SUM(F13:F30)-F15-SUM(F32:F42)-F43</f>
        <v>0.15522526600000042</v>
      </c>
      <c r="G44" s="5"/>
      <c r="H44" s="5"/>
      <c r="M44" s="3"/>
    </row>
    <row r="45" spans="1:36">
      <c r="N45" s="16">
        <f t="shared" ref="N45:AJ45" si="1">SUM(N13:N24)+N36</f>
        <v>3.5081721560453221</v>
      </c>
      <c r="O45" s="16">
        <f t="shared" si="1"/>
        <v>55.914605710204057</v>
      </c>
      <c r="P45" s="16">
        <f t="shared" si="1"/>
        <v>0.11423430302706035</v>
      </c>
      <c r="Q45" s="16">
        <f t="shared" si="1"/>
        <v>3.2615522616669752</v>
      </c>
      <c r="R45" s="16">
        <f t="shared" si="1"/>
        <v>1.1933888403232771</v>
      </c>
      <c r="S45" s="16">
        <f t="shared" si="1"/>
        <v>3.3428704588703249E-2</v>
      </c>
      <c r="T45" s="16">
        <f t="shared" si="1"/>
        <v>1.0066273642215663E-3</v>
      </c>
      <c r="U45" s="16">
        <f t="shared" si="1"/>
        <v>47.944868106709308</v>
      </c>
      <c r="V45" s="16">
        <f t="shared" si="1"/>
        <v>0.19479165302653786</v>
      </c>
      <c r="W45" s="16">
        <f t="shared" si="1"/>
        <v>33.366369952274148</v>
      </c>
      <c r="X45" s="16">
        <f t="shared" si="1"/>
        <v>3.3570624999559686E-3</v>
      </c>
      <c r="Y45" s="16">
        <f t="shared" si="1"/>
        <v>0.10567109422930109</v>
      </c>
      <c r="Z45" s="16">
        <f t="shared" si="1"/>
        <v>4.8413191052786687E-4</v>
      </c>
      <c r="AA45" s="16">
        <f t="shared" si="1"/>
        <v>2.4476500940738943E-7</v>
      </c>
      <c r="AB45" s="16">
        <f t="shared" si="1"/>
        <v>8.2096508085693978E-3</v>
      </c>
      <c r="AC45" s="16">
        <f t="shared" si="1"/>
        <v>1.4959035523897534E-2</v>
      </c>
      <c r="AD45" s="16">
        <f t="shared" si="1"/>
        <v>1.746508723236349E-2</v>
      </c>
      <c r="AE45" s="16">
        <f t="shared" si="1"/>
        <v>1.8208588134440975E-3</v>
      </c>
      <c r="AF45" s="16">
        <f t="shared" si="1"/>
        <v>1.4507765739422845E-2</v>
      </c>
      <c r="AG45" s="16">
        <f t="shared" si="1"/>
        <v>1.7722942304444201E-2</v>
      </c>
      <c r="AH45" s="16">
        <f t="shared" si="1"/>
        <v>0.12727743470792871</v>
      </c>
      <c r="AI45" s="16">
        <f t="shared" si="1"/>
        <v>0.45959905745946605</v>
      </c>
      <c r="AJ45" s="16">
        <f t="shared" si="1"/>
        <v>0.14792684270911638</v>
      </c>
    </row>
    <row r="46" spans="1:36">
      <c r="A46" s="3" t="s">
        <v>94</v>
      </c>
      <c r="F46" s="5">
        <f>F15+F32</f>
        <v>5.8430000000000003E-2</v>
      </c>
      <c r="G46" s="10"/>
      <c r="H46" s="5"/>
    </row>
    <row r="55" spans="15:15">
      <c r="O55" s="16">
        <f>SUM(O13:O23)</f>
        <v>55.913397067324567</v>
      </c>
    </row>
  </sheetData>
  <mergeCells count="2">
    <mergeCell ref="G14:G15"/>
    <mergeCell ref="G11:L11"/>
  </mergeCells>
  <phoneticPr fontId="6" type="noConversion"/>
  <dataValidations count="3">
    <dataValidation type="list" allowBlank="1" showInputMessage="1" showErrorMessage="1" sqref="B9" xr:uid="{ABA795AD-6763-4442-A01A-092F3E478363}">
      <formula1>"60%,70%,80%,90%"</formula1>
    </dataValidation>
    <dataValidation type="list" allowBlank="1" showInputMessage="1" showErrorMessage="1" sqref="B3:B8" xr:uid="{762D7811-CB38-4084-972C-7670DE15C8A2}">
      <formula1>"80%,100%,120%"</formula1>
    </dataValidation>
    <dataValidation type="list" allowBlank="1" showInputMessage="1" showErrorMessage="1" sqref="B2" xr:uid="{13839C9C-E70D-4478-A9E1-D19A8DAF1CEF}">
      <formula1>"70%,80%,90%,100%,0%"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deal_recycling.ideal_recycling">
                <anchor moveWithCells="1">
                  <from>
                    <xdr:col>3</xdr:col>
                    <xdr:colOff>9525</xdr:colOff>
                    <xdr:row>6</xdr:row>
                    <xdr:rowOff>171450</xdr:rowOff>
                  </from>
                  <to>
                    <xdr:col>6</xdr:col>
                    <xdr:colOff>28575</xdr:colOff>
                    <xdr:row>9</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no_recycling.no_recycling">
                <anchor moveWithCells="1">
                  <from>
                    <xdr:col>3</xdr:col>
                    <xdr:colOff>9525</xdr:colOff>
                    <xdr:row>0</xdr:row>
                    <xdr:rowOff>161925</xdr:rowOff>
                  </from>
                  <to>
                    <xdr:col>6</xdr:col>
                    <xdr:colOff>28575</xdr:colOff>
                    <xdr:row>3</xdr:row>
                    <xdr:rowOff>9525</xdr:rowOff>
                  </to>
                </anchor>
              </controlPr>
            </control>
          </mc:Choice>
        </mc:AlternateContent>
        <mc:AlternateContent xmlns:mc="http://schemas.openxmlformats.org/markup-compatibility/2006">
          <mc:Choice Requires="x14">
            <control shapeId="1027" r:id="rId6" name="Button 3">
              <controlPr defaultSize="0" print="0" autoFill="0" autoPict="0" macro="[0]!norminal_recycling.norminal_recycling">
                <anchor moveWithCells="1">
                  <from>
                    <xdr:col>3</xdr:col>
                    <xdr:colOff>9525</xdr:colOff>
                    <xdr:row>3</xdr:row>
                    <xdr:rowOff>161925</xdr:rowOff>
                  </from>
                  <to>
                    <xdr:col>6</xdr:col>
                    <xdr:colOff>28575</xdr:colOff>
                    <xdr:row>6</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BB093-48E8-4562-9FBD-2002FA9923F8}">
  <sheetPr codeName="Sheet8"/>
  <dimension ref="A1:H25"/>
  <sheetViews>
    <sheetView tabSelected="1" workbookViewId="0">
      <pane xSplit="1" topLeftCell="I1" activePane="topRight" state="frozen"/>
      <selection pane="topRight" activeCell="A23" sqref="A23"/>
    </sheetView>
  </sheetViews>
  <sheetFormatPr defaultRowHeight="15"/>
  <cols>
    <col min="1" max="1" width="53.42578125" customWidth="1"/>
    <col min="3" max="3" width="11.42578125" customWidth="1"/>
    <col min="5" max="5" width="10.7109375" customWidth="1"/>
    <col min="7" max="7" width="11.5703125" customWidth="1"/>
  </cols>
  <sheetData>
    <row r="1" spans="1:8">
      <c r="B1" s="118"/>
      <c r="C1" s="116">
        <f>results!G31</f>
        <v>95.504463514935381</v>
      </c>
      <c r="D1" s="118"/>
      <c r="F1" s="118"/>
    </row>
    <row r="2" spans="1:8" ht="15.75" thickBot="1">
      <c r="B2" s="118"/>
      <c r="C2" s="117">
        <f>results!H31</f>
        <v>1674.64695229064</v>
      </c>
      <c r="D2" s="118"/>
      <c r="F2" s="118"/>
    </row>
    <row r="3" spans="1:8" ht="15.75" thickBot="1">
      <c r="B3" s="118"/>
      <c r="D3" s="118"/>
      <c r="F3" s="118"/>
    </row>
    <row r="4" spans="1:8" ht="16.5" thickTop="1" thickBot="1">
      <c r="A4" s="40" t="s">
        <v>134</v>
      </c>
      <c r="C4" s="118"/>
      <c r="H4">
        <v>0</v>
      </c>
    </row>
    <row r="5" spans="1:8" ht="15.75" thickTop="1">
      <c r="A5" t="s">
        <v>180</v>
      </c>
      <c r="B5" s="44">
        <f>0.7</f>
        <v>0.7</v>
      </c>
      <c r="C5" s="118">
        <v>95.525034104086927</v>
      </c>
      <c r="D5" s="46">
        <v>0.8</v>
      </c>
      <c r="E5">
        <v>95.504463514935381</v>
      </c>
      <c r="F5" s="114">
        <v>0.9</v>
      </c>
      <c r="G5">
        <v>95.488464167817497</v>
      </c>
      <c r="H5">
        <f t="shared" ref="H5:H12" si="0">ABS(G5-C5)</f>
        <v>3.6569936269430059E-2</v>
      </c>
    </row>
    <row r="6" spans="1:8">
      <c r="A6" s="118" t="s">
        <v>188</v>
      </c>
      <c r="B6" s="42">
        <f>D6*0.8</f>
        <v>5.3608000000000002</v>
      </c>
      <c r="C6">
        <v>94.552980427071603</v>
      </c>
      <c r="D6" s="45">
        <v>6.7009999999999996</v>
      </c>
      <c r="E6">
        <v>95.504463514935381</v>
      </c>
      <c r="F6" s="48">
        <f>D6*1.2</f>
        <v>8.0411999999999999</v>
      </c>
      <c r="G6">
        <v>96.455946602799145</v>
      </c>
      <c r="H6">
        <f t="shared" si="0"/>
        <v>1.902966175727542</v>
      </c>
    </row>
    <row r="7" spans="1:8">
      <c r="A7" t="s">
        <v>189</v>
      </c>
      <c r="B7" s="42">
        <f>D7*0.8</f>
        <v>5.3608000000000002</v>
      </c>
      <c r="C7">
        <v>94.552980427071603</v>
      </c>
      <c r="D7" s="45">
        <v>6.7009999999999996</v>
      </c>
      <c r="E7">
        <v>95.504463514935381</v>
      </c>
      <c r="F7" s="48">
        <f>D7*1.2</f>
        <v>8.0411999999999999</v>
      </c>
      <c r="G7">
        <v>96.455946602799145</v>
      </c>
      <c r="H7">
        <f t="shared" si="0"/>
        <v>1.902966175727542</v>
      </c>
    </row>
    <row r="8" spans="1:8">
      <c r="A8" t="s">
        <v>185</v>
      </c>
      <c r="B8" s="42">
        <f>D8*0.8</f>
        <v>7.3599999999999994</v>
      </c>
      <c r="C8">
        <v>94.198210713890376</v>
      </c>
      <c r="D8" s="45">
        <v>9.1999999999999993</v>
      </c>
      <c r="E8">
        <v>95.504463514935381</v>
      </c>
      <c r="F8" s="49">
        <f>D8*1.2</f>
        <v>11.04</v>
      </c>
      <c r="G8">
        <v>96.810716315980386</v>
      </c>
      <c r="H8">
        <f t="shared" si="0"/>
        <v>2.6125056020900104</v>
      </c>
    </row>
    <row r="9" spans="1:8">
      <c r="A9" t="s">
        <v>181</v>
      </c>
      <c r="B9" s="44">
        <v>0.8</v>
      </c>
      <c r="C9">
        <v>97.470585042161247</v>
      </c>
      <c r="D9" s="46">
        <v>0.9</v>
      </c>
      <c r="E9">
        <v>95.504463514935381</v>
      </c>
      <c r="F9" s="114">
        <v>1</v>
      </c>
      <c r="G9">
        <v>93.538341987709501</v>
      </c>
      <c r="H9">
        <f t="shared" si="0"/>
        <v>3.9322430544517459</v>
      </c>
    </row>
    <row r="10" spans="1:8">
      <c r="A10" t="s">
        <v>184</v>
      </c>
      <c r="B10" s="43">
        <f>D10*0.8</f>
        <v>12.8</v>
      </c>
      <c r="C10">
        <v>93.232719513117985</v>
      </c>
      <c r="D10" s="115">
        <v>16</v>
      </c>
      <c r="E10">
        <v>95.504463514935381</v>
      </c>
      <c r="F10" s="49">
        <f>D10*1.2</f>
        <v>19.2</v>
      </c>
      <c r="G10">
        <v>97.776207516752777</v>
      </c>
      <c r="H10">
        <f t="shared" si="0"/>
        <v>4.543488003634792</v>
      </c>
    </row>
    <row r="11" spans="1:8">
      <c r="A11" t="s">
        <v>183</v>
      </c>
      <c r="B11" s="43">
        <f>D11*0.8</f>
        <v>23.040000000000003</v>
      </c>
      <c r="C11">
        <v>91.415324311664079</v>
      </c>
      <c r="D11" s="115">
        <v>28.8</v>
      </c>
      <c r="E11">
        <v>95.504463514935381</v>
      </c>
      <c r="F11" s="49">
        <f>D11*1.2</f>
        <v>34.56</v>
      </c>
      <c r="G11">
        <v>99.593602718206682</v>
      </c>
      <c r="H11">
        <f t="shared" si="0"/>
        <v>8.1782784065426029</v>
      </c>
    </row>
    <row r="12" spans="1:8">
      <c r="A12" t="s">
        <v>182</v>
      </c>
      <c r="B12" s="43">
        <f>D12*0.8</f>
        <v>34.56</v>
      </c>
      <c r="C12">
        <v>89.370754710028407</v>
      </c>
      <c r="D12" s="115">
        <v>43.2</v>
      </c>
      <c r="E12">
        <v>95.504463514935381</v>
      </c>
      <c r="F12" s="49">
        <f>D12*1.2</f>
        <v>51.84</v>
      </c>
      <c r="G12">
        <v>101.63817231984234</v>
      </c>
      <c r="H12">
        <f t="shared" si="0"/>
        <v>12.267417609813933</v>
      </c>
    </row>
    <row r="16" spans="1:8" ht="15.75" thickBot="1"/>
    <row r="17" spans="1:8" ht="16.5" thickTop="1" thickBot="1">
      <c r="A17" s="40" t="s">
        <v>135</v>
      </c>
      <c r="H17">
        <v>0</v>
      </c>
    </row>
    <row r="18" spans="1:8" ht="15.75" thickTop="1">
      <c r="A18" t="s">
        <v>180</v>
      </c>
      <c r="B18" s="41">
        <v>0.7</v>
      </c>
      <c r="C18" s="112">
        <v>1675.1109685218205</v>
      </c>
      <c r="D18" s="113">
        <v>0.8</v>
      </c>
      <c r="E18" s="112">
        <v>1674.64695229064</v>
      </c>
      <c r="F18" s="47">
        <v>0.9</v>
      </c>
      <c r="G18">
        <v>1674.2860507774994</v>
      </c>
      <c r="H18">
        <f t="shared" ref="H18:H25" si="1">ABS(G18-C18)</f>
        <v>0.82491774432105558</v>
      </c>
    </row>
    <row r="19" spans="1:8">
      <c r="A19" t="s">
        <v>188</v>
      </c>
      <c r="B19" s="41">
        <v>5.3608000000000002</v>
      </c>
      <c r="C19" s="112">
        <v>1657.9048563750589</v>
      </c>
      <c r="D19" s="113">
        <v>6.7009999999999996</v>
      </c>
      <c r="E19" s="112">
        <v>1674.64695229064</v>
      </c>
      <c r="F19" s="47">
        <v>8.0411999999999999</v>
      </c>
      <c r="G19">
        <v>1691.3890482062211</v>
      </c>
      <c r="H19">
        <f t="shared" si="1"/>
        <v>33.484191831162207</v>
      </c>
    </row>
    <row r="20" spans="1:8">
      <c r="A20" t="s">
        <v>189</v>
      </c>
      <c r="B20" s="41">
        <v>5.3608000000000002</v>
      </c>
      <c r="C20" s="112">
        <v>1657.9048563750589</v>
      </c>
      <c r="D20" s="113">
        <v>6.7009999999999996</v>
      </c>
      <c r="E20" s="112">
        <v>1674.64695229064</v>
      </c>
      <c r="F20" s="47">
        <v>8.0411999999999999</v>
      </c>
      <c r="G20">
        <v>1691.3890482062211</v>
      </c>
      <c r="H20">
        <f t="shared" si="1"/>
        <v>33.484191831162207</v>
      </c>
    </row>
    <row r="21" spans="1:8">
      <c r="A21" t="s">
        <v>185</v>
      </c>
      <c r="B21" s="41">
        <v>7.3599999999999994</v>
      </c>
      <c r="C21" s="112">
        <v>1651.6624032597242</v>
      </c>
      <c r="D21" s="113">
        <v>9.1999999999999993</v>
      </c>
      <c r="E21" s="112">
        <v>1674.64695229064</v>
      </c>
      <c r="F21" s="47">
        <v>11.04</v>
      </c>
      <c r="G21">
        <v>1697.6315013215556</v>
      </c>
      <c r="H21">
        <f t="shared" si="1"/>
        <v>45.969098061831346</v>
      </c>
    </row>
    <row r="22" spans="1:8">
      <c r="A22" t="s">
        <v>181</v>
      </c>
      <c r="B22" s="44">
        <v>0.8</v>
      </c>
      <c r="C22" s="112">
        <v>1708.8377331069166</v>
      </c>
      <c r="D22" s="46">
        <v>0.9</v>
      </c>
      <c r="E22" s="112">
        <v>1674.64695229064</v>
      </c>
      <c r="F22" s="47">
        <v>1</v>
      </c>
      <c r="G22">
        <v>1640.4561714743631</v>
      </c>
      <c r="H22">
        <f t="shared" si="1"/>
        <v>68.381561632553485</v>
      </c>
    </row>
    <row r="23" spans="1:8">
      <c r="A23" t="s">
        <v>184</v>
      </c>
      <c r="B23" s="41">
        <v>12.8</v>
      </c>
      <c r="C23" s="112">
        <v>1634.6738235412215</v>
      </c>
      <c r="D23" s="113">
        <v>16</v>
      </c>
      <c r="E23" s="112">
        <v>1674.64695229064</v>
      </c>
      <c r="F23" s="47">
        <v>19.2</v>
      </c>
      <c r="G23">
        <v>1714.6200810400585</v>
      </c>
      <c r="H23">
        <f t="shared" si="1"/>
        <v>79.946257498836985</v>
      </c>
    </row>
    <row r="24" spans="1:8">
      <c r="A24" t="s">
        <v>183</v>
      </c>
      <c r="B24" s="41">
        <v>23.040000000000003</v>
      </c>
      <c r="C24" s="112">
        <v>1602.6953205416869</v>
      </c>
      <c r="D24" s="113">
        <v>28.8</v>
      </c>
      <c r="E24" s="112">
        <v>1674.64695229064</v>
      </c>
      <c r="F24" s="47">
        <v>34.56</v>
      </c>
      <c r="G24">
        <v>1746.5985840395933</v>
      </c>
      <c r="H24">
        <f t="shared" si="1"/>
        <v>143.90326349790644</v>
      </c>
    </row>
    <row r="25" spans="1:8">
      <c r="A25" t="s">
        <v>182</v>
      </c>
      <c r="B25" s="41">
        <v>34.56</v>
      </c>
      <c r="C25" s="112">
        <v>1566.71950466721</v>
      </c>
      <c r="D25" s="45">
        <v>43.2</v>
      </c>
      <c r="E25" s="112">
        <v>1674.64695229064</v>
      </c>
      <c r="F25" s="47">
        <v>51.84</v>
      </c>
      <c r="G25">
        <v>1782.5743999140698</v>
      </c>
      <c r="H25">
        <f t="shared" si="1"/>
        <v>215.85489524685977</v>
      </c>
    </row>
  </sheetData>
  <sortState xmlns:xlrd2="http://schemas.microsoft.com/office/spreadsheetml/2017/richdata2" ref="A17:H25">
    <sortCondition ref="H17"/>
  </sortState>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4:AF30"/>
  <sheetViews>
    <sheetView zoomScale="85" zoomScaleNormal="85" workbookViewId="0">
      <selection activeCell="K22" sqref="K22"/>
    </sheetView>
  </sheetViews>
  <sheetFormatPr defaultColWidth="9.140625" defaultRowHeight="15"/>
  <cols>
    <col min="1" max="1" width="9.5703125" style="50" bestFit="1" customWidth="1"/>
    <col min="2" max="5" width="32.140625" style="10" customWidth="1"/>
    <col min="6" max="6" width="18.7109375" style="10" customWidth="1"/>
    <col min="7" max="7" width="31.28515625" style="10" customWidth="1"/>
    <col min="8" max="8" width="9.140625" style="10"/>
    <col min="9" max="9" width="32" style="10" customWidth="1"/>
    <col min="10" max="10" width="27.140625" style="10" customWidth="1"/>
    <col min="11" max="11" width="18.42578125" style="10" customWidth="1"/>
    <col min="12" max="32" width="19.85546875" style="10" customWidth="1"/>
    <col min="33" max="33" width="22.140625" style="10" customWidth="1"/>
    <col min="34" max="16384" width="9.140625" style="10"/>
  </cols>
  <sheetData>
    <row r="4" spans="1:32">
      <c r="B4" s="121" t="s">
        <v>37</v>
      </c>
      <c r="C4" s="121"/>
      <c r="D4" s="121"/>
      <c r="E4" s="121"/>
      <c r="L4" s="122" t="s">
        <v>82</v>
      </c>
      <c r="M4" s="122"/>
      <c r="N4" s="122"/>
      <c r="O4" s="122"/>
      <c r="P4" s="122"/>
      <c r="Q4" s="122"/>
      <c r="R4" s="122"/>
      <c r="S4" s="122"/>
      <c r="T4" s="122"/>
      <c r="U4" s="122"/>
      <c r="V4" s="122"/>
      <c r="W4" s="122"/>
      <c r="X4" s="122"/>
      <c r="Y4" s="122"/>
      <c r="Z4" s="122"/>
      <c r="AA4" s="122"/>
      <c r="AB4" s="122"/>
      <c r="AC4" s="122"/>
      <c r="AD4" s="123" t="s">
        <v>83</v>
      </c>
      <c r="AE4" s="123"/>
      <c r="AF4" s="123"/>
    </row>
    <row r="5" spans="1:32" ht="15.75" thickBot="1">
      <c r="A5" s="96" t="s">
        <v>160</v>
      </c>
      <c r="B5" s="4"/>
      <c r="C5" s="4" t="s">
        <v>38</v>
      </c>
      <c r="D5" s="4" t="s">
        <v>39</v>
      </c>
      <c r="E5" s="4" t="s">
        <v>40</v>
      </c>
      <c r="G5" s="10" t="s">
        <v>151</v>
      </c>
      <c r="I5" s="30"/>
      <c r="J5" s="30" t="s">
        <v>59</v>
      </c>
      <c r="K5" s="30" t="s">
        <v>58</v>
      </c>
      <c r="L5" s="31" t="s">
        <v>61</v>
      </c>
      <c r="M5" s="31" t="s">
        <v>62</v>
      </c>
      <c r="N5" s="31" t="s">
        <v>63</v>
      </c>
      <c r="O5" s="31" t="s">
        <v>64</v>
      </c>
      <c r="P5" s="31" t="s">
        <v>65</v>
      </c>
      <c r="Q5" s="31" t="s">
        <v>66</v>
      </c>
      <c r="R5" s="31" t="s">
        <v>67</v>
      </c>
      <c r="S5" s="31" t="s">
        <v>68</v>
      </c>
      <c r="T5" s="31" t="s">
        <v>69</v>
      </c>
      <c r="U5" s="31" t="s">
        <v>70</v>
      </c>
      <c r="V5" s="31" t="s">
        <v>71</v>
      </c>
      <c r="W5" s="31" t="s">
        <v>72</v>
      </c>
      <c r="X5" s="31" t="s">
        <v>73</v>
      </c>
      <c r="Y5" s="31" t="s">
        <v>74</v>
      </c>
      <c r="Z5" s="31" t="s">
        <v>75</v>
      </c>
      <c r="AA5" s="31" t="s">
        <v>76</v>
      </c>
      <c r="AB5" s="31" t="s">
        <v>77</v>
      </c>
      <c r="AC5" s="31" t="s">
        <v>78</v>
      </c>
      <c r="AD5" s="32" t="s">
        <v>79</v>
      </c>
      <c r="AE5" s="32" t="s">
        <v>80</v>
      </c>
      <c r="AF5" s="32" t="s">
        <v>81</v>
      </c>
    </row>
    <row r="6" spans="1:32">
      <c r="B6" s="55" t="s">
        <v>159</v>
      </c>
      <c r="C6" s="56"/>
      <c r="D6" s="56"/>
      <c r="E6" s="56"/>
      <c r="F6" s="57"/>
      <c r="I6" s="11" t="s">
        <v>41</v>
      </c>
      <c r="J6" s="10">
        <f>F7*[2]production!$D$7</f>
        <v>0.28396800022717433</v>
      </c>
      <c r="K6" s="10">
        <f>$F$7*[2]production!M7</f>
        <v>4.9966410936773125</v>
      </c>
      <c r="L6" s="10">
        <f>$F$7*[2]production!N7</f>
        <v>3.2510800026008628E-4</v>
      </c>
      <c r="M6" s="10">
        <f>$F$7*[2]production!O7</f>
        <v>0.26799600021439673</v>
      </c>
      <c r="N6" s="10">
        <f>$F$7*[2]production!P7</f>
        <v>0.11836000009468796</v>
      </c>
      <c r="O6" s="10">
        <f>$F$7*[2]production!Q7</f>
        <v>1.0204000008163198E-3</v>
      </c>
      <c r="P6" s="10">
        <f>$F$7*[2]production!R7</f>
        <v>4.9796000039836787E-6</v>
      </c>
      <c r="Q6" s="10">
        <f>$F$7*[2]production!S7</f>
        <v>2.0874000016699195</v>
      </c>
      <c r="R6" s="10">
        <f>$F$7*[2]production!T7</f>
        <v>1.6892000013513596E-3</v>
      </c>
      <c r="S6" s="10">
        <f>$F$7*[2]production!U7</f>
        <v>0.62776000050220782</v>
      </c>
      <c r="T6" s="10">
        <f>$F$7*[2]production!V7</f>
        <v>2.4590000019671993E-4</v>
      </c>
      <c r="U6" s="10">
        <f>$F$7*[2]production!W7</f>
        <v>1.1996000009596797E-3</v>
      </c>
      <c r="V6" s="10">
        <f>$F$7*[2]production!X7</f>
        <v>4.4140000035311985E-5</v>
      </c>
      <c r="W6" s="10">
        <f>$F$7*[2]production!Y7</f>
        <v>2.3717600018974073E-8</v>
      </c>
      <c r="X6" s="10">
        <f>$F$7*[2]production!Z7</f>
        <v>2.9944800023955827E-4</v>
      </c>
      <c r="Y6" s="10">
        <f>$F$7*[2]production!AA7</f>
        <v>8.0544000064435169E-4</v>
      </c>
      <c r="Z6" s="10">
        <f>$F$7*[2]production!AB7</f>
        <v>1.1600000009279997E-3</v>
      </c>
      <c r="AA6" s="10">
        <f>$F$7*[2]production!AC7</f>
        <v>2.0761200016608954E-5</v>
      </c>
      <c r="AB6" s="10">
        <f>$F$7*[2]production!AD7</f>
        <v>1.2804400010243516E-4</v>
      </c>
      <c r="AC6" s="10">
        <f>$F$7*[2]production!AE7</f>
        <v>3.2074400025659507E-5</v>
      </c>
      <c r="AD6" s="10">
        <f>$F$7*[2]production!AF7</f>
        <v>7.8456000062764771E-3</v>
      </c>
      <c r="AE6" s="10">
        <f>$F$7*[2]production!AG7</f>
        <v>2.4192800019354234E-2</v>
      </c>
      <c r="AF6" s="10">
        <f>$F$7*[2]production!AH7</f>
        <v>1.4248400011398715E-2</v>
      </c>
    </row>
    <row r="7" spans="1:32" ht="15.75" thickBot="1">
      <c r="B7" s="58" t="s">
        <v>41</v>
      </c>
      <c r="C7" s="59">
        <f>120/100*10000</f>
        <v>12000</v>
      </c>
      <c r="D7" s="60">
        <f>20*60</f>
        <v>1200</v>
      </c>
      <c r="E7" s="61">
        <f>C7*D7/1000000*(1-'material inventory'!B2)</f>
        <v>1.4399999999999997</v>
      </c>
      <c r="F7" s="62">
        <f>E7*0.277777778</f>
        <v>0.40000000031999988</v>
      </c>
      <c r="I7" s="11" t="s">
        <v>137</v>
      </c>
      <c r="J7" s="10">
        <f>F9*[2]production!$D$7</f>
        <v>4.7574154393188799</v>
      </c>
      <c r="K7" s="10">
        <f>$F$9*[2]production!M7</f>
        <v>83.710479577905772</v>
      </c>
      <c r="L7" s="10">
        <f>$F$9*[2]production!N7</f>
        <v>5.4466482795458718E-3</v>
      </c>
      <c r="M7" s="10">
        <f>$F$9*[2]production!O7</f>
        <v>4.4898309248778112</v>
      </c>
      <c r="N7" s="10">
        <f>$F$9*[2]production!P7</f>
        <v>1.9829265670701719</v>
      </c>
      <c r="O7" s="10">
        <f>$F$9*[2]production!Q7</f>
        <v>1.7095118866495465E-2</v>
      </c>
      <c r="P7" s="10">
        <f>$F$9*[2]production!R7</f>
        <v>8.3424984229322642E-5</v>
      </c>
      <c r="Q7" s="10">
        <f>$F$9*[2]production!S7</f>
        <v>34.970943867035118</v>
      </c>
      <c r="R7" s="10">
        <f>$F$9*[2]production!T7</f>
        <v>2.8299759691575992E-2</v>
      </c>
      <c r="S7" s="10">
        <f>$F$9*[2]production!U7</f>
        <v>10.517083319905129</v>
      </c>
      <c r="T7" s="10">
        <f>$F$9*[2]production!V7</f>
        <v>4.1196488918769456E-3</v>
      </c>
      <c r="U7" s="10">
        <f>$F$9*[2]production!W7</f>
        <v>2.0097319278957235E-2</v>
      </c>
      <c r="V7" s="10">
        <f>$F$9*[2]production!X7</f>
        <v>7.3949289177490188E-4</v>
      </c>
      <c r="W7" s="10">
        <f>$F$9*[2]production!Y7</f>
        <v>3.9734926619756263E-7</v>
      </c>
      <c r="X7" s="10">
        <f>$F$9*[2]production!Z7</f>
        <v>5.0167573053060896E-3</v>
      </c>
      <c r="Y7" s="10">
        <f>$F$9*[2]production!AA7</f>
        <v>1.3493818639582622E-2</v>
      </c>
      <c r="Z7" s="10">
        <f>$F$9*[2]production!AB7</f>
        <v>1.9433886598524835E-2</v>
      </c>
      <c r="AA7" s="10">
        <f>$F$9*[2]production!AC7</f>
        <v>3.4781966073214985E-4</v>
      </c>
      <c r="AB7" s="10">
        <f>$F$9*[2]production!AD7</f>
        <v>2.1451660134668227E-3</v>
      </c>
      <c r="AC7" s="10">
        <f>$F$9*[2]production!AE7</f>
        <v>5.3735366578941803E-4</v>
      </c>
      <c r="AD7" s="10">
        <f>$F$9*[2]production!AF7</f>
        <v>0.13144008680809174</v>
      </c>
      <c r="AE7" s="10">
        <f>$F$9*[2]production!AG7</f>
        <v>0.40531045836275142</v>
      </c>
      <c r="AF7" s="10">
        <f>$F$9*[2]production!AH7</f>
        <v>0.23870843949174245</v>
      </c>
    </row>
    <row r="8" spans="1:32">
      <c r="B8" s="55" t="s">
        <v>43</v>
      </c>
      <c r="C8" s="56"/>
      <c r="D8" s="63"/>
      <c r="E8" s="64"/>
      <c r="F8" s="65"/>
      <c r="I8" s="11" t="s">
        <v>142</v>
      </c>
      <c r="J8" s="10">
        <f>F10*[2]production!$D$7</f>
        <v>30.668544024534835</v>
      </c>
      <c r="K8" s="10">
        <f>$F$10*[2]production!M7</f>
        <v>539.63723811714988</v>
      </c>
      <c r="L8" s="10">
        <f>$F$10*[2]production!N7</f>
        <v>3.511166402808933E-2</v>
      </c>
      <c r="M8" s="10">
        <f>$F$10*[2]production!O7</f>
        <v>28.943568023154853</v>
      </c>
      <c r="N8" s="10">
        <f>$F$10*[2]production!P7</f>
        <v>12.782880010226304</v>
      </c>
      <c r="O8" s="10">
        <f>$F$10*[2]production!Q7</f>
        <v>0.11020320008816255</v>
      </c>
      <c r="P8" s="10">
        <f>$F$10*[2]production!R7</f>
        <v>5.377968004302375E-4</v>
      </c>
      <c r="Q8" s="10">
        <f>$F$10*[2]production!S7</f>
        <v>225.43920018035135</v>
      </c>
      <c r="R8" s="10">
        <f>$F$10*[2]production!T7</f>
        <v>0.18243360014594689</v>
      </c>
      <c r="S8" s="10">
        <f>$F$10*[2]production!U7</f>
        <v>67.798080054238454</v>
      </c>
      <c r="T8" s="10">
        <f>$F$10*[2]production!V7</f>
        <v>2.6557200021245758E-2</v>
      </c>
      <c r="U8" s="10">
        <f>$F$10*[2]production!W7</f>
        <v>0.12955680010364543</v>
      </c>
      <c r="V8" s="10">
        <f>$F$10*[2]production!X7</f>
        <v>4.7671200038136956E-3</v>
      </c>
      <c r="W8" s="10">
        <f>$F$10*[2]production!Y7</f>
        <v>2.5615008020492004E-6</v>
      </c>
      <c r="X8" s="10">
        <f>$F$10*[2]production!Z7</f>
        <v>3.2340384025872304E-2</v>
      </c>
      <c r="Y8" s="10">
        <f>$F$10*[2]production!AA7</f>
        <v>8.6987520069590013E-2</v>
      </c>
      <c r="Z8" s="10">
        <f>$F$10*[2]production!AB7</f>
        <v>0.125280000100224</v>
      </c>
      <c r="AA8" s="10">
        <f>$F$10*[2]production!AC7</f>
        <v>2.2422096017937678E-3</v>
      </c>
      <c r="AB8" s="10">
        <f>$F$10*[2]production!AD7</f>
        <v>1.3828752011063003E-2</v>
      </c>
      <c r="AC8" s="10">
        <f>$F$10*[2]production!AE7</f>
        <v>3.4640352027712276E-3</v>
      </c>
      <c r="AD8" s="10">
        <f>$F$10*[2]production!AF7</f>
        <v>0.84732480067785976</v>
      </c>
      <c r="AE8" s="10">
        <f>$F$10*[2]production!AG7</f>
        <v>2.612822402090258</v>
      </c>
      <c r="AF8" s="10">
        <f>$F$10*[2]production!AH7</f>
        <v>1.5388272012310618</v>
      </c>
    </row>
    <row r="9" spans="1:32">
      <c r="B9" s="66" t="s">
        <v>49</v>
      </c>
      <c r="C9" s="67">
        <f>(300+370)*(10000*'material inventory'!C17/100)^2*((1000+4000)/2/9999)^2</f>
        <v>268053.60804107209</v>
      </c>
      <c r="D9" s="68">
        <v>90</v>
      </c>
      <c r="E9" s="69">
        <f>C9*D9/1000000*'material inventory'!B7</f>
        <v>24.124824723696488</v>
      </c>
      <c r="F9" s="70">
        <f t="shared" ref="F9:F22" si="0">E9*0.277777778</f>
        <v>6.701340206387874</v>
      </c>
      <c r="G9" s="10" t="s">
        <v>148</v>
      </c>
      <c r="I9" s="11" t="s">
        <v>164</v>
      </c>
      <c r="J9" s="10">
        <f>$F12*[4]production!D$7</f>
        <v>3.7270800029816638</v>
      </c>
      <c r="K9" s="10">
        <f>$F12*[4]production!M$7</f>
        <v>65.580914354514732</v>
      </c>
      <c r="L9" s="10">
        <f>$F12*[4]production!N$7</f>
        <v>4.2670425034136332E-3</v>
      </c>
      <c r="M9" s="10">
        <f>$F12*[4]production!O$7</f>
        <v>3.5174475028139573</v>
      </c>
      <c r="N9" s="10">
        <f>$F12*[4]production!P$7</f>
        <v>1.5534750012427798</v>
      </c>
      <c r="O9" s="10">
        <f>$F12*[4]production!Q$7</f>
        <v>1.3392750010714199E-2</v>
      </c>
      <c r="P9" s="10">
        <f>$F12*[4]production!R$7</f>
        <v>6.5357250052285794E-5</v>
      </c>
      <c r="Q9" s="10">
        <f>$F12*[4]production!S$7</f>
        <v>27.397125021917695</v>
      </c>
      <c r="R9" s="10">
        <f>$F12*[4]production!T$7</f>
        <v>2.21707500177366E-2</v>
      </c>
      <c r="S9" s="10">
        <f>$F12*[4]production!U$7</f>
        <v>8.2393500065914793</v>
      </c>
      <c r="T9" s="10">
        <f>$F12*[4]production!V$7</f>
        <v>3.2274375025819492E-3</v>
      </c>
      <c r="U9" s="10">
        <f>$F12*[4]production!W$7</f>
        <v>1.5744750012595798E-2</v>
      </c>
      <c r="V9" s="10">
        <f>$F12*[4]production!X$7</f>
        <v>5.793375004634699E-4</v>
      </c>
      <c r="W9" s="10">
        <f>$F12*[4]production!Y$7</f>
        <v>3.112935002490348E-7</v>
      </c>
      <c r="X9" s="10">
        <f>$F12*[4]production!Z$7</f>
        <v>3.9302550031442033E-3</v>
      </c>
      <c r="Y9" s="10">
        <f>$F12*[4]production!AA$7</f>
        <v>1.0571400008457119E-2</v>
      </c>
      <c r="Z9" s="10">
        <f>$F12*[4]production!AB$7</f>
        <v>1.5225000012179997E-2</v>
      </c>
      <c r="AA9" s="10">
        <f>$F12*[4]production!AC$7</f>
        <v>2.7249075021799256E-4</v>
      </c>
      <c r="AB9" s="10">
        <f>$F12*[4]production!AD$7</f>
        <v>1.680577501344462E-3</v>
      </c>
      <c r="AC9" s="10">
        <f>$F12*[4]production!AE$7</f>
        <v>4.2097650033678111E-4</v>
      </c>
      <c r="AD9" s="10">
        <f>$F12*[4]production!AF$7</f>
        <v>0.10297350008237878</v>
      </c>
      <c r="AE9" s="10">
        <f>$F12*[4]production!AG$7</f>
        <v>0.31753050025402435</v>
      </c>
      <c r="AF9" s="10">
        <f>$F12*[4]production!AH$7</f>
        <v>0.18701025014960818</v>
      </c>
    </row>
    <row r="10" spans="1:32" ht="15.75" thickBot="1">
      <c r="A10" s="50">
        <v>300</v>
      </c>
      <c r="B10" s="71" t="s">
        <v>53</v>
      </c>
      <c r="C10" s="72">
        <f>630/350*A10/100*10000*'material inventory'!C17</f>
        <v>43200</v>
      </c>
      <c r="D10" s="73">
        <f>60*60</f>
        <v>3600</v>
      </c>
      <c r="E10" s="74">
        <f>C10*D10/1000000*'material inventory'!B3</f>
        <v>155.52000000000001</v>
      </c>
      <c r="F10" s="75">
        <f t="shared" si="0"/>
        <v>43.200000034559999</v>
      </c>
      <c r="I10" s="11" t="s">
        <v>138</v>
      </c>
      <c r="J10" s="10">
        <f>F13*[2]production!$D$7</f>
        <v>8.4576274476780081E-2</v>
      </c>
      <c r="K10" s="10">
        <f>$F$13*[2]production!M7</f>
        <v>1.4881863036072136</v>
      </c>
      <c r="L10" s="10">
        <f>$F$13*[2]production!N7</f>
        <v>9.6829302747482171E-5</v>
      </c>
      <c r="M10" s="10">
        <f>$F$13*[2]production!O7</f>
        <v>7.9819216442272203E-2</v>
      </c>
      <c r="N10" s="10">
        <f>$F$13*[2]production!P7</f>
        <v>3.525202785902528E-2</v>
      </c>
      <c r="O10" s="10">
        <f>$F$13*[2]production!Q7</f>
        <v>3.039132242932527E-4</v>
      </c>
      <c r="P10" s="10">
        <f>$F$13*[2]production!R7</f>
        <v>1.4831108307435136E-6</v>
      </c>
      <c r="Q10" s="10">
        <f>$F$13*[2]production!S7</f>
        <v>0.62170566874729094</v>
      </c>
      <c r="R10" s="10">
        <f>$F$13*[2]production!T7</f>
        <v>5.0310683896135093E-4</v>
      </c>
      <c r="S10" s="10">
        <f>$F$13*[2]production!U7</f>
        <v>0.18697037013164672</v>
      </c>
      <c r="T10" s="10">
        <f>$F$13*[2]production!V7</f>
        <v>7.3238202522256797E-5</v>
      </c>
      <c r="U10" s="10">
        <f>$F$13*[2]production!W7</f>
        <v>3.5728567607035079E-4</v>
      </c>
      <c r="V10" s="10">
        <f>$F$13*[2]production!X7</f>
        <v>1.3146540298220478E-5</v>
      </c>
      <c r="W10" s="10">
        <f>$F$13*[2]production!Y7</f>
        <v>7.0639869546233354E-9</v>
      </c>
      <c r="X10" s="10">
        <f>$F$13*[2]production!Z7</f>
        <v>8.9186796538774931E-5</v>
      </c>
      <c r="Y10" s="10">
        <f>$F$13*[2]production!AA7</f>
        <v>2.398901091481355E-4</v>
      </c>
      <c r="Z10" s="10">
        <f>$F$13*[2]production!AB7</f>
        <v>3.4549131730710812E-4</v>
      </c>
      <c r="AA10" s="10">
        <f>$F$13*[2]production!AC7</f>
        <v>6.1834606352382193E-6</v>
      </c>
      <c r="AB10" s="10">
        <f>$F$13*[2]production!AD7</f>
        <v>3.8136284683854624E-5</v>
      </c>
      <c r="AC10" s="10">
        <f>$F$13*[2]production!AE7</f>
        <v>9.5529540584785421E-6</v>
      </c>
      <c r="AD10" s="10">
        <f>$F$13*[2]production!AF7</f>
        <v>2.3367126543660756E-3</v>
      </c>
      <c r="AE10" s="10">
        <f>$F$13*[2]production!AG7</f>
        <v>7.2055192597822474E-3</v>
      </c>
      <c r="AF10" s="10">
        <f>$F$13*[2]production!AH7</f>
        <v>4.24370559096431E-3</v>
      </c>
    </row>
    <row r="11" spans="1:32">
      <c r="B11" s="55" t="s">
        <v>13</v>
      </c>
      <c r="C11" s="56"/>
      <c r="D11" s="63"/>
      <c r="E11" s="64"/>
      <c r="F11" s="65"/>
      <c r="I11" s="11" t="s">
        <v>141</v>
      </c>
      <c r="J11" s="10">
        <f>F14*[2]production!$D$7</f>
        <v>1.1926656009541325</v>
      </c>
      <c r="K11" s="10">
        <f>$F$14*[2]production!M7</f>
        <v>20.985892593444717</v>
      </c>
      <c r="L11" s="10">
        <f>$F$14*[2]production!N7</f>
        <v>1.3654536010923629E-3</v>
      </c>
      <c r="M11" s="10">
        <f>$F$14*[2]production!O7</f>
        <v>1.1255832009004665</v>
      </c>
      <c r="N11" s="10">
        <f>$F$14*[2]production!P7</f>
        <v>0.4971120003976896</v>
      </c>
      <c r="O11" s="10">
        <f>$F$14*[2]production!Q7</f>
        <v>4.285680003428544E-3</v>
      </c>
      <c r="P11" s="10">
        <f>$F$14*[2]production!R7</f>
        <v>2.0914320016731457E-5</v>
      </c>
      <c r="Q11" s="10">
        <f>$F$14*[2]production!S7</f>
        <v>8.7670800070136625</v>
      </c>
      <c r="R11" s="10">
        <f>$F$14*[2]production!T7</f>
        <v>7.0946400056757118E-3</v>
      </c>
      <c r="S11" s="10">
        <f>$F$14*[2]production!U7</f>
        <v>2.6365920021092735</v>
      </c>
      <c r="T11" s="10">
        <f>$F$14*[2]production!V7</f>
        <v>1.0327800008262239E-3</v>
      </c>
      <c r="U11" s="10">
        <f>$F$14*[2]production!W7</f>
        <v>5.0383200040306558E-3</v>
      </c>
      <c r="V11" s="10">
        <f>$F$14*[2]production!X7</f>
        <v>1.8538800014831038E-4</v>
      </c>
      <c r="W11" s="10">
        <f>$F$14*[2]production!Y7</f>
        <v>9.9613920079691132E-8</v>
      </c>
      <c r="X11" s="10">
        <f>$F$14*[2]production!Z7</f>
        <v>1.2576816010061451E-3</v>
      </c>
      <c r="Y11" s="10">
        <f>$F$14*[2]production!AA7</f>
        <v>3.3828480027062783E-3</v>
      </c>
      <c r="Z11" s="10">
        <f>$F$14*[2]production!AB7</f>
        <v>4.8720000038975997E-3</v>
      </c>
      <c r="AA11" s="10">
        <f>$F$14*[2]production!AC7</f>
        <v>8.7197040069757637E-5</v>
      </c>
      <c r="AB11" s="10">
        <f>$F$14*[2]production!AD7</f>
        <v>5.3778480043022788E-4</v>
      </c>
      <c r="AC11" s="10">
        <f>$F$14*[2]production!AE7</f>
        <v>1.3471248010776997E-4</v>
      </c>
      <c r="AD11" s="10">
        <f>$F$14*[2]production!AF7</f>
        <v>3.2951520026361217E-2</v>
      </c>
      <c r="AE11" s="10">
        <f>$F$14*[2]production!AG7</f>
        <v>0.1016097600812878</v>
      </c>
      <c r="AF11" s="10">
        <f>$F$14*[2]production!AH7</f>
        <v>5.984328004787462E-2</v>
      </c>
    </row>
    <row r="12" spans="1:32">
      <c r="B12" s="76" t="s">
        <v>154</v>
      </c>
      <c r="C12" s="77">
        <f>300*100</f>
        <v>30000</v>
      </c>
      <c r="D12" s="78">
        <f>D13+D14+D15</f>
        <v>630</v>
      </c>
      <c r="E12" s="79">
        <f>C12*D12/1000000</f>
        <v>18.899999999999999</v>
      </c>
      <c r="F12" s="80">
        <f t="shared" si="0"/>
        <v>5.2500000041999995</v>
      </c>
      <c r="I12" s="11" t="s">
        <v>139</v>
      </c>
      <c r="J12" s="10">
        <f>F15*[2]production!$D$7</f>
        <v>4.2288137238390036</v>
      </c>
      <c r="K12" s="10">
        <f>$F$15*[2]production!M7</f>
        <v>74.409315180360679</v>
      </c>
      <c r="L12" s="10">
        <f>$F$15*[2]production!N7</f>
        <v>4.8414651373741083E-3</v>
      </c>
      <c r="M12" s="10">
        <f>$F$15*[2]production!O7</f>
        <v>3.9909608221136099</v>
      </c>
      <c r="N12" s="10">
        <f>$F$15*[2]production!P7</f>
        <v>1.7626013929512638</v>
      </c>
      <c r="O12" s="10">
        <f>$F$15*[2]production!Q7</f>
        <v>1.5195661214662636E-2</v>
      </c>
      <c r="P12" s="10">
        <f>$F$15*[2]production!R7</f>
        <v>7.4155541537175682E-5</v>
      </c>
      <c r="Q12" s="10">
        <f>$F$15*[2]production!S7</f>
        <v>31.085283437364549</v>
      </c>
      <c r="R12" s="10">
        <f>$F$15*[2]production!T7</f>
        <v>2.5155341948067549E-2</v>
      </c>
      <c r="S12" s="10">
        <f>$F$15*[2]production!U7</f>
        <v>9.3485185065823355</v>
      </c>
      <c r="T12" s="10">
        <f>$F$15*[2]production!V7</f>
        <v>3.6619101261128402E-3</v>
      </c>
      <c r="U12" s="10">
        <f>$F$15*[2]production!W7</f>
        <v>1.7864283803517539E-2</v>
      </c>
      <c r="V12" s="10">
        <f>$F$15*[2]production!X7</f>
        <v>6.5732701491102389E-4</v>
      </c>
      <c r="W12" s="10">
        <f>$F$15*[2]production!Y7</f>
        <v>3.5319934773116675E-7</v>
      </c>
      <c r="X12" s="10">
        <f>$F$15*[2]production!Z7</f>
        <v>4.4593398269387463E-3</v>
      </c>
      <c r="Y12" s="10">
        <f>$F$15*[2]production!AA7</f>
        <v>1.1994505457406775E-2</v>
      </c>
      <c r="Z12" s="10">
        <f>$F$15*[2]production!AB7</f>
        <v>1.7274565865355408E-2</v>
      </c>
      <c r="AA12" s="10">
        <f>$F$15*[2]production!AC7</f>
        <v>3.0917303176191096E-4</v>
      </c>
      <c r="AB12" s="10">
        <f>$F$15*[2]production!AD7</f>
        <v>1.9068142341927311E-3</v>
      </c>
      <c r="AC12" s="10">
        <f>$F$15*[2]production!AE7</f>
        <v>4.7764770292392712E-4</v>
      </c>
      <c r="AD12" s="10">
        <f>$F$15*[2]production!AF7</f>
        <v>0.11683563271830379</v>
      </c>
      <c r="AE12" s="10">
        <f>$F$15*[2]production!AG7</f>
        <v>0.36027596298911235</v>
      </c>
      <c r="AF12" s="10">
        <f>$F$15*[2]production!AH7</f>
        <v>0.21218527954821551</v>
      </c>
    </row>
    <row r="13" spans="1:32">
      <c r="B13" s="66" t="s">
        <v>51</v>
      </c>
      <c r="C13" s="67">
        <f>(300+370)*(10000*'material inventory'!C21/100)^2*(1000/9999)^2</f>
        <v>42888.577286571533</v>
      </c>
      <c r="D13" s="68">
        <v>10</v>
      </c>
      <c r="E13" s="69">
        <f>C13*D13/1000000</f>
        <v>0.42888577286571533</v>
      </c>
      <c r="F13" s="70">
        <f t="shared" si="0"/>
        <v>0.11913493700245109</v>
      </c>
      <c r="G13" s="10" t="s">
        <v>149</v>
      </c>
      <c r="I13" s="11" t="s">
        <v>140</v>
      </c>
      <c r="J13" s="10">
        <f>F16*[2]production!$D$7</f>
        <v>20.445696016356557</v>
      </c>
      <c r="K13" s="10">
        <f>$F$16*[2]production!M7</f>
        <v>359.75815874476655</v>
      </c>
      <c r="L13" s="10">
        <f>$F$16*[2]production!N7</f>
        <v>2.340777601872622E-2</v>
      </c>
      <c r="M13" s="10">
        <f>$F$16*[2]production!O7</f>
        <v>19.295712015436568</v>
      </c>
      <c r="N13" s="10">
        <f>$F$16*[2]production!P7</f>
        <v>8.5219200068175365</v>
      </c>
      <c r="O13" s="10">
        <f>$F$16*[2]production!Q7</f>
        <v>7.3468800058775041E-2</v>
      </c>
      <c r="P13" s="10">
        <f>$F$16*[2]production!R7</f>
        <v>3.5853120028682498E-4</v>
      </c>
      <c r="Q13" s="10">
        <f>$F$16*[2]production!S7</f>
        <v>150.29280012023423</v>
      </c>
      <c r="R13" s="10">
        <f>$F$16*[2]production!T7</f>
        <v>0.12162240009729793</v>
      </c>
      <c r="S13" s="10">
        <f>$F$16*[2]production!U7</f>
        <v>45.198720036158974</v>
      </c>
      <c r="T13" s="10">
        <f>$F$16*[2]production!V7</f>
        <v>1.7704800014163836E-2</v>
      </c>
      <c r="U13" s="10">
        <f>$F$16*[2]production!W7</f>
        <v>8.6371200069096959E-2</v>
      </c>
      <c r="V13" s="10">
        <f>$F$16*[2]production!X7</f>
        <v>3.1780800025424639E-3</v>
      </c>
      <c r="W13" s="10">
        <f>$F$16*[2]production!Y7</f>
        <v>1.7076672013661337E-6</v>
      </c>
      <c r="X13" s="10">
        <f>$F$16*[2]production!Z7</f>
        <v>2.1560256017248203E-2</v>
      </c>
      <c r="Y13" s="10">
        <f>$F$16*[2]production!AA7</f>
        <v>5.7991680046393337E-2</v>
      </c>
      <c r="Z13" s="10">
        <f>$F$16*[2]production!AB7</f>
        <v>8.3520000066815994E-2</v>
      </c>
      <c r="AA13" s="10">
        <f>$F$16*[2]production!AC7</f>
        <v>1.494806401195845E-3</v>
      </c>
      <c r="AB13" s="10">
        <f>$F$16*[2]production!AD7</f>
        <v>9.2191680073753345E-3</v>
      </c>
      <c r="AC13" s="10">
        <f>$F$16*[2]production!AE7</f>
        <v>2.3093568018474854E-3</v>
      </c>
      <c r="AD13" s="10">
        <f>$F$16*[2]production!AF7</f>
        <v>0.56488320045190654</v>
      </c>
      <c r="AE13" s="10">
        <f>$F$16*[2]production!AG7</f>
        <v>1.7418816013935052</v>
      </c>
      <c r="AF13" s="10">
        <f>$F$16*[2]production!AH7</f>
        <v>1.0258848008207078</v>
      </c>
    </row>
    <row r="14" spans="1:32">
      <c r="A14" s="50">
        <v>70</v>
      </c>
      <c r="B14" s="81" t="s">
        <v>42</v>
      </c>
      <c r="C14" s="82">
        <f>630/350*A14/100*10000*'material inventory'!C21</f>
        <v>10080</v>
      </c>
      <c r="D14" s="83">
        <v>600</v>
      </c>
      <c r="E14" s="84">
        <f>C14*D14/1000000</f>
        <v>6.048</v>
      </c>
      <c r="F14" s="85">
        <f t="shared" si="0"/>
        <v>1.680000001344</v>
      </c>
      <c r="I14" s="11" t="s">
        <v>143</v>
      </c>
      <c r="J14" s="10">
        <f>F18*[2]production!$D$7</f>
        <v>4.7574154393188799</v>
      </c>
      <c r="K14" s="10">
        <f>$F$18*[2]production!M7</f>
        <v>83.710479577905772</v>
      </c>
      <c r="L14" s="10">
        <f>$F$18*[2]production!N7</f>
        <v>5.4466482795458718E-3</v>
      </c>
      <c r="M14" s="10">
        <f>$F$18*[2]production!O7</f>
        <v>4.4898309248778112</v>
      </c>
      <c r="N14" s="10">
        <f>$F$18*[2]production!P7</f>
        <v>1.9829265670701719</v>
      </c>
      <c r="O14" s="10">
        <f>$F$18*[2]production!Q7</f>
        <v>1.7095118866495465E-2</v>
      </c>
      <c r="P14" s="10">
        <f>$F$18*[2]production!R7</f>
        <v>8.3424984229322642E-5</v>
      </c>
      <c r="Q14" s="10">
        <f>$F$18*[2]production!S7</f>
        <v>34.970943867035118</v>
      </c>
      <c r="R14" s="10">
        <f>$F$18*[2]production!T7</f>
        <v>2.8299759691575992E-2</v>
      </c>
      <c r="S14" s="10">
        <f>$F$18*[2]production!U7</f>
        <v>10.517083319905129</v>
      </c>
      <c r="T14" s="10">
        <f>$F$18*[2]production!V7</f>
        <v>4.1196488918769456E-3</v>
      </c>
      <c r="U14" s="10">
        <f>$F$18*[2]production!W7</f>
        <v>2.0097319278957235E-2</v>
      </c>
      <c r="V14" s="10">
        <f>$F$18*[2]production!X7</f>
        <v>7.3949289177490188E-4</v>
      </c>
      <c r="W14" s="10">
        <f>$F$18*[2]production!Y7</f>
        <v>3.9734926619756263E-7</v>
      </c>
      <c r="X14" s="10">
        <f>$F$18*[2]production!Z7</f>
        <v>5.0167573053060896E-3</v>
      </c>
      <c r="Y14" s="10">
        <f>$F$18*[2]production!AA7</f>
        <v>1.3493818639582622E-2</v>
      </c>
      <c r="Z14" s="10">
        <f>$F$18*[2]production!AB7</f>
        <v>1.9433886598524835E-2</v>
      </c>
      <c r="AA14" s="10">
        <f>$F$18*[2]production!AC7</f>
        <v>3.4781966073214985E-4</v>
      </c>
      <c r="AB14" s="10">
        <f>$F$18*[2]production!AD7</f>
        <v>2.1451660134668227E-3</v>
      </c>
      <c r="AC14" s="10">
        <f>$F$18*[2]production!AE7</f>
        <v>5.3735366578941803E-4</v>
      </c>
      <c r="AD14" s="10">
        <f>$F$18*[2]production!AF7</f>
        <v>0.13144008680809174</v>
      </c>
      <c r="AE14" s="10">
        <f>$F$18*[2]production!AG7</f>
        <v>0.40531045836275142</v>
      </c>
      <c r="AF14" s="10">
        <f>$F$18*[2]production!AH7</f>
        <v>0.23870843949174245</v>
      </c>
    </row>
    <row r="15" spans="1:32">
      <c r="B15" s="66" t="s">
        <v>52</v>
      </c>
      <c r="C15" s="67">
        <f>(300+370)*(10000*'material inventory'!C23/100)^2*(5000/9999)^2</f>
        <v>1072214.4321642884</v>
      </c>
      <c r="D15" s="68">
        <v>20</v>
      </c>
      <c r="E15" s="69">
        <f>C15*D15/1000000</f>
        <v>21.444288643285766</v>
      </c>
      <c r="F15" s="70">
        <f t="shared" si="0"/>
        <v>5.9567468501225544</v>
      </c>
      <c r="G15" s="10" t="s">
        <v>150</v>
      </c>
      <c r="I15" s="11" t="str">
        <f>B20</f>
        <v>Vacuum pump</v>
      </c>
      <c r="J15" s="10">
        <f>$F20*[4]production!D$7</f>
        <v>6.5312640052250099</v>
      </c>
      <c r="K15" s="10">
        <f>$F20*[4]production!M$7</f>
        <v>114.92274515457818</v>
      </c>
      <c r="L15" s="10">
        <f>$F20*[4]production!N$7</f>
        <v>7.4774840059819853E-3</v>
      </c>
      <c r="M15" s="10">
        <f>$F20*[4]production!O$7</f>
        <v>6.163908004931125</v>
      </c>
      <c r="N15" s="10">
        <f>$F20*[4]production!P$7</f>
        <v>2.7222800021778233</v>
      </c>
      <c r="O15" s="10">
        <f>$F20*[4]production!Q$7</f>
        <v>2.3469200018775355E-2</v>
      </c>
      <c r="P15" s="10">
        <f>$F20*[4]production!R$7</f>
        <v>1.1453080009162462E-4</v>
      </c>
      <c r="Q15" s="10">
        <f>$F20*[4]production!S$7</f>
        <v>48.010200038408151</v>
      </c>
      <c r="R15" s="10">
        <f>$F20*[4]production!T$7</f>
        <v>3.8851600031081276E-2</v>
      </c>
      <c r="S15" s="10">
        <f>$F20*[4]production!U$7</f>
        <v>14.43848001155078</v>
      </c>
      <c r="T15" s="10">
        <f>$F20*[4]production!V$7</f>
        <v>5.6557000045245583E-3</v>
      </c>
      <c r="U15" s="10">
        <f>$F20*[4]production!W$7</f>
        <v>2.7590800022072634E-2</v>
      </c>
      <c r="V15" s="10">
        <f>$F20*[4]production!X$7</f>
        <v>1.0152200008121757E-3</v>
      </c>
      <c r="W15" s="10">
        <f>$F20*[4]production!Y$7</f>
        <v>5.4550480043640371E-7</v>
      </c>
      <c r="X15" s="10">
        <f>$F20*[4]production!Z$7</f>
        <v>6.8873040055098412E-3</v>
      </c>
      <c r="Y15" s="10">
        <f>$F20*[4]production!AA$7</f>
        <v>1.8525120014820092E-2</v>
      </c>
      <c r="Z15" s="10">
        <f>$F20*[4]production!AB$7</f>
        <v>2.6680000021343991E-2</v>
      </c>
      <c r="AA15" s="10">
        <f>$F20*[4]production!AC$7</f>
        <v>4.77507600382006E-4</v>
      </c>
      <c r="AB15" s="10">
        <f>$F20*[4]production!AD$7</f>
        <v>2.9450120023560094E-3</v>
      </c>
      <c r="AC15" s="10">
        <f>$F20*[4]production!AE$7</f>
        <v>7.3771120059016877E-4</v>
      </c>
      <c r="AD15" s="10">
        <f>$F20*[4]production!AF$7</f>
        <v>0.18044880014435899</v>
      </c>
      <c r="AE15" s="10">
        <f>$F20*[4]production!AG$7</f>
        <v>0.55643440044514747</v>
      </c>
      <c r="AF15" s="10">
        <f>$F20*[4]production!AH$7</f>
        <v>0.32771320026217049</v>
      </c>
    </row>
    <row r="16" spans="1:32" ht="15.75" thickBot="1">
      <c r="A16" s="50">
        <v>100</v>
      </c>
      <c r="B16" s="86" t="s">
        <v>54</v>
      </c>
      <c r="C16" s="87">
        <f>630/350*A16/100*10000*'material inventory'!C23</f>
        <v>14400</v>
      </c>
      <c r="D16" s="88">
        <f>2*60*60</f>
        <v>7200</v>
      </c>
      <c r="E16" s="89">
        <f>C16*D16/1000000*'material inventory'!B4</f>
        <v>103.68</v>
      </c>
      <c r="F16" s="90">
        <f t="shared" si="0"/>
        <v>28.800000023039999</v>
      </c>
      <c r="I16" s="11" t="str">
        <f>B21</f>
        <v>Evaporation</v>
      </c>
      <c r="J16" s="10">
        <f>$F21*[4]production!D$7</f>
        <v>3.7862400030289916</v>
      </c>
      <c r="K16" s="10">
        <f>$F21*[4]production!M$7</f>
        <v>66.621881249030835</v>
      </c>
      <c r="L16" s="10">
        <f>$F21*[4]production!N$7</f>
        <v>4.3347733368011513E-3</v>
      </c>
      <c r="M16" s="10">
        <f>$F21*[4]production!O$7</f>
        <v>3.5732800028586231</v>
      </c>
      <c r="N16" s="10">
        <f>$F21*[4]production!P$7</f>
        <v>1.5781333345958397</v>
      </c>
      <c r="O16" s="10">
        <f>$F21*[4]production!Q$7</f>
        <v>1.3605333344217598E-2</v>
      </c>
      <c r="P16" s="10">
        <f>$F21*[4]production!R$7</f>
        <v>6.6394666719782398E-5</v>
      </c>
      <c r="Q16" s="10">
        <f>$F21*[4]production!S$7</f>
        <v>27.832000022265593</v>
      </c>
      <c r="R16" s="10">
        <f>$F21*[4]production!T$7</f>
        <v>2.2522666684684799E-2</v>
      </c>
      <c r="S16" s="10">
        <f>$F21*[4]production!U$7</f>
        <v>8.3701333400294384</v>
      </c>
      <c r="T16" s="10">
        <f>$F21*[4]production!V$7</f>
        <v>3.2786666692895994E-3</v>
      </c>
      <c r="U16" s="10">
        <f>$F21*[4]production!W$7</f>
        <v>1.5994666679462397E-2</v>
      </c>
      <c r="V16" s="10">
        <f>$F21*[4]production!X$7</f>
        <v>5.885333338041599E-4</v>
      </c>
      <c r="W16" s="10">
        <f>$F21*[4]production!Y$7</f>
        <v>3.1623466691965438E-7</v>
      </c>
      <c r="X16" s="10">
        <f>$F21*[4]production!Z$7</f>
        <v>3.9926400031941112E-3</v>
      </c>
      <c r="Y16" s="10">
        <f>$F21*[4]production!AA$7</f>
        <v>1.0739200008591358E-2</v>
      </c>
      <c r="Z16" s="10">
        <f>$F21*[4]production!AB$7</f>
        <v>1.5466666679039997E-2</v>
      </c>
      <c r="AA16" s="10">
        <f>$F21*[4]production!AC$7</f>
        <v>2.7681600022145278E-4</v>
      </c>
      <c r="AB16" s="10">
        <f>$F21*[4]production!AD$7</f>
        <v>1.707253334699136E-3</v>
      </c>
      <c r="AC16" s="10">
        <f>$F21*[4]production!AE$7</f>
        <v>4.276586670087935E-4</v>
      </c>
      <c r="AD16" s="10">
        <f>$F21*[4]production!AF$7</f>
        <v>0.10460800008368638</v>
      </c>
      <c r="AE16" s="10">
        <f>$F21*[4]production!AG$7</f>
        <v>0.32257066692472314</v>
      </c>
      <c r="AF16" s="10">
        <f>$F21*[4]production!AH$7</f>
        <v>0.18997866681864958</v>
      </c>
    </row>
    <row r="17" spans="2:32">
      <c r="B17" s="55" t="s">
        <v>12</v>
      </c>
      <c r="C17" s="56"/>
      <c r="D17" s="63"/>
      <c r="E17" s="64"/>
      <c r="F17" s="65"/>
      <c r="I17" s="11" t="str">
        <f>B22</f>
        <v>Cooling</v>
      </c>
      <c r="J17" s="10">
        <f>$F22*[4]production!D$7</f>
        <v>11.358720009086975</v>
      </c>
      <c r="K17" s="10">
        <f>$F22*[4]production!M$7</f>
        <v>199.86564374709252</v>
      </c>
      <c r="L17" s="10">
        <f>$F22*[4]production!N$7</f>
        <v>1.3004320010403454E-2</v>
      </c>
      <c r="M17" s="10">
        <f>$F22*[4]production!O$7</f>
        <v>10.71984000857587</v>
      </c>
      <c r="N17" s="10">
        <f>$F22*[4]production!P$7</f>
        <v>4.7344000037875196</v>
      </c>
      <c r="O17" s="10">
        <f>$F22*[4]production!Q$7</f>
        <v>4.0816000032652788E-2</v>
      </c>
      <c r="P17" s="10">
        <f>$F22*[4]production!R$7</f>
        <v>1.9918400015934718E-4</v>
      </c>
      <c r="Q17" s="10">
        <f>$F22*[4]production!S$7</f>
        <v>83.496000066796782</v>
      </c>
      <c r="R17" s="10">
        <f>$F22*[4]production!T$7</f>
        <v>6.7568000054054389E-2</v>
      </c>
      <c r="S17" s="10">
        <f>$F22*[4]production!U$7</f>
        <v>25.110400020088314</v>
      </c>
      <c r="T17" s="10">
        <f>$F22*[4]production!V$7</f>
        <v>9.8360000078687969E-3</v>
      </c>
      <c r="U17" s="10">
        <f>$F22*[4]production!W$7</f>
        <v>4.7984000038387188E-2</v>
      </c>
      <c r="V17" s="10">
        <f>$F22*[4]production!X$7</f>
        <v>1.7656000014124797E-3</v>
      </c>
      <c r="W17" s="10">
        <f>$F22*[4]production!Y$7</f>
        <v>9.4870400075896304E-7</v>
      </c>
      <c r="X17" s="10">
        <f>$F22*[4]production!Z$7</f>
        <v>1.1977920009582334E-2</v>
      </c>
      <c r="Y17" s="10">
        <f>$F22*[4]production!AA$7</f>
        <v>3.2217600025774076E-2</v>
      </c>
      <c r="Z17" s="10">
        <f>$F22*[4]production!AB$7</f>
        <v>4.6400000037119991E-2</v>
      </c>
      <c r="AA17" s="10">
        <f>$F22*[4]production!AC$7</f>
        <v>8.3044800066435823E-4</v>
      </c>
      <c r="AB17" s="10">
        <f>$F22*[4]production!AD$7</f>
        <v>5.1217600040974077E-3</v>
      </c>
      <c r="AC17" s="10">
        <f>$F22*[4]production!AE$7</f>
        <v>1.2829760010263805E-3</v>
      </c>
      <c r="AD17" s="10">
        <f>$F22*[4]production!AF$7</f>
        <v>0.31382400025105917</v>
      </c>
      <c r="AE17" s="10">
        <f>$F22*[4]production!AG$7</f>
        <v>0.96771200077416941</v>
      </c>
      <c r="AF17" s="10">
        <f>$F22*[4]production!AH$7</f>
        <v>0.56993600045594872</v>
      </c>
    </row>
    <row r="18" spans="2:32" ht="15.75" thickBot="1">
      <c r="B18" s="71" t="s">
        <v>50</v>
      </c>
      <c r="C18" s="72">
        <f>C9</f>
        <v>268053.60804107209</v>
      </c>
      <c r="D18" s="73">
        <f>D9</f>
        <v>90</v>
      </c>
      <c r="E18" s="74">
        <f>C18*D18/1000000*'material inventory'!B8</f>
        <v>24.124824723696488</v>
      </c>
      <c r="F18" s="75">
        <f t="shared" si="0"/>
        <v>6.701340206387874</v>
      </c>
      <c r="G18" s="10" t="s">
        <v>152</v>
      </c>
    </row>
    <row r="19" spans="2:32">
      <c r="B19" s="91" t="s">
        <v>44</v>
      </c>
      <c r="C19" s="56"/>
      <c r="D19" s="56"/>
      <c r="E19" s="64"/>
      <c r="F19" s="65"/>
      <c r="I19" s="12"/>
    </row>
    <row r="20" spans="2:32">
      <c r="B20" s="92" t="s">
        <v>157</v>
      </c>
      <c r="C20" s="77">
        <f>575/156.25*10000</f>
        <v>36800</v>
      </c>
      <c r="D20" s="93">
        <f>15*60</f>
        <v>900</v>
      </c>
      <c r="E20" s="79">
        <f>C20*D20/1000000*'material inventory'!B6</f>
        <v>33.119999999999997</v>
      </c>
      <c r="F20" s="80">
        <f t="shared" si="0"/>
        <v>9.2000000073599981</v>
      </c>
    </row>
    <row r="21" spans="2:32">
      <c r="B21" s="92" t="s">
        <v>156</v>
      </c>
      <c r="C21" s="77">
        <f>600/156.25*10000</f>
        <v>38400</v>
      </c>
      <c r="D21" s="93">
        <f>'material inventory'!B30/0.2</f>
        <v>500</v>
      </c>
      <c r="E21" s="79">
        <f>C21*D21/1000000</f>
        <v>19.2</v>
      </c>
      <c r="F21" s="80">
        <f>E21*0.277777778</f>
        <v>5.3333333375999992</v>
      </c>
    </row>
    <row r="22" spans="2:32" ht="15.75" thickBot="1">
      <c r="B22" s="94" t="s">
        <v>155</v>
      </c>
      <c r="C22" s="95">
        <f>250/156.25*10000</f>
        <v>16000</v>
      </c>
      <c r="D22" s="60">
        <v>3600</v>
      </c>
      <c r="E22" s="61">
        <f>C22*D22/1000000*'material inventory'!B5</f>
        <v>57.6</v>
      </c>
      <c r="F22" s="62">
        <f t="shared" si="0"/>
        <v>16.000000012799998</v>
      </c>
      <c r="I22" s="10" t="s">
        <v>56</v>
      </c>
      <c r="J22" s="16">
        <f t="shared" ref="J22:AF22" si="1">SUM(J6:J21)</f>
        <v>91.822398539348896</v>
      </c>
      <c r="K22" s="16">
        <f t="shared" si="1"/>
        <v>1615.6875756940342</v>
      </c>
      <c r="L22" s="10">
        <f t="shared" si="1"/>
        <v>0.10512521250398156</v>
      </c>
      <c r="M22" s="10">
        <f t="shared" si="1"/>
        <v>86.657776647197366</v>
      </c>
      <c r="N22" s="10">
        <f t="shared" si="1"/>
        <v>38.27226691429081</v>
      </c>
      <c r="O22" s="10">
        <f t="shared" si="1"/>
        <v>0.32995117572948918</v>
      </c>
      <c r="P22" s="10">
        <f t="shared" si="1"/>
        <v>1.6101772585873822E-3</v>
      </c>
      <c r="Q22" s="10">
        <f t="shared" si="1"/>
        <v>674.97068229883939</v>
      </c>
      <c r="R22" s="10">
        <f t="shared" si="1"/>
        <v>0.54621082520800979</v>
      </c>
      <c r="S22" s="10">
        <f t="shared" si="1"/>
        <v>202.98917098779319</v>
      </c>
      <c r="T22" s="10">
        <f t="shared" si="1"/>
        <v>7.9512930333086429E-2</v>
      </c>
      <c r="U22" s="10">
        <f t="shared" si="1"/>
        <v>0.38789634496775316</v>
      </c>
      <c r="V22" s="10">
        <f t="shared" si="1"/>
        <v>1.4272878181791116E-2</v>
      </c>
      <c r="W22" s="10">
        <f t="shared" si="1"/>
        <v>7.6691983589589704E-6</v>
      </c>
      <c r="X22" s="10">
        <f t="shared" si="1"/>
        <v>9.6827929899886422E-2</v>
      </c>
      <c r="Y22" s="10">
        <f t="shared" si="1"/>
        <v>0.26044284102269682</v>
      </c>
      <c r="Z22" s="10">
        <f t="shared" si="1"/>
        <v>0.37509149730126173</v>
      </c>
      <c r="AA22" s="10">
        <f t="shared" si="1"/>
        <v>6.7132324084232383E-3</v>
      </c>
      <c r="AB22" s="10">
        <f t="shared" si="1"/>
        <v>4.1403634207278238E-2</v>
      </c>
      <c r="AC22" s="10">
        <f t="shared" si="1"/>
        <v>1.0371409242275505E-2</v>
      </c>
      <c r="AD22" s="10">
        <f t="shared" si="1"/>
        <v>2.5369119407127405</v>
      </c>
      <c r="AE22" s="10">
        <f t="shared" si="1"/>
        <v>7.8228565309568676</v>
      </c>
      <c r="AF22" s="10">
        <f t="shared" si="1"/>
        <v>4.6072876639200837</v>
      </c>
    </row>
    <row r="23" spans="2:32">
      <c r="B23" s="5" t="s">
        <v>45</v>
      </c>
      <c r="E23" s="28">
        <f>SUM(E7:E22)*0.277777778</f>
        <v>129.34189562112476</v>
      </c>
      <c r="F23" s="28">
        <f>SUM(F7:F22)</f>
        <v>129.34189562112473</v>
      </c>
      <c r="G23" s="10" t="s">
        <v>46</v>
      </c>
    </row>
    <row r="26" spans="2:32">
      <c r="I26" s="15" t="s">
        <v>162</v>
      </c>
      <c r="J26" s="10">
        <f>J10/F13*F27</f>
        <v>1.6328160013062525E-2</v>
      </c>
      <c r="K26" s="10">
        <f>K10/F13*F27</f>
        <v>0.28730686288644547</v>
      </c>
    </row>
    <row r="27" spans="2:32">
      <c r="B27" s="15" t="s">
        <v>60</v>
      </c>
      <c r="C27" s="5">
        <f>230*0.6</f>
        <v>138</v>
      </c>
      <c r="D27" s="5">
        <f>10*60</f>
        <v>600</v>
      </c>
      <c r="E27" s="5">
        <f>C27*D27/1000000</f>
        <v>8.2799999999999999E-2</v>
      </c>
      <c r="F27" s="5">
        <f>E27*0.277777778</f>
        <v>2.3000000018399996E-2</v>
      </c>
    </row>
    <row r="29" spans="2:32">
      <c r="M29" s="16">
        <f>SUM(K6:K15)</f>
        <v>1349.2000506979109</v>
      </c>
    </row>
    <row r="30" spans="2:32">
      <c r="M30" s="16"/>
    </row>
  </sheetData>
  <mergeCells count="3">
    <mergeCell ref="B4:E4"/>
    <mergeCell ref="L4:AC4"/>
    <mergeCell ref="AD4:AF4"/>
  </mergeCells>
  <phoneticPr fontId="6"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Y34"/>
  <sheetViews>
    <sheetView zoomScaleNormal="100" workbookViewId="0">
      <selection activeCell="H32" sqref="H32"/>
    </sheetView>
  </sheetViews>
  <sheetFormatPr defaultRowHeight="15"/>
  <cols>
    <col min="1" max="1" width="20.42578125" customWidth="1"/>
    <col min="2" max="6" width="13.28515625" customWidth="1"/>
    <col min="7" max="8" width="20.28515625" customWidth="1"/>
    <col min="9" max="24" width="13.28515625" customWidth="1"/>
  </cols>
  <sheetData>
    <row r="2" spans="1:25" s="36" customFormat="1">
      <c r="B2" s="36" t="str">
        <f>'material inventory'!N12</f>
        <v>Carbon footprint</v>
      </c>
      <c r="C2" s="36" t="str">
        <f>'material inventory'!O12</f>
        <v>Primary energy consumption</v>
      </c>
      <c r="G2" s="36" t="str">
        <f>B2</f>
        <v>Carbon footprint</v>
      </c>
      <c r="H2" s="36" t="str">
        <f>C2</f>
        <v>Primary energy consumption</v>
      </c>
      <c r="I2"/>
      <c r="J2"/>
      <c r="K2"/>
      <c r="L2"/>
      <c r="M2"/>
      <c r="N2"/>
      <c r="O2"/>
      <c r="P2"/>
      <c r="Q2"/>
      <c r="R2"/>
      <c r="S2"/>
      <c r="T2"/>
      <c r="U2"/>
      <c r="V2"/>
      <c r="W2"/>
      <c r="X2"/>
      <c r="Y2"/>
    </row>
    <row r="3" spans="1:25">
      <c r="A3" s="33" t="str">
        <f>'material inventory'!M13</f>
        <v>ITO glass</v>
      </c>
      <c r="B3">
        <f>'material inventory'!N13</f>
        <v>1.6837863429999995</v>
      </c>
      <c r="C3">
        <f>'material inventory'!O13</f>
        <v>29.222870408888099</v>
      </c>
      <c r="G3">
        <f t="shared" ref="G3:G26" si="0">B3</f>
        <v>1.6837863429999995</v>
      </c>
      <c r="H3">
        <f t="shared" ref="H3:H26" si="1">C3</f>
        <v>29.222870408888099</v>
      </c>
    </row>
    <row r="4" spans="1:25">
      <c r="A4" s="33" t="str">
        <f>'material inventory'!M14</f>
        <v>Ethanol</v>
      </c>
      <c r="B4">
        <f>'material inventory'!N14</f>
        <v>3.6067691999999998E-2</v>
      </c>
      <c r="C4">
        <f>'material inventory'!O14</f>
        <v>1.0715802776700001</v>
      </c>
      <c r="G4">
        <f t="shared" si="0"/>
        <v>3.6067691999999998E-2</v>
      </c>
      <c r="H4">
        <f t="shared" si="1"/>
        <v>1.0715802776700001</v>
      </c>
    </row>
    <row r="5" spans="1:25">
      <c r="A5" s="33" t="str">
        <f>'material inventory'!M15</f>
        <v>Deionized water</v>
      </c>
      <c r="B5">
        <f>'material inventory'!N15</f>
        <v>5.6916582000000001E-5</v>
      </c>
      <c r="C5">
        <f>'material inventory'!O15</f>
        <v>7.8310930304560005E-4</v>
      </c>
      <c r="G5">
        <f t="shared" si="0"/>
        <v>5.6916582000000001E-5</v>
      </c>
      <c r="H5">
        <f t="shared" si="1"/>
        <v>7.8310930304560005E-4</v>
      </c>
    </row>
    <row r="6" spans="1:25">
      <c r="A6" s="33" t="str">
        <f>'material inventory'!M16</f>
        <v>NiOₓ precursor solution</v>
      </c>
      <c r="B6">
        <f>'material inventory'!N16</f>
        <v>3.2234827634271858E-2</v>
      </c>
      <c r="C6">
        <f>'material inventory'!O16</f>
        <v>0.63858715683810552</v>
      </c>
      <c r="G6">
        <f t="shared" si="0"/>
        <v>3.2234827634271858E-2</v>
      </c>
      <c r="H6">
        <f t="shared" si="1"/>
        <v>0.63858715683810552</v>
      </c>
    </row>
    <row r="7" spans="1:25">
      <c r="A7" s="33" t="str">
        <f>'material inventory'!M17</f>
        <v>PbI₂</v>
      </c>
      <c r="B7">
        <f>'material inventory'!N17</f>
        <v>2.8789914277598614E-3</v>
      </c>
      <c r="C7">
        <f>'material inventory'!O17</f>
        <v>3.423458644077676E-2</v>
      </c>
      <c r="G7">
        <f t="shared" si="0"/>
        <v>2.8789914277598614E-3</v>
      </c>
      <c r="H7">
        <f t="shared" si="1"/>
        <v>3.423458644077676E-2</v>
      </c>
    </row>
    <row r="8" spans="1:25">
      <c r="A8" s="33" t="str">
        <f>'material inventory'!M18</f>
        <v>Dimethylformamide</v>
      </c>
      <c r="B8">
        <f>'material inventory'!N18</f>
        <v>3.7194557030399995E-3</v>
      </c>
      <c r="C8">
        <f>'material inventory'!O18</f>
        <v>0.10116651734077545</v>
      </c>
      <c r="G8">
        <f t="shared" si="0"/>
        <v>3.7194557030399995E-3</v>
      </c>
      <c r="H8">
        <f t="shared" si="1"/>
        <v>0.10116651734077545</v>
      </c>
    </row>
    <row r="9" spans="1:25">
      <c r="A9" s="33" t="str">
        <f>'material inventory'!M19</f>
        <v>MAI</v>
      </c>
      <c r="B9">
        <f>'material inventory'!N19</f>
        <v>3.5150263174525943E-2</v>
      </c>
      <c r="C9">
        <f>'material inventory'!O19</f>
        <v>0.74664235335118256</v>
      </c>
      <c r="G9">
        <f t="shared" si="0"/>
        <v>3.5150263174525943E-2</v>
      </c>
      <c r="H9">
        <f t="shared" si="1"/>
        <v>0.74664235335118256</v>
      </c>
    </row>
    <row r="10" spans="1:25">
      <c r="A10" s="33" t="str">
        <f>'material inventory'!M20</f>
        <v>Isopropanol</v>
      </c>
      <c r="B10">
        <f>'material inventory'!N20</f>
        <v>6.2385419519999999E-3</v>
      </c>
      <c r="C10">
        <f>'material inventory'!O20</f>
        <v>0.20621291360633598</v>
      </c>
      <c r="G10">
        <f t="shared" si="0"/>
        <v>6.2385419519999999E-3</v>
      </c>
      <c r="H10">
        <f t="shared" si="1"/>
        <v>0.20621291360633598</v>
      </c>
    </row>
    <row r="11" spans="1:25">
      <c r="A11" s="33" t="str">
        <f>'material inventory'!M21</f>
        <v>Nitrogen</v>
      </c>
      <c r="B11">
        <f>'material inventory'!N21</f>
        <v>1.6371150925259081</v>
      </c>
      <c r="C11">
        <f>'material inventory'!O21</f>
        <v>22.304788348898221</v>
      </c>
      <c r="G11">
        <f t="shared" si="0"/>
        <v>1.6371150925259081</v>
      </c>
      <c r="H11">
        <f t="shared" si="1"/>
        <v>22.304788348898221</v>
      </c>
    </row>
    <row r="12" spans="1:25">
      <c r="A12" s="33" t="str">
        <f>'material inventory'!M22</f>
        <v>ZnO nanoparticles</v>
      </c>
      <c r="B12">
        <f>'material inventory'!N22</f>
        <v>6.3772044169255901E-2</v>
      </c>
      <c r="C12">
        <f>'material inventory'!O22</f>
        <v>1.5212700906868477</v>
      </c>
      <c r="G12">
        <f t="shared" si="0"/>
        <v>6.3772044169255901E-2</v>
      </c>
      <c r="H12">
        <f t="shared" si="1"/>
        <v>1.5212700906868477</v>
      </c>
    </row>
    <row r="13" spans="1:25">
      <c r="A13" s="33" t="str">
        <f>'material inventory'!M23</f>
        <v>Al</v>
      </c>
      <c r="B13">
        <f>'material inventory'!N23</f>
        <v>7.007356097560976E-3</v>
      </c>
      <c r="C13">
        <f>'material inventory'!O23</f>
        <v>6.5261304301170733E-2</v>
      </c>
      <c r="G13">
        <f t="shared" si="0"/>
        <v>7.007356097560976E-3</v>
      </c>
      <c r="H13">
        <f t="shared" si="1"/>
        <v>6.5261304301170733E-2</v>
      </c>
    </row>
    <row r="14" spans="1:25">
      <c r="A14" s="34" t="s">
        <v>179</v>
      </c>
      <c r="B14">
        <f>'energy consumption'!J26*'material inventory'!$B$2</f>
        <v>1.4695344011756272E-2</v>
      </c>
      <c r="C14">
        <f>'energy consumption'!K26*'material inventory'!$B$2</f>
        <v>0.25857617659780091</v>
      </c>
      <c r="G14">
        <f t="shared" si="0"/>
        <v>1.4695344011756272E-2</v>
      </c>
      <c r="H14">
        <f t="shared" si="1"/>
        <v>0.25857617659780091</v>
      </c>
    </row>
    <row r="15" spans="1:25">
      <c r="A15" s="34" t="str">
        <f>'energy consumption'!I6</f>
        <v>Sonication</v>
      </c>
      <c r="B15">
        <f>'energy consumption'!J6</f>
        <v>0.28396800022717433</v>
      </c>
      <c r="C15">
        <f>'energy consumption'!K6</f>
        <v>4.9966410936773125</v>
      </c>
      <c r="G15">
        <f t="shared" si="0"/>
        <v>0.28396800022717433</v>
      </c>
      <c r="H15">
        <f t="shared" si="1"/>
        <v>4.9966410936773125</v>
      </c>
    </row>
    <row r="16" spans="1:25">
      <c r="A16" s="34" t="str">
        <f>'energy consumption'!I7</f>
        <v>HTL spin coating</v>
      </c>
      <c r="B16">
        <f>'energy consumption'!J7</f>
        <v>4.7574154393188799</v>
      </c>
      <c r="C16">
        <f>'energy consumption'!K7</f>
        <v>83.710479577905772</v>
      </c>
      <c r="G16">
        <f t="shared" si="0"/>
        <v>4.7574154393188799</v>
      </c>
      <c r="H16">
        <f t="shared" si="1"/>
        <v>83.710479577905772</v>
      </c>
    </row>
    <row r="17" spans="1:25">
      <c r="A17" s="34" t="str">
        <f>'energy consumption'!I8</f>
        <v>HTL annealing</v>
      </c>
      <c r="B17">
        <f>'energy consumption'!J8</f>
        <v>30.668544024534835</v>
      </c>
      <c r="C17">
        <f>'energy consumption'!K8</f>
        <v>539.63723811714988</v>
      </c>
      <c r="G17">
        <f t="shared" si="0"/>
        <v>30.668544024534835</v>
      </c>
      <c r="H17">
        <f t="shared" si="1"/>
        <v>539.63723811714988</v>
      </c>
    </row>
    <row r="18" spans="1:25">
      <c r="A18" s="34" t="str">
        <f>'energy consumption'!I9</f>
        <v>Inert gas purging</v>
      </c>
      <c r="B18">
        <f>'energy consumption'!J9</f>
        <v>3.7270800029816638</v>
      </c>
      <c r="C18">
        <f>'energy consumption'!K9</f>
        <v>65.580914354514732</v>
      </c>
      <c r="G18">
        <f t="shared" si="0"/>
        <v>3.7270800029816638</v>
      </c>
      <c r="H18">
        <f t="shared" si="1"/>
        <v>65.580914354514732</v>
      </c>
    </row>
    <row r="19" spans="1:25">
      <c r="A19" s="34" t="str">
        <f>'energy consumption'!I10</f>
        <v>PL 1st-step spin coating</v>
      </c>
      <c r="B19">
        <f>'energy consumption'!J10</f>
        <v>8.4576274476780081E-2</v>
      </c>
      <c r="C19">
        <f>'energy consumption'!K10</f>
        <v>1.4881863036072136</v>
      </c>
      <c r="G19">
        <f t="shared" si="0"/>
        <v>8.4576274476780081E-2</v>
      </c>
      <c r="H19">
        <f t="shared" si="1"/>
        <v>1.4881863036072136</v>
      </c>
    </row>
    <row r="20" spans="1:25">
      <c r="A20" s="34" t="str">
        <f>'energy consumption'!I11</f>
        <v>PL drying</v>
      </c>
      <c r="B20">
        <f>'energy consumption'!J11</f>
        <v>1.1926656009541325</v>
      </c>
      <c r="C20">
        <f>'energy consumption'!K11</f>
        <v>20.985892593444717</v>
      </c>
      <c r="G20">
        <f t="shared" si="0"/>
        <v>1.1926656009541325</v>
      </c>
      <c r="H20">
        <f t="shared" si="1"/>
        <v>20.985892593444717</v>
      </c>
    </row>
    <row r="21" spans="1:25">
      <c r="A21" s="34" t="str">
        <f>'energy consumption'!I12</f>
        <v>PL 2nd-step spin coating</v>
      </c>
      <c r="B21">
        <f>'energy consumption'!J12</f>
        <v>4.2288137238390036</v>
      </c>
      <c r="C21">
        <f>'energy consumption'!K12</f>
        <v>74.409315180360679</v>
      </c>
      <c r="G21">
        <f t="shared" si="0"/>
        <v>4.2288137238390036</v>
      </c>
      <c r="H21">
        <f t="shared" si="1"/>
        <v>74.409315180360679</v>
      </c>
    </row>
    <row r="22" spans="1:25">
      <c r="A22" s="34" t="str">
        <f>'energy consumption'!I13</f>
        <v>PL annealing</v>
      </c>
      <c r="B22">
        <f>'energy consumption'!J13</f>
        <v>20.445696016356557</v>
      </c>
      <c r="C22">
        <f>'energy consumption'!K13</f>
        <v>359.75815874476655</v>
      </c>
      <c r="G22">
        <f t="shared" si="0"/>
        <v>20.445696016356557</v>
      </c>
      <c r="H22">
        <f t="shared" si="1"/>
        <v>359.75815874476655</v>
      </c>
    </row>
    <row r="23" spans="1:25">
      <c r="A23" s="34" t="str">
        <f>'energy consumption'!I14</f>
        <v>ETL spin coating</v>
      </c>
      <c r="B23">
        <f>'energy consumption'!J14</f>
        <v>4.7574154393188799</v>
      </c>
      <c r="C23">
        <f>'energy consumption'!K14</f>
        <v>83.710479577905772</v>
      </c>
      <c r="G23">
        <f t="shared" si="0"/>
        <v>4.7574154393188799</v>
      </c>
      <c r="H23">
        <f t="shared" si="1"/>
        <v>83.710479577905772</v>
      </c>
    </row>
    <row r="24" spans="1:25">
      <c r="A24" s="34" t="str">
        <f>'energy consumption'!I15</f>
        <v>Vacuum pump</v>
      </c>
      <c r="B24">
        <f>'energy consumption'!J15</f>
        <v>6.5312640052250099</v>
      </c>
      <c r="C24">
        <f>'energy consumption'!K15</f>
        <v>114.92274515457818</v>
      </c>
      <c r="G24">
        <f t="shared" si="0"/>
        <v>6.5312640052250099</v>
      </c>
      <c r="H24">
        <f t="shared" si="1"/>
        <v>114.92274515457818</v>
      </c>
    </row>
    <row r="25" spans="1:25">
      <c r="A25" s="34" t="str">
        <f>'energy consumption'!I16</f>
        <v>Evaporation</v>
      </c>
      <c r="B25">
        <f>'energy consumption'!J16</f>
        <v>3.7862400030289916</v>
      </c>
      <c r="C25">
        <f>'energy consumption'!K16</f>
        <v>66.621881249030835</v>
      </c>
      <c r="G25">
        <f t="shared" si="0"/>
        <v>3.7862400030289916</v>
      </c>
      <c r="H25">
        <f t="shared" si="1"/>
        <v>66.621881249030835</v>
      </c>
    </row>
    <row r="26" spans="1:25">
      <c r="A26" s="34" t="str">
        <f>'energy consumption'!I17</f>
        <v>Cooling</v>
      </c>
      <c r="B26">
        <f>'energy consumption'!J17</f>
        <v>11.358720009086975</v>
      </c>
      <c r="C26">
        <f>'energy consumption'!K17</f>
        <v>199.86564374709252</v>
      </c>
      <c r="G26">
        <f t="shared" si="0"/>
        <v>11.358720009086975</v>
      </c>
      <c r="H26">
        <f t="shared" si="1"/>
        <v>199.86564374709252</v>
      </c>
    </row>
    <row r="27" spans="1:25">
      <c r="A27" s="98" t="str">
        <f>'material inventory'!M24</f>
        <v>Direct emissions</v>
      </c>
      <c r="B27">
        <f>'material inventory'!N24</f>
        <v>0</v>
      </c>
      <c r="C27">
        <f>'material inventory'!O24</f>
        <v>0</v>
      </c>
      <c r="G27">
        <f>B27</f>
        <v>0</v>
      </c>
      <c r="H27">
        <f>C27</f>
        <v>0</v>
      </c>
    </row>
    <row r="28" spans="1:25">
      <c r="A28" s="98" t="s">
        <v>96</v>
      </c>
      <c r="B28">
        <f>'material inventory'!N36</f>
        <v>1.44631779E-4</v>
      </c>
      <c r="C28">
        <f>'material inventory'!O36</f>
        <v>1.2086428794910004E-3</v>
      </c>
      <c r="G28">
        <f t="shared" ref="G28" si="2">B28</f>
        <v>1.44631779E-4</v>
      </c>
      <c r="H28">
        <f t="shared" ref="H28" si="3">C28</f>
        <v>1.2086428794910004E-3</v>
      </c>
    </row>
    <row r="29" spans="1:25">
      <c r="A29" s="98" t="s">
        <v>132</v>
      </c>
      <c r="B29">
        <f>'material inventory'!$F$44*[2]production!$D$103</f>
        <v>8.4223677078940225E-4</v>
      </c>
      <c r="C29">
        <f>'material inventory'!$F$44*[2]production!M103</f>
        <v>2.6955809549607006E-2</v>
      </c>
      <c r="G29">
        <f>'[6]ITO-old'!$E$23</f>
        <v>0.15919747552941177</v>
      </c>
      <c r="H29">
        <f>'[6]ITO-old'!$F$23</f>
        <v>2.7861947098039215</v>
      </c>
    </row>
    <row r="30" spans="1:25" s="35" customFormat="1">
      <c r="B30" s="35">
        <f>SUM(B3:B28)</f>
        <v>95.345266039405971</v>
      </c>
      <c r="C30" s="35">
        <f>SUM(C3:C28)</f>
        <v>1671.860757580836</v>
      </c>
      <c r="G30" s="35">
        <f>SUM(G3:G28)</f>
        <v>95.345266039405971</v>
      </c>
      <c r="H30" s="35">
        <f>SUM(H3:H28)</f>
        <v>1671.860757580836</v>
      </c>
      <c r="I30"/>
      <c r="J30"/>
      <c r="K30"/>
      <c r="L30"/>
      <c r="M30"/>
      <c r="N30"/>
      <c r="O30"/>
      <c r="P30"/>
      <c r="Q30"/>
      <c r="R30"/>
      <c r="S30"/>
      <c r="T30"/>
      <c r="U30"/>
      <c r="V30"/>
      <c r="W30"/>
      <c r="X30"/>
      <c r="Y30"/>
    </row>
    <row r="31" spans="1:25" s="33" customFormat="1">
      <c r="A31" s="33" t="s">
        <v>133</v>
      </c>
      <c r="B31" s="33">
        <f>SUM(B29:B30)</f>
        <v>95.346108276176764</v>
      </c>
      <c r="C31" s="33">
        <f t="shared" ref="C31" si="4">SUM(C29:C30)</f>
        <v>1671.8877133903857</v>
      </c>
      <c r="G31" s="33">
        <f>SUM(G29:G30)</f>
        <v>95.504463514935381</v>
      </c>
      <c r="H31" s="33">
        <f t="shared" ref="H31" si="5">SUM(H29:H30)</f>
        <v>1674.64695229064</v>
      </c>
      <c r="I31"/>
      <c r="J31"/>
      <c r="K31"/>
      <c r="L31"/>
      <c r="M31"/>
      <c r="N31"/>
      <c r="O31"/>
      <c r="P31"/>
      <c r="Q31"/>
      <c r="R31"/>
      <c r="S31"/>
      <c r="T31"/>
      <c r="U31"/>
      <c r="V31"/>
      <c r="W31"/>
      <c r="X31"/>
      <c r="Y31"/>
    </row>
    <row r="34" spans="2:3">
      <c r="B34" s="24">
        <f>B3/B31</f>
        <v>1.7659728052274486E-2</v>
      </c>
      <c r="C34" s="24">
        <f>C3/C31</f>
        <v>1.7478967142851753E-2</v>
      </c>
    </row>
  </sheetData>
  <phoneticPr fontId="6"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10CE9-21EF-44CD-A7E9-CAE3D2BBA596}">
  <sheetPr codeName="Sheet4"/>
  <dimension ref="A1:P31"/>
  <sheetViews>
    <sheetView workbookViewId="0"/>
  </sheetViews>
  <sheetFormatPr defaultRowHeight="15"/>
  <cols>
    <col min="1" max="2" width="36.7109375" customWidth="1"/>
  </cols>
  <sheetData>
    <row r="1" spans="1:16">
      <c r="A1" s="22" t="s">
        <v>113</v>
      </c>
    </row>
    <row r="2" spans="1:16">
      <c r="P2">
        <f ca="1">_xll.CB.RecalcCounterFN()</f>
        <v>0</v>
      </c>
    </row>
    <row r="3" spans="1:16">
      <c r="A3" t="s">
        <v>114</v>
      </c>
      <c r="B3" t="s">
        <v>115</v>
      </c>
      <c r="C3">
        <v>0</v>
      </c>
    </row>
    <row r="4" spans="1:16">
      <c r="A4" t="s">
        <v>116</v>
      </c>
    </row>
    <row r="5" spans="1:16">
      <c r="A5" t="s">
        <v>117</v>
      </c>
    </row>
    <row r="7" spans="1:16">
      <c r="A7" s="22" t="s">
        <v>118</v>
      </c>
      <c r="B7" t="s">
        <v>119</v>
      </c>
    </row>
    <row r="8" spans="1:16">
      <c r="B8">
        <v>2</v>
      </c>
    </row>
    <row r="10" spans="1:16">
      <c r="A10" t="s">
        <v>120</v>
      </c>
    </row>
    <row r="11" spans="1:16">
      <c r="A11" t="e">
        <f>CB_DATA_!#REF!</f>
        <v>#REF!</v>
      </c>
      <c r="B11" t="e">
        <f>Uncertainty!#REF!</f>
        <v>#REF!</v>
      </c>
    </row>
    <row r="13" spans="1:16">
      <c r="A13" t="s">
        <v>121</v>
      </c>
    </row>
    <row r="14" spans="1:16">
      <c r="A14" t="s">
        <v>125</v>
      </c>
      <c r="B14" t="s">
        <v>129</v>
      </c>
    </row>
    <row r="16" spans="1:16">
      <c r="A16" t="s">
        <v>122</v>
      </c>
    </row>
    <row r="19" spans="1:2">
      <c r="A19" t="s">
        <v>123</v>
      </c>
    </row>
    <row r="20" spans="1:2">
      <c r="A20">
        <v>31</v>
      </c>
      <c r="B20">
        <v>31</v>
      </c>
    </row>
    <row r="25" spans="1:2">
      <c r="A25" s="22" t="s">
        <v>124</v>
      </c>
    </row>
    <row r="26" spans="1:2">
      <c r="A26" s="23" t="s">
        <v>126</v>
      </c>
      <c r="B26" s="23" t="s">
        <v>130</v>
      </c>
    </row>
    <row r="27" spans="1:2">
      <c r="A27" t="s">
        <v>127</v>
      </c>
      <c r="B27" t="s">
        <v>187</v>
      </c>
    </row>
    <row r="28" spans="1:2">
      <c r="A28" s="23" t="s">
        <v>128</v>
      </c>
      <c r="B28" s="23" t="s">
        <v>128</v>
      </c>
    </row>
    <row r="29" spans="1:2">
      <c r="A29" s="23" t="s">
        <v>130</v>
      </c>
      <c r="B29" s="23" t="s">
        <v>126</v>
      </c>
    </row>
    <row r="30" spans="1:2">
      <c r="A30" t="s">
        <v>186</v>
      </c>
      <c r="B30" t="s">
        <v>131</v>
      </c>
    </row>
    <row r="31" spans="1:2">
      <c r="A31" s="23" t="s">
        <v>128</v>
      </c>
      <c r="B31" s="23" t="s">
        <v>128</v>
      </c>
    </row>
  </sheetData>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BBAB7-0EDD-4559-AB08-FB1C8DE2C5C7}">
  <sheetPr codeName="Sheet5"/>
  <dimension ref="A1:L42"/>
  <sheetViews>
    <sheetView zoomScaleNormal="100" workbookViewId="0">
      <selection activeCell="H1" sqref="H1"/>
    </sheetView>
  </sheetViews>
  <sheetFormatPr defaultRowHeight="15"/>
  <cols>
    <col min="1" max="1" width="25.42578125" customWidth="1"/>
    <col min="2" max="2" width="19.42578125" customWidth="1"/>
    <col min="9" max="9" width="29.28515625" customWidth="1"/>
    <col min="10" max="10" width="16.42578125" customWidth="1"/>
    <col min="11" max="11" width="21.140625" customWidth="1"/>
    <col min="12" max="12" width="21.7109375" customWidth="1"/>
  </cols>
  <sheetData>
    <row r="1" spans="1:12">
      <c r="A1" t="s">
        <v>97</v>
      </c>
      <c r="B1" t="s">
        <v>98</v>
      </c>
      <c r="C1" t="s">
        <v>99</v>
      </c>
      <c r="F1" s="21">
        <f>14.6%*0.8</f>
        <v>0.1168</v>
      </c>
      <c r="K1" s="124"/>
      <c r="L1" s="124"/>
    </row>
    <row r="2" spans="1:12">
      <c r="A2" t="s">
        <v>100</v>
      </c>
      <c r="B2" t="s">
        <v>101</v>
      </c>
      <c r="C2" s="19">
        <v>1700</v>
      </c>
      <c r="E2">
        <v>58.9</v>
      </c>
    </row>
    <row r="3" spans="1:12">
      <c r="A3" t="s">
        <v>103</v>
      </c>
      <c r="B3" t="s">
        <v>7</v>
      </c>
      <c r="C3" s="17">
        <v>0.75</v>
      </c>
      <c r="E3">
        <v>1.23</v>
      </c>
    </row>
    <row r="4" spans="1:12">
      <c r="A4" t="s">
        <v>105</v>
      </c>
      <c r="B4" t="s">
        <v>7</v>
      </c>
      <c r="C4" s="18">
        <v>0.1168</v>
      </c>
      <c r="E4">
        <v>1.05</v>
      </c>
    </row>
    <row r="5" spans="1:12">
      <c r="A5" t="s">
        <v>106</v>
      </c>
      <c r="B5" t="s">
        <v>107</v>
      </c>
      <c r="C5">
        <v>12.49</v>
      </c>
    </row>
    <row r="6" spans="1:12">
      <c r="A6" t="s">
        <v>108</v>
      </c>
      <c r="B6" t="s">
        <v>109</v>
      </c>
      <c r="C6" s="19">
        <v>5</v>
      </c>
      <c r="E6">
        <v>1.1499999999999999</v>
      </c>
    </row>
    <row r="7" spans="1:12">
      <c r="A7" t="s">
        <v>110</v>
      </c>
      <c r="B7" t="s">
        <v>111</v>
      </c>
      <c r="C7" s="19">
        <v>1674.64695229064</v>
      </c>
      <c r="E7">
        <v>1.1100000000000001</v>
      </c>
    </row>
    <row r="8" spans="1:12">
      <c r="A8" t="s">
        <v>112</v>
      </c>
      <c r="C8" s="19">
        <v>95.504463514935381</v>
      </c>
      <c r="E8">
        <v>1.1100000000000001</v>
      </c>
    </row>
    <row r="9" spans="1:12">
      <c r="B9" t="s">
        <v>102</v>
      </c>
      <c r="C9" s="20">
        <f>C7/C5/C2/C4/C3</f>
        <v>0.90034259601645328</v>
      </c>
    </row>
    <row r="10" spans="1:12">
      <c r="B10" t="s">
        <v>104</v>
      </c>
      <c r="C10" s="20">
        <f>C8*1000/C2/C3/C4/C6</f>
        <v>128.26277667866691</v>
      </c>
      <c r="J10" s="25"/>
      <c r="L10" s="25"/>
    </row>
    <row r="11" spans="1:12">
      <c r="J11" s="25"/>
      <c r="L11" s="25"/>
    </row>
    <row r="12" spans="1:12">
      <c r="J12" s="21"/>
      <c r="L12" s="21"/>
    </row>
    <row r="13" spans="1:12">
      <c r="B13">
        <f>results!G31</f>
        <v>95.504463514935381</v>
      </c>
      <c r="C13">
        <f>results!H31</f>
        <v>1674.64695229064</v>
      </c>
      <c r="J13" s="21"/>
      <c r="L13" s="21"/>
    </row>
    <row r="14" spans="1:12">
      <c r="B14" s="27"/>
      <c r="C14" s="27"/>
      <c r="L14" s="21"/>
    </row>
    <row r="42" spans="1:1">
      <c r="A42" s="37"/>
    </row>
  </sheetData>
  <mergeCells count="1">
    <mergeCell ref="K1:L1"/>
  </mergeCells>
  <phoneticPr fontId="6" type="noConversion"/>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material inventory</vt:lpstr>
      <vt:lpstr>SA</vt:lpstr>
      <vt:lpstr>energy consumption</vt:lpstr>
      <vt:lpstr>results</vt:lpstr>
      <vt:lpstr>Uncertainty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2020-01-04T19:52:25Z</dcterms:modified>
</cp:coreProperties>
</file>