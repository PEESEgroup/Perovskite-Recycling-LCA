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filterPrivacy="1" codeName="ThisWorkbook"/>
  <xr:revisionPtr revIDLastSave="0" documentId="13_ncr:1_{DB540141-4D1E-444E-858C-9F159CAD9E14}" xr6:coauthVersionLast="45" xr6:coauthVersionMax="45" xr10:uidLastSave="{00000000-0000-0000-0000-000000000000}"/>
  <bookViews>
    <workbookView xWindow="-28920" yWindow="-120" windowWidth="29040" windowHeight="15840" activeTab="3" xr2:uid="{00000000-000D-0000-FFFF-FFFF00000000}"/>
  </bookViews>
  <sheets>
    <sheet name="material inventory" sheetId="1" r:id="rId1"/>
    <sheet name="sensitivity" sheetId="7" r:id="rId2"/>
    <sheet name="energy consumption" sheetId="2" r:id="rId3"/>
    <sheet name="results" sheetId="3" r:id="rId4"/>
    <sheet name="CB_DATA_" sheetId="8" state="veryHidden" r:id="rId5"/>
    <sheet name="uncertainty" sheetId="4" r:id="rId6"/>
  </sheets>
  <externalReferences>
    <externalReference r:id="rId7"/>
    <externalReference r:id="rId8"/>
    <externalReference r:id="rId9"/>
    <externalReference r:id="rId10"/>
    <externalReference r:id="rId11"/>
    <externalReference r:id="rId12"/>
  </externalReferences>
  <definedNames>
    <definedName name="CB_1498f0c570aa47528611da8ae9c5412b" localSheetId="5" hidden="1">uncertainty!$C$4</definedName>
    <definedName name="CB_1adb21ab6e604eb094b6510f143468d3" localSheetId="5" hidden="1">uncertainty!$C$8</definedName>
    <definedName name="CB_5369fa9e403e48419f668e5893ad42f6" localSheetId="5" hidden="1">uncertainty!$C$6</definedName>
    <definedName name="CB_85e62b11a951452485e679db176cc353" localSheetId="4" hidden="1">#N/A</definedName>
    <definedName name="CB_Block_00000000000000000000000000000000" localSheetId="4" hidden="1">"'7.0.0.0"</definedName>
    <definedName name="CB_Block_00000000000000000000000000000000" localSheetId="5" hidden="1">"'7.0.0.0"</definedName>
    <definedName name="CB_Block_00000000000000000000000000000001" localSheetId="4" hidden="1">"'637136713161110729"</definedName>
    <definedName name="CB_Block_00000000000000000000000000000001" localSheetId="5" hidden="1">"'637136713161070833"</definedName>
    <definedName name="CB_Block_00000000000000000000000000000003" localSheetId="4" hidden="1">"'11.1.4716.0"</definedName>
    <definedName name="CB_Block_00000000000000000000000000000003" localSheetId="5" hidden="1">"'11.1.4716.0"</definedName>
    <definedName name="CB_BlockExt_00000000000000000000000000000003" localSheetId="4" hidden="1">"'11.1.2.4.850"</definedName>
    <definedName name="CB_BlockExt_00000000000000000000000000000003" localSheetId="5" hidden="1">"'11.1.2.4.850"</definedName>
    <definedName name="CB_c4afc9c94b8e42eca433de7fe90a6f77" localSheetId="5" hidden="1">uncertainty!$C$2</definedName>
    <definedName name="CB_c8ca68d09ed040d79ca1eceafd55711d" localSheetId="4" hidden="1">#N/A</definedName>
    <definedName name="CB_cdcb296dd0c14006b68d29a966c8db49" localSheetId="5" hidden="1">uncertainty!$C$9</definedName>
    <definedName name="CB_d2b9a80ebb484da3941a8a423688dc42" localSheetId="5" hidden="1">uncertainty!$C$10</definedName>
    <definedName name="CB_e67efa37378c453193a6bd51da50b942" localSheetId="5" hidden="1">uncertainty!$C$7</definedName>
    <definedName name="CB_fcc81876c204460ab8cf8d0e2ef8e5b6" localSheetId="5" hidden="1">uncertainty!$C$3</definedName>
    <definedName name="CBCR_257c931ea5024a4c82b2d4404bdd31e3" localSheetId="5" hidden="1">uncertainty!$E$4</definedName>
    <definedName name="CBCR_2ca147aa25e0472ca42061c28bce5789" localSheetId="5" hidden="1">uncertainty!$E$2</definedName>
    <definedName name="CBCR_472f607942974ab7a04eb65cbbf1b2ae" localSheetId="5" hidden="1">uncertainty!$E$7</definedName>
    <definedName name="CBCR_4d16fb822560492e82a4d5aa38b7d063" localSheetId="5" hidden="1">uncertainty!$E$3</definedName>
    <definedName name="CBCR_803a714d9bf2495da45c2351fdee383f" localSheetId="5" hidden="1">uncertainty!$C$7</definedName>
    <definedName name="CBCR_80a36b932724452f9cf7ba3cb7dd1990" localSheetId="5" hidden="1">uncertainty!$C$6</definedName>
    <definedName name="CBCR_9693578c01fc42038a316e4652d53452" localSheetId="5" hidden="1">uncertainty!$E$8</definedName>
    <definedName name="CBCR_9a2c9149b3564ae197df0f3684d4ae76" localSheetId="5" hidden="1">uncertainty!$C$4</definedName>
    <definedName name="CBCR_b158331be314495f8700de3cd241a579" localSheetId="5" hidden="1">uncertainty!$E$6</definedName>
    <definedName name="CBCR_c4d0c305e77e489b859b0ba4d146d04a" localSheetId="5" hidden="1">uncertainty!$C$8</definedName>
    <definedName name="CBCR_cc01d89e6572434ab8646ac56138d14f" localSheetId="5" hidden="1">uncertainty!$C$3</definedName>
    <definedName name="CBCR_e453d9dc184247baacb4b68d84938ced" localSheetId="5" hidden="1">uncertainty!$C$2</definedName>
    <definedName name="CBWorkbookPriority" localSheetId="4" hidden="1">-1382517059060860</definedName>
    <definedName name="CBx_7ec3dce2f7e94a96a3913a0369f7e605" localSheetId="4" hidden="1">"'uncertainty'!$A$1"</definedName>
    <definedName name="CBx_9b0d9e04d5824c6db612644bbe23bf6b" localSheetId="4" hidden="1">"'CB_DATA_'!$A$1"</definedName>
    <definedName name="CBx_Sheet_Guid" localSheetId="4" hidden="1">"'9b0d9e04-d582-4c6d-b612-644bbe23bf6b"</definedName>
    <definedName name="CBx_Sheet_Guid" localSheetId="5" hidden="1">"'7ec3dce2-f7e9-4a96-a391-3a0369f7e605"</definedName>
    <definedName name="CBx_SheetRef" localSheetId="4" hidden="1">CB_DATA_!$A$14</definedName>
    <definedName name="CBx_SheetRef" localSheetId="5" hidden="1">CB_DATA_!$B$14</definedName>
    <definedName name="CBx_StorageType" localSheetId="4" hidden="1">2</definedName>
    <definedName name="CBx_StorageType" localSheetId="5" hidden="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2" i="7" l="1"/>
  <c r="B21" i="7"/>
  <c r="B20" i="7"/>
  <c r="B19" i="7"/>
  <c r="B18" i="7"/>
  <c r="B23" i="7"/>
  <c r="F22" i="7"/>
  <c r="F21" i="7"/>
  <c r="F20" i="7"/>
  <c r="F19" i="7"/>
  <c r="F18" i="7"/>
  <c r="F23" i="7"/>
  <c r="H22" i="7"/>
  <c r="H21" i="7"/>
  <c r="H20" i="7"/>
  <c r="H19" i="7"/>
  <c r="H18" i="7"/>
  <c r="H24" i="7"/>
  <c r="H17" i="7"/>
  <c r="H23" i="7"/>
  <c r="H11" i="7"/>
  <c r="H10" i="7"/>
  <c r="H9" i="7"/>
  <c r="H8" i="7"/>
  <c r="H7" i="7"/>
  <c r="H13" i="7"/>
  <c r="H6" i="7"/>
  <c r="H12" i="7"/>
  <c r="P2" i="8"/>
  <c r="B7" i="7" l="1"/>
  <c r="F7" i="7"/>
  <c r="F8" i="7"/>
  <c r="B8" i="7"/>
  <c r="F9" i="7"/>
  <c r="B9" i="7"/>
  <c r="H1" i="3"/>
  <c r="G1" i="3"/>
  <c r="F35" i="1"/>
  <c r="F48" i="1"/>
  <c r="K35" i="1"/>
  <c r="F14" i="1"/>
  <c r="AO13" i="1" s="1"/>
  <c r="AA40" i="1" l="1"/>
  <c r="AI40" i="1"/>
  <c r="AQ40" i="1"/>
  <c r="AB40" i="1"/>
  <c r="AJ40" i="1"/>
  <c r="AK40" i="1"/>
  <c r="AD40" i="1"/>
  <c r="AL40" i="1"/>
  <c r="X40" i="1"/>
  <c r="AN40" i="1"/>
  <c r="AO40" i="1"/>
  <c r="AC40" i="1"/>
  <c r="W40" i="1"/>
  <c r="AE40" i="1"/>
  <c r="AM40" i="1"/>
  <c r="AF40" i="1"/>
  <c r="AG40" i="1"/>
  <c r="AP40" i="1"/>
  <c r="Z40" i="1"/>
  <c r="Y40" i="1"/>
  <c r="AH40" i="1"/>
  <c r="AK13" i="1"/>
  <c r="W13" i="1"/>
  <c r="X13" i="1"/>
  <c r="AM13" i="1"/>
  <c r="Y13" i="1"/>
  <c r="AP13" i="1"/>
  <c r="V13" i="1"/>
  <c r="AL13" i="1"/>
  <c r="AC13" i="1"/>
  <c r="AD13" i="1"/>
  <c r="AE13" i="1"/>
  <c r="M13" i="1"/>
  <c r="AF13" i="1"/>
  <c r="AA13" i="1"/>
  <c r="AI13" i="1"/>
  <c r="AG13" i="1"/>
  <c r="AQ13" i="1"/>
  <c r="Z13" i="1"/>
  <c r="AH13" i="1"/>
  <c r="AB13" i="1"/>
  <c r="AJ13" i="1"/>
  <c r="AN13" i="1"/>
  <c r="A23" i="3"/>
  <c r="A24" i="3"/>
  <c r="A25" i="3"/>
  <c r="A26" i="3"/>
  <c r="A27" i="3"/>
  <c r="A28" i="3"/>
  <c r="A29" i="3"/>
  <c r="A30" i="3"/>
  <c r="A31" i="3"/>
  <c r="A22" i="3"/>
  <c r="A3" i="3"/>
  <c r="A4" i="3"/>
  <c r="A5" i="3"/>
  <c r="A6" i="3"/>
  <c r="A7" i="3"/>
  <c r="A8" i="3"/>
  <c r="A9" i="3"/>
  <c r="A10" i="3"/>
  <c r="A11" i="3"/>
  <c r="A12" i="3"/>
  <c r="A13" i="3"/>
  <c r="A14" i="3"/>
  <c r="A15" i="3"/>
  <c r="A16" i="3"/>
  <c r="A17" i="3"/>
  <c r="A18" i="3"/>
  <c r="A19" i="3"/>
  <c r="A20" i="3"/>
  <c r="A21" i="3"/>
  <c r="A2" i="3"/>
  <c r="L37" i="1"/>
  <c r="L33" i="1"/>
  <c r="F33" i="1" l="1"/>
  <c r="F18" i="1"/>
  <c r="D16" i="2"/>
  <c r="F36" i="1" s="1"/>
  <c r="C16" i="2"/>
  <c r="E16" i="2" s="1"/>
  <c r="D14" i="2"/>
  <c r="E14" i="2" s="1"/>
  <c r="C12" i="2"/>
  <c r="C10" i="2"/>
  <c r="E10" i="2" s="1"/>
  <c r="C7" i="2"/>
  <c r="D11" i="2"/>
  <c r="E11" i="2" s="1"/>
  <c r="D9" i="2"/>
  <c r="D6" i="2"/>
  <c r="A50" i="1"/>
  <c r="A49" i="1"/>
  <c r="AC29" i="1" l="1"/>
  <c r="AK29" i="1"/>
  <c r="Q29" i="1"/>
  <c r="M29" i="1"/>
  <c r="AF29" i="1"/>
  <c r="AP29" i="1"/>
  <c r="AA29" i="1"/>
  <c r="AD29" i="1"/>
  <c r="AL29" i="1"/>
  <c r="R29" i="1"/>
  <c r="X29" i="1"/>
  <c r="T29" i="1"/>
  <c r="AG29" i="1"/>
  <c r="AO29" i="1"/>
  <c r="Z29" i="1"/>
  <c r="N29" i="1"/>
  <c r="AI29" i="1"/>
  <c r="AQ29" i="1"/>
  <c r="O29" i="1"/>
  <c r="AJ29" i="1"/>
  <c r="P29" i="1"/>
  <c r="W29" i="1"/>
  <c r="AE29" i="1"/>
  <c r="AM29" i="1"/>
  <c r="S29" i="1"/>
  <c r="AN29" i="1"/>
  <c r="Y29" i="1"/>
  <c r="U29" i="1"/>
  <c r="AH29" i="1"/>
  <c r="V29" i="1"/>
  <c r="AB29" i="1"/>
  <c r="F53" i="1"/>
  <c r="F49" i="1"/>
  <c r="F37" i="1"/>
  <c r="F10" i="7"/>
  <c r="B10" i="7"/>
  <c r="F11" i="7"/>
  <c r="B11" i="7"/>
  <c r="F12" i="7"/>
  <c r="B12" i="7"/>
  <c r="AA47" i="1" l="1"/>
  <c r="AI47" i="1"/>
  <c r="AQ47" i="1"/>
  <c r="U47" i="1"/>
  <c r="AD47" i="1"/>
  <c r="AL47" i="1"/>
  <c r="AN47" i="1"/>
  <c r="AO47" i="1"/>
  <c r="AP47" i="1"/>
  <c r="AB47" i="1"/>
  <c r="AJ47" i="1"/>
  <c r="N47" i="1"/>
  <c r="V47" i="1"/>
  <c r="C33" i="3" s="1"/>
  <c r="H33" i="3" s="1"/>
  <c r="R47" i="1"/>
  <c r="T47" i="1"/>
  <c r="AC47" i="1"/>
  <c r="AK47" i="1"/>
  <c r="O47" i="1"/>
  <c r="M47" i="1"/>
  <c r="B33" i="3" s="1"/>
  <c r="G33" i="3" s="1"/>
  <c r="X47" i="1"/>
  <c r="AG47" i="1"/>
  <c r="Z47" i="1"/>
  <c r="P47" i="1"/>
  <c r="S47" i="1"/>
  <c r="AH47" i="1"/>
  <c r="W47" i="1"/>
  <c r="AE47" i="1"/>
  <c r="AM47" i="1"/>
  <c r="Q47" i="1"/>
  <c r="AF47" i="1"/>
  <c r="Y47" i="1"/>
  <c r="C18" i="3"/>
  <c r="H18" i="3" s="1"/>
  <c r="F50" i="1"/>
  <c r="AM30" i="1"/>
  <c r="X30" i="1"/>
  <c r="AF30" i="1"/>
  <c r="AN30" i="1"/>
  <c r="P30" i="1"/>
  <c r="AJ30" i="1"/>
  <c r="N30" i="1"/>
  <c r="W30" i="1"/>
  <c r="Y30" i="1"/>
  <c r="AG30" i="1"/>
  <c r="AO30" i="1"/>
  <c r="Q30" i="1"/>
  <c r="AI30" i="1"/>
  <c r="T30" i="1"/>
  <c r="AC30" i="1"/>
  <c r="AD30" i="1"/>
  <c r="AL30" i="1"/>
  <c r="V30" i="1"/>
  <c r="C19" i="3" s="1"/>
  <c r="H19" i="3" s="1"/>
  <c r="Z30" i="1"/>
  <c r="AH30" i="1"/>
  <c r="AP30" i="1"/>
  <c r="R30" i="1"/>
  <c r="AA30" i="1"/>
  <c r="AQ30" i="1"/>
  <c r="S30" i="1"/>
  <c r="AB30" i="1"/>
  <c r="AK30" i="1"/>
  <c r="U30" i="1"/>
  <c r="AE30" i="1"/>
  <c r="O30" i="1"/>
  <c r="M30" i="1"/>
  <c r="B19" i="3" s="1"/>
  <c r="G19" i="3" s="1"/>
  <c r="B18" i="3"/>
  <c r="G18" i="3" s="1"/>
  <c r="B11" i="8" l="1"/>
  <c r="A11" i="8"/>
  <c r="F40" i="1" l="1"/>
  <c r="AD32" i="1" s="1"/>
  <c r="F39" i="1"/>
  <c r="T31" i="1" s="1"/>
  <c r="AE32" i="1" l="1"/>
  <c r="W32" i="1"/>
  <c r="AM32" i="1"/>
  <c r="O32" i="1"/>
  <c r="AL32" i="1"/>
  <c r="N32" i="1"/>
  <c r="AB31" i="1"/>
  <c r="AC32" i="1"/>
  <c r="U32" i="1"/>
  <c r="AI31" i="1"/>
  <c r="M32" i="1"/>
  <c r="T32" i="1"/>
  <c r="AH31" i="1"/>
  <c r="R31" i="1"/>
  <c r="AQ32" i="1"/>
  <c r="AA32" i="1"/>
  <c r="AO31" i="1"/>
  <c r="AG31" i="1"/>
  <c r="Y31" i="1"/>
  <c r="Q31" i="1"/>
  <c r="AC31" i="1"/>
  <c r="V32" i="1"/>
  <c r="AK32" i="1"/>
  <c r="AA31" i="1"/>
  <c r="AB32" i="1"/>
  <c r="AP31" i="1"/>
  <c r="Z31" i="1"/>
  <c r="AI32" i="1"/>
  <c r="S32" i="1"/>
  <c r="AP32" i="1"/>
  <c r="AH32" i="1"/>
  <c r="Z32" i="1"/>
  <c r="R32" i="1"/>
  <c r="AN31" i="1"/>
  <c r="AF31" i="1"/>
  <c r="X31" i="1"/>
  <c r="P31" i="1"/>
  <c r="AK31" i="1"/>
  <c r="U31" i="1"/>
  <c r="AJ31" i="1"/>
  <c r="M31" i="1"/>
  <c r="AQ31" i="1"/>
  <c r="S31" i="1"/>
  <c r="AJ32" i="1"/>
  <c r="AO32" i="1"/>
  <c r="AG32" i="1"/>
  <c r="Y32" i="1"/>
  <c r="Q32" i="1"/>
  <c r="AM31" i="1"/>
  <c r="AE31" i="1"/>
  <c r="W31" i="1"/>
  <c r="O31" i="1"/>
  <c r="AN32" i="1"/>
  <c r="AF32" i="1"/>
  <c r="X32" i="1"/>
  <c r="P32" i="1"/>
  <c r="AL31" i="1"/>
  <c r="AD31" i="1"/>
  <c r="V31" i="1"/>
  <c r="N31" i="1"/>
  <c r="C10" i="4"/>
  <c r="C9" i="4"/>
  <c r="C21" i="3" l="1"/>
  <c r="H21" i="3" s="1"/>
  <c r="C20" i="3"/>
  <c r="H20" i="3" s="1"/>
  <c r="B21" i="3"/>
  <c r="G21" i="3" s="1"/>
  <c r="B20" i="3"/>
  <c r="G20" i="3" s="1"/>
  <c r="D18" i="2" l="1"/>
  <c r="E18" i="2" s="1"/>
  <c r="F18" i="2" s="1"/>
  <c r="L12" i="2" s="1"/>
  <c r="K12" i="2" l="1"/>
  <c r="J12" i="2"/>
  <c r="AL12" i="2"/>
  <c r="X12" i="2"/>
  <c r="W12" i="2"/>
  <c r="AI12" i="2"/>
  <c r="AE12" i="2"/>
  <c r="R12" i="2"/>
  <c r="AH12" i="2"/>
  <c r="V12" i="2"/>
  <c r="AF12" i="2"/>
  <c r="S12" i="2"/>
  <c r="AD12" i="2"/>
  <c r="I12" i="2"/>
  <c r="AA12" i="2"/>
  <c r="O12" i="2"/>
  <c r="P12" i="2"/>
  <c r="AM12" i="2"/>
  <c r="Z12" i="2"/>
  <c r="N12" i="2"/>
  <c r="AG12" i="2"/>
  <c r="Y12" i="2"/>
  <c r="Q12" i="2"/>
  <c r="AK12" i="2"/>
  <c r="AC12" i="2"/>
  <c r="U12" i="2"/>
  <c r="M12" i="2"/>
  <c r="AJ12" i="2"/>
  <c r="AB12" i="2"/>
  <c r="T12" i="2"/>
  <c r="B31" i="3" l="1"/>
  <c r="G31" i="3" s="1"/>
  <c r="C31" i="3"/>
  <c r="H31" i="3" s="1"/>
  <c r="N13" i="1" l="1"/>
  <c r="O13" i="1"/>
  <c r="P13" i="1"/>
  <c r="Q13" i="1"/>
  <c r="R13" i="1"/>
  <c r="S13" i="1"/>
  <c r="T13" i="1"/>
  <c r="U13" i="1"/>
  <c r="D12" i="2" l="1"/>
  <c r="E12" i="2" s="1"/>
  <c r="F10" i="2"/>
  <c r="D7" i="2"/>
  <c r="E7" i="2" s="1"/>
  <c r="D4" i="2"/>
  <c r="M7" i="2" l="1"/>
  <c r="U7" i="2"/>
  <c r="AC7" i="2"/>
  <c r="AK7" i="2"/>
  <c r="X7" i="2"/>
  <c r="AJ7" i="2"/>
  <c r="N7" i="2"/>
  <c r="V7" i="2"/>
  <c r="AD7" i="2"/>
  <c r="AL7" i="2"/>
  <c r="P7" i="2"/>
  <c r="AF7" i="2"/>
  <c r="O7" i="2"/>
  <c r="W7" i="2"/>
  <c r="AE7" i="2"/>
  <c r="AM7" i="2"/>
  <c r="T7" i="2"/>
  <c r="I7" i="2"/>
  <c r="Q7" i="2"/>
  <c r="Y7" i="2"/>
  <c r="AG7" i="2"/>
  <c r="K7" i="2"/>
  <c r="AA7" i="2"/>
  <c r="AB7" i="2"/>
  <c r="J7" i="2"/>
  <c r="R7" i="2"/>
  <c r="Z7" i="2"/>
  <c r="AH7" i="2"/>
  <c r="S7" i="2"/>
  <c r="AI7" i="2"/>
  <c r="L7" i="2"/>
  <c r="F14" i="2"/>
  <c r="F11" i="2"/>
  <c r="E9" i="2"/>
  <c r="F9" i="2" s="1"/>
  <c r="F7" i="2"/>
  <c r="E6" i="2"/>
  <c r="F6" i="2" s="1"/>
  <c r="E4" i="2"/>
  <c r="C26" i="3" l="1"/>
  <c r="B26" i="3"/>
  <c r="K5" i="2"/>
  <c r="S5" i="2"/>
  <c r="AA5" i="2"/>
  <c r="AI5" i="2"/>
  <c r="V5" i="2"/>
  <c r="AL5" i="2"/>
  <c r="AH5" i="2"/>
  <c r="L5" i="2"/>
  <c r="T5" i="2"/>
  <c r="AB5" i="2"/>
  <c r="AJ5" i="2"/>
  <c r="N5" i="2"/>
  <c r="AD5" i="2"/>
  <c r="R5" i="2"/>
  <c r="M5" i="2"/>
  <c r="U5" i="2"/>
  <c r="AC5" i="2"/>
  <c r="AK5" i="2"/>
  <c r="J5" i="2"/>
  <c r="O5" i="2"/>
  <c r="W5" i="2"/>
  <c r="AE5" i="2"/>
  <c r="AM5" i="2"/>
  <c r="I5" i="2"/>
  <c r="Y5" i="2"/>
  <c r="P5" i="2"/>
  <c r="X5" i="2"/>
  <c r="AF5" i="2"/>
  <c r="Q5" i="2"/>
  <c r="AG5" i="2"/>
  <c r="Z5" i="2"/>
  <c r="L6" i="2"/>
  <c r="T6" i="2"/>
  <c r="AB6" i="2"/>
  <c r="AJ6" i="2"/>
  <c r="AE6" i="2"/>
  <c r="AI6" i="2"/>
  <c r="M6" i="2"/>
  <c r="U6" i="2"/>
  <c r="AC6" i="2"/>
  <c r="AK6" i="2"/>
  <c r="W6" i="2"/>
  <c r="AA6" i="2"/>
  <c r="N6" i="2"/>
  <c r="V6" i="2"/>
  <c r="AD6" i="2"/>
  <c r="AL6" i="2"/>
  <c r="O6" i="2"/>
  <c r="AM6" i="2"/>
  <c r="K6" i="2"/>
  <c r="P6" i="2"/>
  <c r="X6" i="2"/>
  <c r="AF6" i="2"/>
  <c r="J6" i="2"/>
  <c r="Z6" i="2"/>
  <c r="S6" i="2"/>
  <c r="I6" i="2"/>
  <c r="Q6" i="2"/>
  <c r="Y6" i="2"/>
  <c r="AG6" i="2"/>
  <c r="R6" i="2"/>
  <c r="AH6" i="2"/>
  <c r="N8" i="2"/>
  <c r="V8" i="2"/>
  <c r="AD8" i="2"/>
  <c r="AL8" i="2"/>
  <c r="Y8" i="2"/>
  <c r="O8" i="2"/>
  <c r="W8" i="2"/>
  <c r="AE8" i="2"/>
  <c r="AM8" i="2"/>
  <c r="Q8" i="2"/>
  <c r="M8" i="2"/>
  <c r="P8" i="2"/>
  <c r="X8" i="2"/>
  <c r="AF8" i="2"/>
  <c r="I8" i="2"/>
  <c r="AG8" i="2"/>
  <c r="AK8" i="2"/>
  <c r="J8" i="2"/>
  <c r="R8" i="2"/>
  <c r="Z8" i="2"/>
  <c r="AH8" i="2"/>
  <c r="T8" i="2"/>
  <c r="AJ8" i="2"/>
  <c r="U8" i="2"/>
  <c r="K8" i="2"/>
  <c r="S8" i="2"/>
  <c r="AA8" i="2"/>
  <c r="AI8" i="2"/>
  <c r="L8" i="2"/>
  <c r="AB8" i="2"/>
  <c r="AC8" i="2"/>
  <c r="J4" i="2"/>
  <c r="R4" i="2"/>
  <c r="Z4" i="2"/>
  <c r="AH4" i="2"/>
  <c r="AC4" i="2"/>
  <c r="AG4" i="2"/>
  <c r="K4" i="2"/>
  <c r="S4" i="2"/>
  <c r="AA4" i="2"/>
  <c r="AI4" i="2"/>
  <c r="U4" i="2"/>
  <c r="AK4" i="2"/>
  <c r="Q4" i="2"/>
  <c r="L4" i="2"/>
  <c r="T4" i="2"/>
  <c r="AB4" i="2"/>
  <c r="AJ4" i="2"/>
  <c r="M4" i="2"/>
  <c r="N4" i="2"/>
  <c r="V4" i="2"/>
  <c r="AD4" i="2"/>
  <c r="AL4" i="2"/>
  <c r="X4" i="2"/>
  <c r="Y4" i="2"/>
  <c r="O4" i="2"/>
  <c r="W4" i="2"/>
  <c r="AE4" i="2"/>
  <c r="AM4" i="2"/>
  <c r="P4" i="2"/>
  <c r="AF4" i="2"/>
  <c r="I4" i="2"/>
  <c r="P10" i="2"/>
  <c r="X10" i="2"/>
  <c r="AF10" i="2"/>
  <c r="S10" i="2"/>
  <c r="AE10" i="2"/>
  <c r="I10" i="2"/>
  <c r="Q10" i="2"/>
  <c r="Y10" i="2"/>
  <c r="AG10" i="2"/>
  <c r="AA10" i="2"/>
  <c r="O10" i="2"/>
  <c r="J10" i="2"/>
  <c r="R10" i="2"/>
  <c r="Z10" i="2"/>
  <c r="AH10" i="2"/>
  <c r="K10" i="2"/>
  <c r="AI10" i="2"/>
  <c r="W10" i="2"/>
  <c r="L10" i="2"/>
  <c r="T10" i="2"/>
  <c r="AB10" i="2"/>
  <c r="AJ10" i="2"/>
  <c r="V10" i="2"/>
  <c r="AL10" i="2"/>
  <c r="AM10" i="2"/>
  <c r="M10" i="2"/>
  <c r="U10" i="2"/>
  <c r="AC10" i="2"/>
  <c r="AK10" i="2"/>
  <c r="N10" i="2"/>
  <c r="AD10" i="2"/>
  <c r="F12" i="2"/>
  <c r="F16" i="2"/>
  <c r="F4" i="2"/>
  <c r="G26" i="3" l="1"/>
  <c r="H26" i="3"/>
  <c r="B24" i="3"/>
  <c r="C23" i="3"/>
  <c r="H23" i="3" s="1"/>
  <c r="B27" i="3"/>
  <c r="C25" i="3"/>
  <c r="H25" i="3" s="1"/>
  <c r="B23" i="3"/>
  <c r="G23" i="3" s="1"/>
  <c r="B29" i="3"/>
  <c r="C24" i="3"/>
  <c r="C29" i="3"/>
  <c r="C27" i="3"/>
  <c r="B25" i="3"/>
  <c r="G25" i="3" s="1"/>
  <c r="I11" i="2"/>
  <c r="Q11" i="2"/>
  <c r="Y11" i="2"/>
  <c r="AG11" i="2"/>
  <c r="L11" i="2"/>
  <c r="AJ11" i="2"/>
  <c r="AF11" i="2"/>
  <c r="J11" i="2"/>
  <c r="R11" i="2"/>
  <c r="Z11" i="2"/>
  <c r="AH11" i="2"/>
  <c r="T11" i="2"/>
  <c r="X11" i="2"/>
  <c r="K11" i="2"/>
  <c r="S11" i="2"/>
  <c r="AA11" i="2"/>
  <c r="AI11" i="2"/>
  <c r="AB11" i="2"/>
  <c r="M11" i="2"/>
  <c r="U11" i="2"/>
  <c r="AC11" i="2"/>
  <c r="AK11" i="2"/>
  <c r="W11" i="2"/>
  <c r="AM11" i="2"/>
  <c r="N11" i="2"/>
  <c r="V11" i="2"/>
  <c r="AD11" i="2"/>
  <c r="AL11" i="2"/>
  <c r="O11" i="2"/>
  <c r="AE11" i="2"/>
  <c r="P11" i="2"/>
  <c r="K3" i="2"/>
  <c r="S3" i="2"/>
  <c r="AA3" i="2"/>
  <c r="AI3" i="2"/>
  <c r="V3" i="2"/>
  <c r="AL3" i="2"/>
  <c r="L3" i="2"/>
  <c r="T3" i="2"/>
  <c r="AB3" i="2"/>
  <c r="AJ3" i="2"/>
  <c r="N3" i="2"/>
  <c r="AH3" i="2"/>
  <c r="M3" i="2"/>
  <c r="U3" i="2"/>
  <c r="AC3" i="2"/>
  <c r="AK3" i="2"/>
  <c r="AD3" i="2"/>
  <c r="J3" i="2"/>
  <c r="O3" i="2"/>
  <c r="W3" i="2"/>
  <c r="AE3" i="2"/>
  <c r="AM3" i="2"/>
  <c r="AG3" i="2"/>
  <c r="R3" i="2"/>
  <c r="C22" i="3" s="1"/>
  <c r="H22" i="3" s="1"/>
  <c r="P3" i="2"/>
  <c r="X3" i="2"/>
  <c r="AF3" i="2"/>
  <c r="I3" i="2"/>
  <c r="B22" i="3" s="1"/>
  <c r="G22" i="3" s="1"/>
  <c r="Q3" i="2"/>
  <c r="Y3" i="2"/>
  <c r="Z3" i="2"/>
  <c r="O9" i="2"/>
  <c r="W9" i="2"/>
  <c r="AE9" i="2"/>
  <c r="AM9" i="2"/>
  <c r="Z9" i="2"/>
  <c r="V9" i="2"/>
  <c r="P9" i="2"/>
  <c r="X9" i="2"/>
  <c r="AF9" i="2"/>
  <c r="J9" i="2"/>
  <c r="R9" i="2"/>
  <c r="AH9" i="2"/>
  <c r="N9" i="2"/>
  <c r="I9" i="2"/>
  <c r="Q9" i="2"/>
  <c r="Y9" i="2"/>
  <c r="AG9" i="2"/>
  <c r="K9" i="2"/>
  <c r="S9" i="2"/>
  <c r="AA9" i="2"/>
  <c r="AI9" i="2"/>
  <c r="U9" i="2"/>
  <c r="AK9" i="2"/>
  <c r="AD9" i="2"/>
  <c r="L9" i="2"/>
  <c r="T9" i="2"/>
  <c r="AB9" i="2"/>
  <c r="AJ9" i="2"/>
  <c r="M9" i="2"/>
  <c r="AC9" i="2"/>
  <c r="AL9" i="2"/>
  <c r="F20" i="2"/>
  <c r="E20" i="2"/>
  <c r="G27" i="3" l="1"/>
  <c r="H27" i="3"/>
  <c r="H29" i="3"/>
  <c r="G29" i="3"/>
  <c r="G24" i="3"/>
  <c r="H24" i="3"/>
  <c r="C28" i="3"/>
  <c r="C30" i="3"/>
  <c r="B30" i="3"/>
  <c r="B28" i="3"/>
  <c r="H25" i="1"/>
  <c r="J25" i="1" s="1"/>
  <c r="H24" i="1"/>
  <c r="H23" i="1"/>
  <c r="G23" i="1"/>
  <c r="G24" i="1"/>
  <c r="G25" i="1"/>
  <c r="H28" i="3" l="1"/>
  <c r="G28" i="3"/>
  <c r="G30" i="3"/>
  <c r="H30" i="3"/>
  <c r="G20" i="1"/>
  <c r="H20" i="1" s="1"/>
  <c r="J20" i="1" s="1"/>
  <c r="F16" i="1"/>
  <c r="F28" i="1"/>
  <c r="J24" i="1"/>
  <c r="J23" i="1"/>
  <c r="AC28" i="1" l="1"/>
  <c r="AK28" i="1"/>
  <c r="O28" i="1"/>
  <c r="M28" i="1"/>
  <c r="B17" i="3" s="1"/>
  <c r="X28" i="1"/>
  <c r="AP28" i="1"/>
  <c r="AQ28" i="1"/>
  <c r="V28" i="1"/>
  <c r="C17" i="3" s="1"/>
  <c r="H17" i="3" s="1"/>
  <c r="AD28" i="1"/>
  <c r="AL28" i="1"/>
  <c r="P28" i="1"/>
  <c r="AM28" i="1"/>
  <c r="R28" i="1"/>
  <c r="W28" i="1"/>
  <c r="AE28" i="1"/>
  <c r="Q28" i="1"/>
  <c r="AF28" i="1"/>
  <c r="T28" i="1"/>
  <c r="AA28" i="1"/>
  <c r="AJ28" i="1"/>
  <c r="AN28" i="1"/>
  <c r="AH28" i="1"/>
  <c r="U28" i="1"/>
  <c r="AB28" i="1"/>
  <c r="Y28" i="1"/>
  <c r="AG28" i="1"/>
  <c r="AO28" i="1"/>
  <c r="S28" i="1"/>
  <c r="Z28" i="1"/>
  <c r="AI28" i="1"/>
  <c r="N28" i="1"/>
  <c r="J26" i="1"/>
  <c r="B20" i="1" s="1"/>
  <c r="F20" i="1" s="1"/>
  <c r="AN16" i="1" s="1"/>
  <c r="T23" i="1"/>
  <c r="O23" i="1"/>
  <c r="U23" i="1"/>
  <c r="N23" i="1"/>
  <c r="P23" i="1"/>
  <c r="Q23" i="1"/>
  <c r="R23" i="1"/>
  <c r="S23" i="1"/>
  <c r="F30" i="1"/>
  <c r="F32" i="1"/>
  <c r="F29" i="1"/>
  <c r="F31" i="1"/>
  <c r="Q14" i="1"/>
  <c r="Y14" i="1"/>
  <c r="AG14" i="1"/>
  <c r="AO14" i="1"/>
  <c r="R14" i="1"/>
  <c r="AH14" i="1"/>
  <c r="AA14" i="1"/>
  <c r="AQ14" i="1"/>
  <c r="AB14" i="1"/>
  <c r="AC14" i="1"/>
  <c r="N14" i="1"/>
  <c r="O14" i="1"/>
  <c r="AM14" i="1"/>
  <c r="X14" i="1"/>
  <c r="Z14" i="1"/>
  <c r="AP14" i="1"/>
  <c r="AI14" i="1"/>
  <c r="T14" i="1"/>
  <c r="W14" i="1"/>
  <c r="S14" i="1"/>
  <c r="AJ14" i="1"/>
  <c r="AK14" i="1"/>
  <c r="V14" i="1"/>
  <c r="AE14" i="1"/>
  <c r="AN14" i="1"/>
  <c r="M14" i="1"/>
  <c r="U14" i="1"/>
  <c r="AL14" i="1"/>
  <c r="AF14" i="1"/>
  <c r="AD14" i="1"/>
  <c r="P14" i="1"/>
  <c r="F17" i="1"/>
  <c r="X23" i="1"/>
  <c r="AF23" i="1"/>
  <c r="AN23" i="1"/>
  <c r="AG23" i="1"/>
  <c r="AH23" i="1"/>
  <c r="AO23" i="1"/>
  <c r="Z23" i="1"/>
  <c r="AB23" i="1"/>
  <c r="AJ23" i="1"/>
  <c r="M23" i="1"/>
  <c r="AC23" i="1"/>
  <c r="AK23" i="1"/>
  <c r="Y23" i="1"/>
  <c r="AP23" i="1"/>
  <c r="V23" i="1"/>
  <c r="AD23" i="1"/>
  <c r="AL23" i="1"/>
  <c r="AA23" i="1"/>
  <c r="AI23" i="1"/>
  <c r="AQ23" i="1"/>
  <c r="W23" i="1"/>
  <c r="AE23" i="1"/>
  <c r="AM23" i="1"/>
  <c r="G17" i="3" l="1"/>
  <c r="N40" i="1"/>
  <c r="V40" i="1"/>
  <c r="O40" i="1"/>
  <c r="M40" i="1"/>
  <c r="P40" i="1"/>
  <c r="Q40" i="1"/>
  <c r="S40" i="1"/>
  <c r="T40" i="1"/>
  <c r="R40" i="1"/>
  <c r="U40" i="1"/>
  <c r="C12" i="3"/>
  <c r="H12" i="3" s="1"/>
  <c r="B12" i="3"/>
  <c r="G12" i="3" s="1"/>
  <c r="B2" i="3"/>
  <c r="B3" i="3"/>
  <c r="G3" i="3" s="1"/>
  <c r="C2" i="3"/>
  <c r="C3" i="3"/>
  <c r="H3" i="3" s="1"/>
  <c r="B25" i="1"/>
  <c r="F25" i="1" s="1"/>
  <c r="AD21" i="1" s="1"/>
  <c r="B23" i="1"/>
  <c r="F23" i="1" s="1"/>
  <c r="B24" i="1"/>
  <c r="F24" i="1" s="1"/>
  <c r="F26" i="1" s="1"/>
  <c r="AP16" i="1"/>
  <c r="Z16" i="1"/>
  <c r="AM16" i="1"/>
  <c r="AC16" i="1"/>
  <c r="AL16" i="1"/>
  <c r="AE16" i="1"/>
  <c r="M16" i="1"/>
  <c r="AD16" i="1"/>
  <c r="Y16" i="1"/>
  <c r="AO16" i="1"/>
  <c r="AF16" i="1"/>
  <c r="W16" i="1"/>
  <c r="V16" i="1"/>
  <c r="AQ16" i="1"/>
  <c r="AA16" i="1"/>
  <c r="X16" i="1"/>
  <c r="AJ16" i="1"/>
  <c r="AG16" i="1"/>
  <c r="AB16" i="1"/>
  <c r="AI16" i="1"/>
  <c r="AH16" i="1"/>
  <c r="AK16" i="1"/>
  <c r="O26" i="1"/>
  <c r="W26" i="1"/>
  <c r="AE26" i="1"/>
  <c r="AM26" i="1"/>
  <c r="AA26" i="1"/>
  <c r="AL26" i="1"/>
  <c r="P26" i="1"/>
  <c r="X26" i="1"/>
  <c r="AF26" i="1"/>
  <c r="AN26" i="1"/>
  <c r="AI26" i="1"/>
  <c r="AB26" i="1"/>
  <c r="V26" i="1"/>
  <c r="Q26" i="1"/>
  <c r="Y26" i="1"/>
  <c r="AG26" i="1"/>
  <c r="AO26" i="1"/>
  <c r="S26" i="1"/>
  <c r="T26" i="1"/>
  <c r="R26" i="1"/>
  <c r="Z26" i="1"/>
  <c r="AH26" i="1"/>
  <c r="AP26" i="1"/>
  <c r="AQ26" i="1"/>
  <c r="M26" i="1"/>
  <c r="N26" i="1"/>
  <c r="AJ26" i="1"/>
  <c r="U26" i="1"/>
  <c r="AC26" i="1"/>
  <c r="AK26" i="1"/>
  <c r="AD26" i="1"/>
  <c r="Z24" i="1"/>
  <c r="AH24" i="1"/>
  <c r="AP24" i="1"/>
  <c r="AJ24" i="1"/>
  <c r="AC24" i="1"/>
  <c r="AD24" i="1"/>
  <c r="AA24" i="1"/>
  <c r="AI24" i="1"/>
  <c r="AQ24" i="1"/>
  <c r="V24" i="1"/>
  <c r="AM24" i="1"/>
  <c r="AG24" i="1"/>
  <c r="AB24" i="1"/>
  <c r="AK24" i="1"/>
  <c r="M24" i="1"/>
  <c r="AL24" i="1"/>
  <c r="AE24" i="1"/>
  <c r="Y24" i="1"/>
  <c r="W24" i="1"/>
  <c r="X24" i="1"/>
  <c r="AF24" i="1"/>
  <c r="AN24" i="1"/>
  <c r="AO24" i="1"/>
  <c r="P15" i="1"/>
  <c r="X15" i="1"/>
  <c r="AF15" i="1"/>
  <c r="AN15" i="1"/>
  <c r="S15" i="1"/>
  <c r="AI15" i="1"/>
  <c r="AJ15" i="1"/>
  <c r="W15" i="1"/>
  <c r="Q15" i="1"/>
  <c r="Y15" i="1"/>
  <c r="AG15" i="1"/>
  <c r="AO15" i="1"/>
  <c r="AB15" i="1"/>
  <c r="AK15" i="1"/>
  <c r="N15" i="1"/>
  <c r="AE15" i="1"/>
  <c r="R15" i="1"/>
  <c r="Z15" i="1"/>
  <c r="AH15" i="1"/>
  <c r="AP15" i="1"/>
  <c r="AA15" i="1"/>
  <c r="AQ15" i="1"/>
  <c r="M15" i="1"/>
  <c r="U15" i="1"/>
  <c r="V15" i="1"/>
  <c r="O15" i="1"/>
  <c r="AM15" i="1"/>
  <c r="AC15" i="1"/>
  <c r="AD15" i="1"/>
  <c r="T15" i="1"/>
  <c r="AL15" i="1"/>
  <c r="F42" i="1"/>
  <c r="P25" i="1"/>
  <c r="X25" i="1"/>
  <c r="AF25" i="1"/>
  <c r="AN25" i="1"/>
  <c r="AH25" i="1"/>
  <c r="AB25" i="1"/>
  <c r="U25" i="1"/>
  <c r="Q25" i="1"/>
  <c r="Y25" i="1"/>
  <c r="AG25" i="1"/>
  <c r="AO25" i="1"/>
  <c r="AP25" i="1"/>
  <c r="AI25" i="1"/>
  <c r="M25" i="1"/>
  <c r="AC25" i="1"/>
  <c r="R25" i="1"/>
  <c r="Z25" i="1"/>
  <c r="AK25" i="1"/>
  <c r="W25" i="1"/>
  <c r="S25" i="1"/>
  <c r="AA25" i="1"/>
  <c r="AQ25" i="1"/>
  <c r="AJ25" i="1"/>
  <c r="O25" i="1"/>
  <c r="T25" i="1"/>
  <c r="AM25" i="1"/>
  <c r="N25" i="1"/>
  <c r="V25" i="1"/>
  <c r="AD25" i="1"/>
  <c r="AL25" i="1"/>
  <c r="AE25" i="1"/>
  <c r="F46" i="1"/>
  <c r="P16" i="1"/>
  <c r="T16" i="1"/>
  <c r="Q16" i="1"/>
  <c r="R16" i="1"/>
  <c r="S16" i="1"/>
  <c r="O16" i="1"/>
  <c r="U16" i="1"/>
  <c r="N16" i="1"/>
  <c r="F22" i="1"/>
  <c r="F21" i="1"/>
  <c r="N19" i="1"/>
  <c r="V19" i="1"/>
  <c r="AD19" i="1"/>
  <c r="AL19" i="1"/>
  <c r="W19" i="1"/>
  <c r="AE19" i="1"/>
  <c r="AM19" i="1"/>
  <c r="AN19" i="1"/>
  <c r="Q19" i="1"/>
  <c r="AH19" i="1"/>
  <c r="AA19" i="1"/>
  <c r="T19" i="1"/>
  <c r="M19" i="1"/>
  <c r="U19" i="1"/>
  <c r="O19" i="1"/>
  <c r="AO19" i="1"/>
  <c r="AP19" i="1"/>
  <c r="AJ19" i="1"/>
  <c r="AC19" i="1"/>
  <c r="P19" i="1"/>
  <c r="X19" i="1"/>
  <c r="AF19" i="1"/>
  <c r="AG19" i="1"/>
  <c r="R19" i="1"/>
  <c r="S19" i="1"/>
  <c r="AI19" i="1"/>
  <c r="AB19" i="1"/>
  <c r="AK19" i="1"/>
  <c r="Y19" i="1"/>
  <c r="Z19" i="1"/>
  <c r="AQ19" i="1"/>
  <c r="N27" i="1"/>
  <c r="V27" i="1"/>
  <c r="AD27" i="1"/>
  <c r="AL27" i="1"/>
  <c r="Z27" i="1"/>
  <c r="AQ27" i="1"/>
  <c r="O27" i="1"/>
  <c r="W27" i="1"/>
  <c r="AE27" i="1"/>
  <c r="AM27" i="1"/>
  <c r="R27" i="1"/>
  <c r="AA27" i="1"/>
  <c r="P27" i="1"/>
  <c r="X27" i="1"/>
  <c r="AF27" i="1"/>
  <c r="AN27" i="1"/>
  <c r="Q27" i="1"/>
  <c r="Y27" i="1"/>
  <c r="AG27" i="1"/>
  <c r="AO27" i="1"/>
  <c r="AP27" i="1"/>
  <c r="AI27" i="1"/>
  <c r="AH27" i="1"/>
  <c r="S27" i="1"/>
  <c r="T27" i="1"/>
  <c r="AB27" i="1"/>
  <c r="AJ27" i="1"/>
  <c r="M27" i="1"/>
  <c r="U27" i="1"/>
  <c r="AC27" i="1"/>
  <c r="AK27" i="1"/>
  <c r="F47" i="1"/>
  <c r="U20" i="1"/>
  <c r="AC20" i="1"/>
  <c r="AK20" i="1"/>
  <c r="AL20" i="1"/>
  <c r="X20" i="1"/>
  <c r="AN20" i="1"/>
  <c r="AG20" i="1"/>
  <c r="AO20" i="1"/>
  <c r="AB20" i="1"/>
  <c r="N20" i="1"/>
  <c r="V20" i="1"/>
  <c r="AD20" i="1"/>
  <c r="P20" i="1"/>
  <c r="Q20" i="1"/>
  <c r="O20" i="1"/>
  <c r="W20" i="1"/>
  <c r="AE20" i="1"/>
  <c r="AM20" i="1"/>
  <c r="AF20" i="1"/>
  <c r="Y20" i="1"/>
  <c r="AJ20" i="1"/>
  <c r="R20" i="1"/>
  <c r="Z20" i="1"/>
  <c r="AH20" i="1"/>
  <c r="AP20" i="1"/>
  <c r="S20" i="1"/>
  <c r="AA20" i="1"/>
  <c r="AI20" i="1"/>
  <c r="AQ20" i="1"/>
  <c r="T20" i="1"/>
  <c r="M20" i="1"/>
  <c r="H2" i="3" l="1"/>
  <c r="G2" i="3"/>
  <c r="Y22" i="1"/>
  <c r="AI22" i="1"/>
  <c r="U22" i="1"/>
  <c r="AD22" i="1"/>
  <c r="AG22" i="1"/>
  <c r="AJ22" i="1"/>
  <c r="R22" i="1"/>
  <c r="AQ22" i="1"/>
  <c r="AE22" i="1"/>
  <c r="AL22" i="1"/>
  <c r="Z22" i="1"/>
  <c r="AC22" i="1"/>
  <c r="AF22" i="1"/>
  <c r="W22" i="1"/>
  <c r="AK22" i="1"/>
  <c r="S22" i="1"/>
  <c r="M22" i="1"/>
  <c r="B11" i="3" s="1"/>
  <c r="G11" i="3" s="1"/>
  <c r="AH22" i="1"/>
  <c r="P22" i="1"/>
  <c r="O22" i="1"/>
  <c r="AM22" i="1"/>
  <c r="AB22" i="1"/>
  <c r="N22" i="1"/>
  <c r="V22" i="1"/>
  <c r="C11" i="3" s="1"/>
  <c r="H11" i="3" s="1"/>
  <c r="AP22" i="1"/>
  <c r="T22" i="1"/>
  <c r="X22" i="1"/>
  <c r="AN22" i="1"/>
  <c r="Q22" i="1"/>
  <c r="AO22" i="1"/>
  <c r="AA22" i="1"/>
  <c r="AQ21" i="1"/>
  <c r="C13" i="3"/>
  <c r="H13" i="3" s="1"/>
  <c r="C9" i="3"/>
  <c r="H9" i="3" s="1"/>
  <c r="C8" i="3"/>
  <c r="H8" i="3" s="1"/>
  <c r="B13" i="3"/>
  <c r="G13" i="3" s="1"/>
  <c r="B8" i="3"/>
  <c r="G8" i="3" s="1"/>
  <c r="B9" i="3"/>
  <c r="G9" i="3" s="1"/>
  <c r="C16" i="3"/>
  <c r="H16" i="3" s="1"/>
  <c r="B14" i="3"/>
  <c r="G14" i="3" s="1"/>
  <c r="B15" i="3"/>
  <c r="G15" i="3" s="1"/>
  <c r="B5" i="3"/>
  <c r="G5" i="3" s="1"/>
  <c r="C14" i="3"/>
  <c r="H14" i="3" s="1"/>
  <c r="C4" i="3"/>
  <c r="H4" i="3" s="1"/>
  <c r="C5" i="3"/>
  <c r="H5" i="3" s="1"/>
  <c r="B4" i="3"/>
  <c r="G4" i="3" s="1"/>
  <c r="C15" i="3"/>
  <c r="H15" i="3" s="1"/>
  <c r="B16" i="3"/>
  <c r="G16" i="3" s="1"/>
  <c r="AG21" i="1"/>
  <c r="AK21" i="1"/>
  <c r="V21" i="1"/>
  <c r="T21" i="1"/>
  <c r="AH21" i="1"/>
  <c r="AF21" i="1"/>
  <c r="AM21" i="1"/>
  <c r="Y21" i="1"/>
  <c r="O21" i="1"/>
  <c r="M21" i="1"/>
  <c r="AI21" i="1"/>
  <c r="Q21" i="1"/>
  <c r="AL21" i="1"/>
  <c r="AJ21" i="1"/>
  <c r="AA21" i="1"/>
  <c r="AN21" i="1"/>
  <c r="N21" i="1"/>
  <c r="AB21" i="1"/>
  <c r="S21" i="1"/>
  <c r="X21" i="1"/>
  <c r="AC21" i="1"/>
  <c r="Z21" i="1"/>
  <c r="AP21" i="1"/>
  <c r="P21" i="1"/>
  <c r="U21" i="1"/>
  <c r="W21" i="1"/>
  <c r="AO21" i="1"/>
  <c r="R21" i="1"/>
  <c r="AE21" i="1"/>
  <c r="F45" i="1"/>
  <c r="O39" i="1"/>
  <c r="W39" i="1"/>
  <c r="AE39" i="1"/>
  <c r="AM39" i="1"/>
  <c r="P39" i="1"/>
  <c r="X39" i="1"/>
  <c r="AF39" i="1"/>
  <c r="AN39" i="1"/>
  <c r="AB39" i="1"/>
  <c r="AD39" i="1"/>
  <c r="Q39" i="1"/>
  <c r="Y39" i="1"/>
  <c r="AG39" i="1"/>
  <c r="AO39" i="1"/>
  <c r="S39" i="1"/>
  <c r="M39" i="1"/>
  <c r="R39" i="1"/>
  <c r="Z39" i="1"/>
  <c r="AH39" i="1"/>
  <c r="AP39" i="1"/>
  <c r="AQ39" i="1"/>
  <c r="T39" i="1"/>
  <c r="AA39" i="1"/>
  <c r="AI39" i="1"/>
  <c r="AJ39" i="1"/>
  <c r="U39" i="1"/>
  <c r="AC39" i="1"/>
  <c r="AK39" i="1"/>
  <c r="N39" i="1"/>
  <c r="V39" i="1"/>
  <c r="AL39" i="1"/>
  <c r="N17" i="1"/>
  <c r="V17" i="1"/>
  <c r="AD17" i="1"/>
  <c r="AL17" i="1"/>
  <c r="Y17" i="1"/>
  <c r="AO17" i="1"/>
  <c r="AI17" i="1"/>
  <c r="M17" i="1"/>
  <c r="B6" i="3" s="1"/>
  <c r="G6" i="3" s="1"/>
  <c r="AB17" i="1"/>
  <c r="U17" i="1"/>
  <c r="O17" i="1"/>
  <c r="W17" i="1"/>
  <c r="AE17" i="1"/>
  <c r="AM17" i="1"/>
  <c r="AG17" i="1"/>
  <c r="Z17" i="1"/>
  <c r="P17" i="1"/>
  <c r="X17" i="1"/>
  <c r="AF17" i="1"/>
  <c r="AN17" i="1"/>
  <c r="AP17" i="1"/>
  <c r="AC17" i="1"/>
  <c r="Q17" i="1"/>
  <c r="AH17" i="1"/>
  <c r="AA17" i="1"/>
  <c r="T17" i="1"/>
  <c r="AK17" i="1"/>
  <c r="R17" i="1"/>
  <c r="S17" i="1"/>
  <c r="AQ17" i="1"/>
  <c r="AJ17" i="1"/>
  <c r="F43" i="1"/>
  <c r="P18" i="1"/>
  <c r="X18" i="1"/>
  <c r="AF18" i="1"/>
  <c r="AN18" i="1"/>
  <c r="AA18" i="1"/>
  <c r="AQ18" i="1"/>
  <c r="AB18" i="1"/>
  <c r="AL18" i="1"/>
  <c r="W18" i="1"/>
  <c r="Q18" i="1"/>
  <c r="Y18" i="1"/>
  <c r="AG18" i="1"/>
  <c r="AO18" i="1"/>
  <c r="AJ18" i="1"/>
  <c r="AC18" i="1"/>
  <c r="N18" i="1"/>
  <c r="AD18" i="1"/>
  <c r="AE18" i="1"/>
  <c r="R18" i="1"/>
  <c r="Z18" i="1"/>
  <c r="AH18" i="1"/>
  <c r="AP18" i="1"/>
  <c r="S18" i="1"/>
  <c r="AI18" i="1"/>
  <c r="M18" i="1"/>
  <c r="U18" i="1"/>
  <c r="O18" i="1"/>
  <c r="AK18" i="1"/>
  <c r="T18" i="1"/>
  <c r="V18" i="1"/>
  <c r="AM18" i="1"/>
  <c r="F44" i="1"/>
  <c r="U38" i="1"/>
  <c r="AC38" i="1"/>
  <c r="AK38" i="1"/>
  <c r="Q38" i="1"/>
  <c r="AP38" i="1"/>
  <c r="N38" i="1"/>
  <c r="V38" i="1"/>
  <c r="AD38" i="1"/>
  <c r="AL38" i="1"/>
  <c r="AO38" i="1"/>
  <c r="R38" i="1"/>
  <c r="O38" i="1"/>
  <c r="W38" i="1"/>
  <c r="AE38" i="1"/>
  <c r="AM38" i="1"/>
  <c r="AH38" i="1"/>
  <c r="P38" i="1"/>
  <c r="X38" i="1"/>
  <c r="AF38" i="1"/>
  <c r="AN38" i="1"/>
  <c r="Y38" i="1"/>
  <c r="AG38" i="1"/>
  <c r="Z38" i="1"/>
  <c r="S38" i="1"/>
  <c r="AA38" i="1"/>
  <c r="AI38" i="1"/>
  <c r="AQ38" i="1"/>
  <c r="M38" i="1"/>
  <c r="T38" i="1"/>
  <c r="AB38" i="1"/>
  <c r="AJ38" i="1"/>
  <c r="F51" i="1" l="1"/>
  <c r="U51" i="1" s="1"/>
  <c r="C7" i="3"/>
  <c r="H7" i="3" s="1"/>
  <c r="B10" i="3"/>
  <c r="G10" i="3" s="1"/>
  <c r="C10" i="3"/>
  <c r="H10" i="3" s="1"/>
  <c r="B7" i="3"/>
  <c r="G7" i="3" s="1"/>
  <c r="C6" i="3"/>
  <c r="H6" i="3" s="1"/>
  <c r="S37" i="1"/>
  <c r="AA37" i="1"/>
  <c r="AI37" i="1"/>
  <c r="AQ37" i="1"/>
  <c r="AN37" i="1"/>
  <c r="M37" i="1"/>
  <c r="T37" i="1"/>
  <c r="AB37" i="1"/>
  <c r="AJ37" i="1"/>
  <c r="X37" i="1"/>
  <c r="U37" i="1"/>
  <c r="AC37" i="1"/>
  <c r="AK37" i="1"/>
  <c r="P37" i="1"/>
  <c r="N37" i="1"/>
  <c r="V37" i="1"/>
  <c r="AD37" i="1"/>
  <c r="AL37" i="1"/>
  <c r="AF37" i="1"/>
  <c r="O37" i="1"/>
  <c r="W37" i="1"/>
  <c r="AE37" i="1"/>
  <c r="AM37" i="1"/>
  <c r="Q37" i="1"/>
  <c r="Y37" i="1"/>
  <c r="AG37" i="1"/>
  <c r="AO37" i="1"/>
  <c r="R37" i="1"/>
  <c r="Z37" i="1"/>
  <c r="AH37" i="1"/>
  <c r="AP37" i="1"/>
  <c r="Q36" i="1"/>
  <c r="Y36" i="1"/>
  <c r="AG36" i="1"/>
  <c r="AO36" i="1"/>
  <c r="M36" i="1"/>
  <c r="AD36" i="1"/>
  <c r="R36" i="1"/>
  <c r="Z36" i="1"/>
  <c r="AH36" i="1"/>
  <c r="AP36" i="1"/>
  <c r="N36" i="1"/>
  <c r="S36" i="1"/>
  <c r="AA36" i="1"/>
  <c r="AI36" i="1"/>
  <c r="AQ36" i="1"/>
  <c r="T36" i="1"/>
  <c r="AB36" i="1"/>
  <c r="AJ36" i="1"/>
  <c r="V36" i="1"/>
  <c r="U36" i="1"/>
  <c r="AC36" i="1"/>
  <c r="AK36" i="1"/>
  <c r="AL36" i="1"/>
  <c r="O36" i="1"/>
  <c r="W36" i="1"/>
  <c r="AE36" i="1"/>
  <c r="AM36" i="1"/>
  <c r="P36" i="1"/>
  <c r="X36" i="1"/>
  <c r="AF36" i="1"/>
  <c r="AN36" i="1"/>
  <c r="O35" i="1"/>
  <c r="W35" i="1"/>
  <c r="AE35" i="1"/>
  <c r="AM35" i="1"/>
  <c r="AJ35" i="1"/>
  <c r="P35" i="1"/>
  <c r="X35" i="1"/>
  <c r="AF35" i="1"/>
  <c r="AN35" i="1"/>
  <c r="M35" i="1"/>
  <c r="Q35" i="1"/>
  <c r="Y35" i="1"/>
  <c r="AG35" i="1"/>
  <c r="AO35" i="1"/>
  <c r="T35" i="1"/>
  <c r="R35" i="1"/>
  <c r="Z35" i="1"/>
  <c r="AH35" i="1"/>
  <c r="AP35" i="1"/>
  <c r="AB35" i="1"/>
  <c r="S35" i="1"/>
  <c r="AA35" i="1"/>
  <c r="AI35" i="1"/>
  <c r="AQ35" i="1"/>
  <c r="U35" i="1"/>
  <c r="AC35" i="1"/>
  <c r="AK35" i="1"/>
  <c r="N35" i="1"/>
  <c r="V35" i="1"/>
  <c r="AD35" i="1"/>
  <c r="AL35" i="1"/>
  <c r="M51" i="1" l="1"/>
  <c r="B34" i="3" s="1"/>
  <c r="AP51" i="1"/>
  <c r="Z51" i="1"/>
  <c r="AL51" i="1"/>
  <c r="AM51" i="1"/>
  <c r="W51" i="1"/>
  <c r="AI51" i="1"/>
  <c r="X51" i="1"/>
  <c r="AK51" i="1"/>
  <c r="AC51" i="1"/>
  <c r="AF51" i="1"/>
  <c r="R51" i="1"/>
  <c r="AN51" i="1"/>
  <c r="AJ51" i="1"/>
  <c r="AA51" i="1"/>
  <c r="N51" i="1"/>
  <c r="AD51" i="1"/>
  <c r="Y51" i="1"/>
  <c r="AE51" i="1"/>
  <c r="P51" i="1"/>
  <c r="AQ51" i="1"/>
  <c r="T51" i="1"/>
  <c r="AG51" i="1"/>
  <c r="AB51" i="1"/>
  <c r="Q51" i="1"/>
  <c r="V51" i="1"/>
  <c r="C34" i="3" s="1"/>
  <c r="AO51" i="1"/>
  <c r="S51" i="1"/>
  <c r="AH51" i="1"/>
  <c r="O51" i="1"/>
  <c r="N33" i="1"/>
  <c r="N48" i="1" s="1"/>
  <c r="T33" i="1"/>
  <c r="T48" i="1" s="1"/>
  <c r="AM33" i="1"/>
  <c r="AM48" i="1" s="1"/>
  <c r="V33" i="1"/>
  <c r="V48" i="1" s="1"/>
  <c r="U33" i="1"/>
  <c r="U48" i="1" s="1"/>
  <c r="Z33" i="1"/>
  <c r="Z48" i="1" s="1"/>
  <c r="AN33" i="1"/>
  <c r="AN48" i="1" s="1"/>
  <c r="O33" i="1"/>
  <c r="O48" i="1" s="1"/>
  <c r="AO33" i="1"/>
  <c r="AO48" i="1" s="1"/>
  <c r="AQ33" i="1"/>
  <c r="AQ48" i="1" s="1"/>
  <c r="R33" i="1"/>
  <c r="R48" i="1" s="1"/>
  <c r="AC33" i="1"/>
  <c r="AC48" i="1" s="1"/>
  <c r="S33" i="1"/>
  <c r="S48" i="1" s="1"/>
  <c r="AB33" i="1"/>
  <c r="AB48" i="1" s="1"/>
  <c r="Q33" i="1"/>
  <c r="Q48" i="1" s="1"/>
  <c r="AF33" i="1"/>
  <c r="AF48" i="1" s="1"/>
  <c r="Y33" i="1"/>
  <c r="Y48" i="1" s="1"/>
  <c r="AG33" i="1"/>
  <c r="AG48" i="1" s="1"/>
  <c r="AJ33" i="1"/>
  <c r="AJ48" i="1" s="1"/>
  <c r="AK33" i="1"/>
  <c r="AK48" i="1" s="1"/>
  <c r="AP33" i="1"/>
  <c r="AP48" i="1" s="1"/>
  <c r="AE33" i="1"/>
  <c r="AE48" i="1" s="1"/>
  <c r="AH33" i="1"/>
  <c r="AH48" i="1" s="1"/>
  <c r="M33" i="1"/>
  <c r="M48" i="1" s="1"/>
  <c r="W33" i="1"/>
  <c r="W48" i="1" s="1"/>
  <c r="AL33" i="1"/>
  <c r="AL48" i="1" s="1"/>
  <c r="AI33" i="1"/>
  <c r="AI48" i="1" s="1"/>
  <c r="X33" i="1"/>
  <c r="X48" i="1" s="1"/>
  <c r="AD33" i="1"/>
  <c r="AD48" i="1" s="1"/>
  <c r="AA33" i="1"/>
  <c r="AA48" i="1" s="1"/>
  <c r="P33" i="1"/>
  <c r="P48" i="1" s="1"/>
  <c r="C32" i="3" l="1"/>
  <c r="B32" i="3"/>
  <c r="B35" i="3" l="1"/>
  <c r="G32" i="3"/>
  <c r="G35" i="3" s="1"/>
  <c r="C35" i="3"/>
  <c r="H32" i="3"/>
  <c r="H35" i="3" s="1"/>
  <c r="C2" i="7" l="1"/>
  <c r="C12" i="4"/>
  <c r="C1" i="7"/>
  <c r="B12" i="4"/>
</calcChain>
</file>

<file path=xl/sharedStrings.xml><?xml version="1.0" encoding="utf-8"?>
<sst xmlns="http://schemas.openxmlformats.org/spreadsheetml/2006/main" count="278" uniqueCount="171">
  <si>
    <t>thickness (nm)</t>
  </si>
  <si>
    <t>area (m2)</t>
  </si>
  <si>
    <t>density (kg/m3)</t>
  </si>
  <si>
    <t>utilization efficiency</t>
  </si>
  <si>
    <t>mass (kg)</t>
  </si>
  <si>
    <t>Substrate</t>
  </si>
  <si>
    <t>ITO glass</t>
  </si>
  <si>
    <t>HTL</t>
  </si>
  <si>
    <t>PL</t>
  </si>
  <si>
    <t>PbI2</t>
  </si>
  <si>
    <t>DMF</t>
  </si>
  <si>
    <t>FAI</t>
  </si>
  <si>
    <t>ETL</t>
  </si>
  <si>
    <t>Electrode</t>
  </si>
  <si>
    <t>Direct emissions</t>
  </si>
  <si>
    <t>Mass of module</t>
  </si>
  <si>
    <t>SnO2</t>
  </si>
  <si>
    <t>H2O</t>
  </si>
  <si>
    <t>Spiro-OMeTAD</t>
  </si>
  <si>
    <t>LiTFSI</t>
  </si>
  <si>
    <t>DMSO</t>
  </si>
  <si>
    <t>MABr</t>
  </si>
  <si>
    <t>MACl</t>
  </si>
  <si>
    <t>mol</t>
  </si>
  <si>
    <t>g</t>
  </si>
  <si>
    <t>Power (W)</t>
  </si>
  <si>
    <t>Time (s)</t>
  </si>
  <si>
    <t>Electricity consumption (MJ)</t>
  </si>
  <si>
    <t>Substrate treatment</t>
  </si>
  <si>
    <t>ETL deposition</t>
  </si>
  <si>
    <t>Perovskite layer deposition</t>
  </si>
  <si>
    <t>Hole transporter layer deposition</t>
  </si>
  <si>
    <t>Electrode deposition</t>
  </si>
  <si>
    <t>Sputtering</t>
  </si>
  <si>
    <t>Total</t>
  </si>
  <si>
    <t>IPCC 2013/kg CO2-Eq</t>
  </si>
  <si>
    <t>cumulative energy demand/MJ-Eq</t>
  </si>
  <si>
    <t xml:space="preserve">ReCiPe Midpoint (E) </t>
  </si>
  <si>
    <t>ReCiPe Endpoint (E,A)</t>
  </si>
  <si>
    <t>biomass</t>
  </si>
  <si>
    <t>fossil</t>
  </si>
  <si>
    <t>geothermal</t>
  </si>
  <si>
    <t>nuclear</t>
  </si>
  <si>
    <t>forest</t>
  </si>
  <si>
    <t>solar</t>
  </si>
  <si>
    <t>water</t>
  </si>
  <si>
    <t>wind</t>
  </si>
  <si>
    <t>total</t>
  </si>
  <si>
    <t>agricultural land occupation</t>
  </si>
  <si>
    <t>climate change</t>
  </si>
  <si>
    <t>fossil depletion</t>
  </si>
  <si>
    <t>freshwater ecotoxicity</t>
  </si>
  <si>
    <t>freshwater eutrophication</t>
  </si>
  <si>
    <t>human toxicity</t>
  </si>
  <si>
    <t>ionising radiation</t>
  </si>
  <si>
    <t>marine ecotoxicity</t>
  </si>
  <si>
    <t>marine eutrophication</t>
  </si>
  <si>
    <t>metal depletion</t>
  </si>
  <si>
    <t>natural land transformation</t>
  </si>
  <si>
    <t>ozone depletion</t>
  </si>
  <si>
    <t>particulate matter formation</t>
  </si>
  <si>
    <t>photochemical oxidant formation</t>
  </si>
  <si>
    <t>terrestrial acidification</t>
  </si>
  <si>
    <t>terrestrial ecotoxicity</t>
  </si>
  <si>
    <t>urban land occupation</t>
  </si>
  <si>
    <t>water depletion</t>
  </si>
  <si>
    <t>ecosystem quality</t>
  </si>
  <si>
    <t>human health</t>
  </si>
  <si>
    <t>resources</t>
  </si>
  <si>
    <t>Carbon footprint</t>
  </si>
  <si>
    <t>Primary energy consumption</t>
  </si>
  <si>
    <t>Encapsulation</t>
  </si>
  <si>
    <t>Lamination</t>
  </si>
  <si>
    <t>End of life</t>
  </si>
  <si>
    <t>Treatment</t>
  </si>
  <si>
    <t>Adhesive</t>
  </si>
  <si>
    <t>PET</t>
  </si>
  <si>
    <t>Acetonitrile</t>
  </si>
  <si>
    <t>Chlorobenzene</t>
  </si>
  <si>
    <t>4-tert Butylpyridine</t>
  </si>
  <si>
    <t>ETL slot-die coating</t>
  </si>
  <si>
    <t>PL 1st-step slot-die coating</t>
  </si>
  <si>
    <t>PL 2nd-step slot-die coating</t>
  </si>
  <si>
    <t>HTL slot-die coating</t>
  </si>
  <si>
    <t>ETL annealing</t>
  </si>
  <si>
    <t>PL annealing</t>
  </si>
  <si>
    <t>PL post-annealing</t>
  </si>
  <si>
    <t>item</t>
  </si>
  <si>
    <t>unit</t>
  </si>
  <si>
    <t>module 4</t>
  </si>
  <si>
    <t>EPBT</t>
  </si>
  <si>
    <t>Insolation</t>
  </si>
  <si>
    <t>kWh/m2/yr</t>
  </si>
  <si>
    <t>performance ratio</t>
  </si>
  <si>
    <t>-</t>
  </si>
  <si>
    <t>module efficiency</t>
  </si>
  <si>
    <t>epsilon</t>
  </si>
  <si>
    <t>MJ/kWh</t>
  </si>
  <si>
    <t>lifetime</t>
  </si>
  <si>
    <t>yr</t>
  </si>
  <si>
    <t>primary energy consumption</t>
  </si>
  <si>
    <t>MJ/m2</t>
  </si>
  <si>
    <t>CO2</t>
  </si>
  <si>
    <t>CO2 emission factor</t>
  </si>
  <si>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</si>
  <si>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</si>
  <si>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</si>
  <si>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</si>
  <si>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</si>
  <si>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</si>
  <si>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</si>
  <si>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</si>
  <si>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</si>
  <si>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</si>
  <si>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</si>
  <si>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</si>
  <si>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9b0d9e04-d582-4c6d-b612-644bbe23bf6b</t>
  </si>
  <si>
    <t>CB_Block_0</t>
  </si>
  <si>
    <t>㜸〱敤㕣㕢㙣ㅣ㔷ㄹ摥㤹摤㔹敦慣敤搸㡤搳㑢搲㥢愱戴愵㜵㜰攳戴改㤵㄰㝣愹㤳戴㑥散挶㑥ち〲戴ㄹ敦㥥戱愷搹㤹㜱㘷㘶ㅤ扢㔴㙡㈹㉤㠸晢㐵〲〴ㄴ㕡㔵愸ㄲ㉦ㄴ㕥㝡〱㕥㉡㈱㠱慡㔶攲〱ㅥ㤰㜸㈸〸挱〳〸㐵攲㠵㠷㑡攵晢捥捣散捥敥㝡挷敥戶〵ㄷ昹愴㝢㝣收摣收㥣晦㝥晥晦㑣㌳㑡㈶㤳㜹ㄳ㠹㝦㤹㜲㉣㕣㌱扦敥〷挲ㅥ㥤㜴慢㔵㔱づ㉣搷昱㐷挷㍤捦㔸㥦戱晣㈰㡢づ昹㤲㠵㜶㕦㉢昹搶㐳愲㔰㕡ㄵ㥥㡦㑥㕡㈶㔳㈸攸㉡摡㌹〹㝦㠳昱㠳捥㔱㝤㌹㘴ぢ㤳ㄳ戳㡢て㘰搶昹挰昵挴晥攱㌳攱搸挳㘳㘳愳㘳愳户摣㌶㜶敢攸㠱晤挳㤳戵㙡㔰昳挴㘱㐷搴〲捦愸敥ㅦ㥥慢㉤㔶慤昲扤㘲㝤挱㍤㈷㥣挳㘲昱挰捤㡢挶㉤户㡦摤㜲攸㤰㜹挷ㅤ户昷攱搵㤹㤳㤳ㄳ㜳㥥㌰晤㜷㘸㑥㡤㑢扥㘵㑡㤴㉤敥㑤〸捦㜲㤶㐶㈷㈷昰㕦㘲晤㜸扡㙤㜴㝥㔹㠸㠰慦ㄶ㥥㜰捡挲搷㌱戰搷ㅥ昷晤㥡扤㐲攰改昶㌴戶㕡㌶晣㐰戳㈷㐵戵慡摢昱慣〵㝢ㄶ戰慢ㅡ敢㝤昶扣㜰㝣㉢戰㔶慤㘰㍤㙦㉦㘰愲㑡扦㝤摡ㄷ愷っ㘷㐹㥣㌴㙣愱搹㐷㙢㔶㈵ㄷ愶㑣昶晡㜸㡡攴挲攴昶㐷挷㝤㝢㜲搹昰攴㡡㝣〲㈶愵敦戴㔷㙥敥㝢㑤攷㜹戹㜴昹〶捥㜹㙤攷㝥㘸㌹㘳㜸昵㥥㈳㥤㝢㐶㥢㙦㕥挱㑤㥤晢㈷㘰搴㍣收㠶捥㘳㈴㈸㥢㝢㉢扤ㄱ㝤㑢㠸㘲㌳㝡㥥㔹て戳〲㌳㈲㔰㉦㌲敢㘵搶㠷㑣挹晤ぢ㕣㤲ㅣ挸㈶戵㘴愸愵㐵戵㔴㔶㑢ㄵ戵㈴搴㤲愹㤶㤶搴搲戲㕡戲搴搲〳㙡改ㅣ晡挴愹搰搳愳㐶改昵扢㔶晥昸昲㥤㉦㑣㍦昶捡搲搹挷敦㝤昱戹扥㕤攸㜴㕦戴愸㈹捦㌸て㔲㙢㔰昱挱搱〳晣户㌹㔷㠰㈹捣㐳收㙤收搸㔸攵搰〱攳㘶㐳攳戶㔲㤰摦㐴㈸㠳攸摢㘷摥㙦㌹ㄵ昷扣挴摤ㄵㄳ㠶㉦ㅡ㠰ㅢ㠹摡㈶摣㥡㔳昱㉦摦戸㜱㍥㌰〲戱慦戵慤㌱㐹摢戰㜹戰㤵昰攵晢慥㙡ㅤ㜶挶愸搶挴昸㥡ㄵ㌶㕦搹搲㙣捦㜹敥㘲攷搶㘹㑦㍣㔸㙦㙤㕢搱㌸㠴摡慡㥣扢㙤㤷㘱㔳戸慥攱挹㘵搷ㄷ㡥㕣摥㠸㍤㘷㤵捦〹㙦㕥㔰㈴㡡㡡摣敡挵㙣㡡戸㝥㘴搶挱㐶挱慤㤵昷㈷㙢捤扢搷〲㌰戳愸㘰扤㉢挲ぢ搶ㄷ㡣挵慡戸愴愹㑢昸㑥㌴散㙤慡㥥㜶换㌵㝦搲㜵〲捦慤㌶户㡣㔷㔶つ㐸㥡捡〹户㈲㜲戹㡣ㄴち㄰戸搹慣愲㘴㙥散捣ぢㄲㄱ〹ㄴ㤳㤱㉦㙢㈶扢搱㔳搸ㅤ㜶㔱ㄵ愴㐹昵〳㥢㑣挶昵㑡ㄹ㤳挲㠱㠹㍤㔱㝦昰愵ㅦ摣㘴摡㍡收摥摤捥慡㍡ㄴ敤晥敥㔵攱〴挷っ愷㔲ㄵ㕥慡昶㔳戸㈲㝤〰㤹㜶〱〲愱㈳昴愸敡㤴㌵㘵㕤㍢㙦㔵㠲攵晣戲戰㤶㤶〳搴㐱㐳ㄶち〴㙤㕢搲㉦㐲㤵扥㥢搹㄰戲㘲㌱㤳摦挳㑥昹㈲㔲㐶愳㜴㑡攱攵㈶㐱捥㜱㑤扣摣㘷㑥㕢搵㐰㠴㐲㜹挰〴㐶㐲慤㈶搱搷㑦ㄲ昵㡣㜲愸㌰昶㤸㤳愰㔲挳㜲㠲昵〶摦戶㜱㐹㐸㐴㍢戲㘰摢挹〲㡡㠲㘶㜹㤰挲㙢㈰㥡ㄶ㘹㤰摥㌹㐱㐴㘴㠳ㄴ捤㡥㤹㥢㠹㡣晤㔳㘴〴晡㈷㠹㤰扤て㜴㤶ㄱ㈴昶㜶㈲攵愰㡥晣戸㈳捤㌶戲攵㐳㘹㜶㌱〰愷㕦挲散㔲㘶㤷㌱摢㡢㑣昹㉢㈴ㅣ愵ㅣ捡捤㐹扦ㅣ捦晡ㄵ捣慥㐴〶昹愴㔳收㐴愲㡡㌶搴㔶散㐸昶敢㠷㥤㉣㡤攲㔰ㄴ搱㌲慥摢㤹晤戶㐴㜴㘴㜵㙥て㕤㥢㤳㍡昶扡捥戴㤹摣づ㈹㌲愵㙢㜲慦㥢㜴㑤〲㠲㕤扢搴㕢㔷㘳愸㍥捣散㝤挸㡡晡晢㤹㐳戹搰攰摤㥡㐵㑦㤳昲㍤㘱ㄶ㠵挶㔰㤷ち㍥㈲㘴ㅥ〱㔲㠴㕣摢昱㘵挷㠶愶㌹㌸㘲扥攷㙤攸晤㥤昹㍢㐲㝡㡢摥摣搱㍢昴ㄷ扤㐵㉢晡ㅡ戰㤷昲挷㡥㍡收㕡㌴敢搷㌱扢ㅥ㔹㡢㡥攱改晢慤㝡ち愴㔹㙣㈷㌰户㥢㕥ㄷ㘹攵㉥慣慦〸愹㠱晡捣〵挳㕢ㄲ〱㍣ㄸ挷愷㘰ぢ扢㥥㈷慡㌸搴㔶㘴〵捦㉦㤷㌶㔷晡搳㥥㙢戳㝥挷㐶昶摦ㄳ㡡㈱㤷㔳戳㤹ㄶㅢ㌹挵搶㑣昸㥣ㄲ㤴㐳ㅤ㝣㜳㘷㈱㤱ㄸ搴㑣㕥ㅣ㤷㝥扥摣㤱㈴㕤㐸㤲ㅢ〰㔶晤㐶㘴㤰ㄲ捡敦㍢㑡㤴晤散昶㈱搹慤搹㘲愵㠷㉦攵㜴搲攲㐳㙣㤳㈳扤愱挳㜶〲晥〳扦摦㥥户散扡戰攸戵攷㠴㔷㠶㙦挱慡㡡㘲攸㤶愵愸搹㤱ㄵ敦ㄱ㔹㤱捤戶㥤愷㔳晣㙢㤲㑥㕡愴㐴㉡户愷㌶愶㥣挵ㅢ㐴㐵㌷㈴㠵㑡㡡㙢愸㉥㠱㐸㜹散扢㈳㘲扡㄰㌱㌷〱㜰晡〱㘶㘳捣づ㈲搳㕥㠳愴搹㉡攰ㄹづ敢㔹愵㑢扢㔴捡ㄴ㠸〶改㈲㝣戵愳戰㍡挴搷摣捡散㌶㘴㉤收てㅤ㤰㈹㠴㈸㔱㥥㈰㐴ㄹ挶㌰捦㔸攲㍣㘹㘰㤷㠹挰搲㘴捤て㕣㥢㤱愵㝥㜳捡㍤改〶㔳㤶扦㠲㐸搴㤰ㄹㄵ敥㕦ㄶづ愸换㠳敤搳㔲攷慥慣㠸㡡㙥捥扢㌵㠸戶攳㔳摢攱㘰づ㜰挰㤶㤴㘷㜳㔵㐱敡敥㝣㡣㈹ㄴ㐰㕡晡㕢改㡤摤㤲昷㥢㠷扥㠱〶㐴ㄷ慣愰㉡㝡捤㤰改㔸㉥㤸㠰㈲㈲〷㤵ㅥ㜳㘱搹ㄳ㘲慡摦㍣敡㔹㤵慡攵〸㈲〳㌶㈶㠳㜵㌳㘲〹㔱㠲㌹㤷㌱㐰搷改㌷ㄷ㍣挳昱㔷っ〶ㄴ搷㜷㌷㍤挹戰㠸㘶㑥㔸㡥㡦搷㐸㉣戲㍣㘰捥㉦扢攷ㄱ戱慤搹捥㔱㘳挵摦ㄶ㔸㈱搱㠷㐹愲㐶㔱ㄵ㔵㔵ち㙡愱㕢晣昰㐰㥥挹㤰昷㜲捣㈴慥㌲ㅡ㝤收㈹摡㥢㜶㝤ㄴ愳愱㥤捥㌵昵㈱㝡㔴慦捣愶㑡㘱㜲慡㝥〷挷摣㠹散㥥愳愷㡦㌷㈲㜳㙦㉢㘶慤搱换㥦㈲攳㈵㔹搴〳㈱昴搱敤ち㐹㠵㜵愴ㅣ㜰㈰㌰捥愷㔶昲㉢㥡戲て愹㙦㔷愳㌸㡤㐸㔲㥦㌹㘳㉣㡡㉡攲搱戶ㄱ散ちㅦ㘸挶摡㐶搵㡦摡㈶㕤摢㌶㐸㕡㈴换昹戲㐱ちㅥ慦〵敥〹换搱㑤㘴㤲晥愲㉡㘳つ㔵挶㥡慣敡㌳㑦㌱㌴㈸换㥣换㕤㌲㍣㉢㔸戶慤㜲㠱てっ摦㙤ぢ㥡〴㤳㔳昲挶㈹㤶ㄹ挳㉤搶晣㘹㤸㙣晥㈸搰㍤ち㌹㑡搰ㄱ晤愰㕣㔵挹攳㥦搲愵㘳〹〲㐶㝡㑡昵て㘳㌶㑤摥㡥㠰挸㤱改㐲㝣〷攳挲㈳愸〹㠵㄰戱㥥㐲㈲昰ち㈶㠴㍣㕤摣㜹昳戴㘳〵挰ㅥ㌱㌶㙤〵㔳㍥㔰㡥っ㐵㜹扣摤㈷戱㥡ㄸ㌴㔲搷ち㔷户㌷㌵愹㠹慢摡摢㤳㝡攳〳ㅢ㌴㠷ㅡ㈵愱㐸㌶敢㈴㌵换〶㙢摣㑥慡㐶㤱㡡㍢搶㌶㑡㥡摢戴〱㜷㑡㤱户愱㤸㈴捤㘴昴㡦㐸㐲㐱愰㌷搲㔱昴搹愷㤳㐷㈲㘲㐳ㅢ愰㐸㍤ㄵ搶昵㐷㈱挱攳戸㜶㔲ㄱ挵攸〹晣扤㉢㉡捥搶㠲愶ㄶ㘳㙤㈸㙡ㄹ慦㔶㘷ㅤ㔸〹㘵挳慢㙣ㄳ㤶挶摥㐲つ㈳戹戳㕢敤ㅦ㠲㌷挱㠸ㄱㅢ㌲㉣㤲攲〷〶ㅢ㠲戹ㄲㄱ㔵㕡㘷晤〴㜵扤扡挰愷ㄳ挲㜰㈴〶收㠳捡㤴㔸㤵㘶㔸挳㤲ㅦ㤲〳敡愷㐵㈹㐷㜵㜳㝣搱㠷㑡て㈸挷愳㤲㘴㜰摤㍣㐵户ㄴ㉥㌱㐰散㐶愵戹㜲㠰搰㙥㝤〲㥥っ戶て㜶〰㤱㌰㜴㐲敢㡣ㄲ㌴㥦㐲戸捤㥢㈰敦㜴㠹㔱〸㔲㔳愶㝦ㅥ㔱扥昷㕤愶ㅦㅦ挹挴㠵㠸㠹ㄸ敥㑡戱ㅥ㠰摣㘴㘴㤲㕣㌴ㄴ〷捣㐳挹㈶㠵㔶㕦㕣㐷ㄳ愳㥦㈶㥦ㄷ攰ㄶて㘳㔹〳㘴㥢㉡敥戹〵ㄶ戴㘹㜵㝤㤷㜹摣㈹㔷㙢ㄵ㈱㔵㜱㉣慢愵㐶摥ㄶ昸㤲㔷〰㐳㙥㑡㠱㑢〴㤴攳㌸㑡㜱换㐴㔲昷㜶户㝥〴挳愵㤰挳ㅣ愱敡㘳〰㌲挵㉤㈷〳㘲㙤昷ㄴ㘸ㅦ敥㙥㕣㘰㤰㤷攷㈰搲摡慡㈸换㘶㜰ㅦ慦ㅥ㐵㤶摣㤶攸㌶攳捥戸戴搹ㄳ㔵挷慣戰㙡㕢攰〸晢っ〵㕥㍥て㘳愴㑢敥攰㈴㤹ぢ㔱㜴昷挲㈳昲㌱㜳〱愸㤰ㄸ㔰ㄸ攳攵㈹㈸〳愸㠲㤱㘸㜰慢つ慢㕢㘱昴㤷㤶户㍥㡥㑣㘱ㄸ㤸〶㉤㝡㠶〶捥㈴捡㥢ㅢ㌸㔷愳㔷㑡㠴㌴ㄹ㑣㘵㡣㜲〸づ㝢㈰つ摣挴㠳昴㠲ぢ㈵ㄴ散㤱ㄷ挳攲扢㠹㈳㌶㡥㐰慥㜷㐹㑢攵㥣ㄱ攰晡㡢戳户愵㝡扣㔲愱戹ぢ晦摣戶挰㉡慥㙥㠴收攸㥥㤶㑢㔹㜲㑦戴敦慥㘹㘹㠸㉥ぢㅥ㥣ㅡ㍤㘶〴攵攵昹㘰㍤扣戸搵㉤㐹㘸扦㠴㍦㘲挳户搳㘶捥㌹扣㠸扡㑡搸ㄷ捦㌹敥㜹㐷慥㑢昳㜹敢てㄴ㠲㉢㤴㍤㕣㘴㌱昳㈶晥挹愴㘶戴㕦㘰挶慤㉣㥢ㄳ㌴ㅣ㈴㥣㐷愶㔰ㅡっ愳㥣㐲㈷戰摤敢户〶㐸㈷㝢㕡攸㐴ち㠲ㅤ㐲㜱㤶摥㌱㐲㔱㝥づ戴㤲㔸挲㈳㌹㘰晥㉣㔸㕦㜹〹㌵㐴㌸㥥㈳㌱愲扤て愵ㄴ搴㐹㐱ㅥ㕤昱攰㠵㤰晦ㅦ㉣挵摣扣㈱㍢晤ㄷ㤸㔹㜹戱ㄵ㐵㔷ㄱ㐵㉦戴愱㐸攱㌵㄰挹扦昷㐴〵㍥㘸っ捦扥愵㐰㌸昷戴㜳〰㝤搷㉦晣晥てて愰㌳挰㌰㤳戴搱㄰㙡扢ㄶ攵扡㠹㤰㙤㌳ㄱㄸ扣㤷㈶挲〹㡥㘱ㄴ㍦㌴ㄱ㈲ㅦ挸㉣㉡㌶㌷ㄱㄸ摢㑢㌱〴ㄳ愱搶㠴㕢㠳㈷戰㑢㙣晡挷㡥攱攲慤昰ㄱ捦㠷搲昲㈷攱㤱扡戴扤㝡捥昰っ㝢慦慣㍦敡〹㈸㌳㙦〱㌷戹攵㄰㡥搸户㘱㡢ㅣ戴㠱慦㈲昶戲敦昸㔳戶㜶㝦ㅤ㤸ち㔳攸扥㔷ち㑡晥㙤㜸㑡ㄴ㥥ㅢ㌲㥦摥昳㤳愳㝦㝡攸昱㈳扣慤ㄶ搱慡㜶㈳捡摤㠴散㘹㑦㈰愸㥢戸㈸㜲㌱㍦捣㌹㠱㑦㤴慣㤵慡㤸㌰㍣㘹〵昹扡ㅤㄷ㐳挲㑢㄰㘶㐸㝣摢挱挴挴扤㠷搰挴ㅣ㙤㜱㜷捡て㥢愴㡢㜰㌴戱㜰改搳㡢挳㠶㑡㐷㐵搶愵戵愹晤ㄴ慡攸㉤㉥愴搹㑡攴愹㤳㐹㔱㥥㙢搵㜵㠷愸敢挲㠳っ挳晥戱㤴㐲晣㠱ㄴ㤲㍣挸昰㐲㠰㤴㔲愷㔰搰㙥㐲㤶ㄲ㔹㙢つ昱搲ㅦ戰㈳〴㐴晤搲㕦㤷ㅦ戱〰㡡挰㘲散㡢敦昶㐴㑢㕢㌴㔶㑤っ搵㑡㥢㘶ㅥ〵㜹㜸㘱挵㔸㕣扢㠰㐲㥣戴㠳㈸㙤搹ㅤ挵㤷昴摢㘱攰㉤㘴㙣捤愶慦慤㘸摦敤搴㜰昳〳㝡㈶㉦ㄵ㠶戳㥢搵㌸㤰捡ㄸ㕤搸戵ㄸ㔶㌱ㅦ〸㡢昵㐱扤㔱ㄳ㜴㤶戳ㄷ愷㔲〴晦昸愵㄰摢㐷ㅡ㔳㕦摣摡㐲ㅤ攷昴㘰㠳晣挱晥扡㉡㠵戱昱㔶㜲っ㈴散㤶㝡ㄵ挲敢攱愷㌱㠴㥢捥㈸㝡愳㈸㥦㤵㐳昸ㄳ㜳㔶㔶㙤搳晦㡣㕥㑢捥㍡挳搱っ㘳㌷改晦㡦愱㘲㔳晤慦㌰昶㈶ㄱ昹昱愸㈰㡤㔳挶㑦㌶つ搹㄰㈲昰㙣㈳㜸㈳て挶扡㉣㌲攴ㅤ㤶收昱昱㙡搸㉣㈵㌸晣㕥戹搶慢ㄱ昵戱戴㙤㝢㍢ち㐰挶㠶戴㘷㈱㠲㍡㡥㙦㤶㕢昱改㌶晦〹っ摣㜳挲㉡㝢慥敦㥡挱昰㍣㠲扥挳晣昶捣㠴捤㌳慥晣愸㔵愸㕤〳㐸昴㝤ち㘳㑥捥㐲㘰㥦ㄴ挱㍢ㄵ㡢㘴㘴㘱㙢㤱っ㝥㠷㌴㤸〸㉦㔱㍢昸ㄷ㤹昷搵㡣㉡㍥㕤㥤㠵慦㌳㘰搵戶㔰㜶愱挷戹昵㠶〶㐱㠷㍢㕡昷挲ㅦ㈴慡愳〸㡥挹㉤㝣攲㔳㠴㙢㉢っ㥡晢㐶㝢昳搹戳㍢㥦㕢㔱㝢〶㌸摤摡㕢㥡㐹㠶敦攴ㄷ挹㐵扤挴ㅣ㤷昶㡦攰敦搶ㅤ戴㥣㙤〸㜴ㅥ㝤搰㑤㐷搸㐸ㄵ敥戳㉤㐴扦捦㘲愸㌲捥っ㍦摤㠸ち㝣㔰攸攵㈳㉢㉡㍦挴戶挸〰㈸㘷昲㘵㘴㥤愹晡挹㡤愸㝡昰ㅥ㡣㈱扦敡〲㔹㝦㔶攱㔱㠳㔴㔹㔴扥㠷晥㠴㕡戸晢㈵搶攱攸㈱㡦ㄴ㈸敢㐹㐹慥昰㐸㈱搷昳ㅤっ愸慦攷〱搴㜶㕥捦户㌶㕡㡦㐲㘳㐰敥㌷㌹晦㘰慣㑣㜴㥢慦㜶㤸戹捣㔶㤰つ挶㍤〷㈸㈶戹㤷㝣ㄸ㙡㜸㠹㤸㐲晡㙤昴昷昵㈳慦扤捡昴㡦㈳㡡ㄴ㡣㘸㙡摥〵〵愳摣挵㔷㤳扢昰㔱摢㜹ㄷ㕦摥㘸ㄷ㠳㤴㤹ㄲ慡㌵ㄴ〰搵ㄲ晥挸㕤慤愲㐰㠰昲愷㥣㘵㠶㕦搳㉡〶つ搴挸戱㙢㈸昴㘷㌵㈲收慥捥摡㠵挶㘳晣㈹㉣㠲〳㑤摦扣摥㡤㙦㔸搷ㄹ敤捥攲ㄳ㝥㑤慡挲㥣㝡㘷㜷㜳挵收㈸㌵㤹昶㜹散晡㙤捣挳㑤㌷㝣㡥㥣㜱ㅦ㝥〵〴㈱㐸㘶ㄲ㈴て愱㄰〳㑡㈳搶㔳扥㙣㤲挶㈱㙦㠱搲㤱㤵て㍤搱昹搰㈴㈸搸㤱ぢ㝡㕢〸㐶㙣㠹㥦ち㜷搴㘷昹㉥慦㌷㈸㑦挴㔴㜸散㔸晣搹㤸ㅡ〵摣挰〵愱㌹㑥慥㈱㈰㤵挷攳捥㍦㝢扥攱㉦㐶〳ㄲ㔸㈵散㑣敥㤲㥤㍦ㅢ㜷㍥㠸㑦搲㘴㥦っ〹㡡改昵戸㌳戹㔰㜶㝥㉣敥晣昷㠳㝢敢㥤㘳愶ぢ㘷搶挸ㄱ㈹㠶扥㍣晡㈴㍥㑦ㅦ㐰㜷捤愴昱搰㙢㠶搵㈴㐴ㄹ㌷慦㑡昳愱て㌷㘱㍣㝣㈰㍥㠳㡢㕤戸晦〲つㄳ晥㝦㈲㡥攳挲搷㤴ㄱㄸ昸晥㝢ㄵ㤱㜶㑦㤷㑦ㅣ㥣㌷㘷㍤㔴昴㤸挷㝤ㅣ㈸㉢摢㡡㐴㘰ぢ攵㐲昸㙥ㄲ㤱㐸戱㥢ㅢ昰㠸㈳㠴㉡㉦搰㜴愷㌹㘵㔴㈹愷㍣ㅡ㘳㌶昳㘸㠳㘶昴捦〰㌹搰〹挸㔹搰ㅦ㐳ㅥ㐶愱昶戰㘲㤰挲㑥㑡戲挷搹昰〴戳捦㈱㉢㉡㤴㙣愴㠳晣攷㤱つ挴晦㤷㡥攱㔵改㉣㔲㤵戵昸㘵㐹㌲搲扦挰〱㕦㐴㤶㠵敦㕡㠹㠸戰愸㝦〹㌵挹㤷㔲㜰挸㤷㝥㠵つ㕦㘵昶㌵㘴㐵㡤㡢摤㌲搴戸愷㉥搵昶搷㌱㔴㈱㈸㌸㠷晥㡤愸挰〷㠵㜰愰㌸㔷ㅣ散㤰㌲㤴摡愶愰收ㄵ挲㐶㌶搸㔱挳㘱搹愰㈸㠴㤷㙣愸㐶つ搴㘵晡户㤰㈹㠴〷昷愴㝦㥢㑦〴㠳㝣攱㜷愲㠲㝣㈱㘱㈰㠷㉦户扣㤰㜰㤱つ㑢㉤㉦㈴慣㘴㠳㤹㝣攱昷㌹愹摣ㄸち捤敡㡡ㅢ㤴昰晥〱ち晤搹〱慥敤㝥晣搴㌵愵㝣戶㜲昶散扦〷㜲挳晢㜲ㅦ晢㘸摦㜷㕦㝦攵捦摦晣摤㈷て晦敤㡤㈷㥦晣摤㕦扥昹敡ㅢ扦㕣㍣晣敢㘷㥥昹搵㍤㑦扤晡攷摤收搳敡昳晦㥥㜹晡攱戱㜳て㍦㘸㥥扥昱攸挳ㅦ㝦攰扥戱戹㡢㐶戲搹㥥㥥敢㠷㝥㜳搹〷〷ㅦ㝤昰㐵攵攵㍦㕣敡㈸㜲扢㜸㐱昳㌲戸㙤戹㡣愷㔰挰㌲戸攲㜷㜵ㄹ摣慥〴搴搹〸㔰ㄳ愸㈸挰昹挱〵挸㠶㔲㜳㐳敦㝦〰昲昸扤㌶</t>
  </si>
  <si>
    <t>Decisioneering:7.0.0.0</t>
  </si>
  <si>
    <t>7ec3dce2-f7e9-4a96-a391-3a0369f7e605</t>
  </si>
  <si>
    <t>CB_Block_7.0.0.0:1</t>
  </si>
  <si>
    <t>㜸〱敤㕣㕢㡣㈴㔵ㄹ敥慡敥敡改敡㤹搹ㄹ㜶㤶换㉥〸愳㠸〸戳づ㍢ぢ㉢愰慥敢㕣搸ぢ捣敥っ㍢戳ぢ〴㐹㙦㑤昷愹㤹㘲扢慡㠶慡敡搹ㄹ㈴ㄱㄵ㈵摥㠵㜸㠹㡡㐲㠸㈱昱挵摢㠳㡡昰㘲㘲愲㌱㑢㘲㈲㍥㤸昸㠰㠴攸㠳挶㙣攲㠳㍣㤰攸昷㥤慡敡慥敥㥥慥ㄹㅡ搰挱捣㔹晡捣愹㜳慢㜳晥晢昹晦㔳㘴㤴㑣㈶昳㙦㈴晥㘵捡戱㜰挵摣㥡ㅦ〸㝢㜴搲慤㔶㐵㌹戰㕣挷ㅦㅤ昷㍣㘳㙤摡昲㠳㉣㍡攴㑢ㄶ摡㝤慤攴㕢て㡡㐲㘹㐵㜸㍥㍡㘹㤹㑣愱愰慢㘸攷㈴晣つ挶て㍡㐷昵攵㤰捤㑦㑥捣㉣摣㡦㔹攷〲搷ㄳ㝢㠷㑦㠷㘳て㡥㡤㡤㡥㡤摥㜴昳搸晢㐷昷敤ㅤ㥥慣㔵㠳㥡㈷づ㍡愲ㄶ㜸㐶㜵敦昰㙣㙤愱㙡㤵敦㄰㙢昳敥㔹攱ㅣㄴぢ晢㙥㕣㌰㙥扡㘵散愶〳〷捣㕢㙦扤愵て慦捥㥣㤸㥣㤸昵㠴改扦㐹㜳㙡㕣昲㑤㔳愲㙣㜱㙦㐲㜸㤶戳㌸㍡㌹㠱晦ㄲ敢挷搳捤愳㜳㑢㐲〴㝣戵昰㠴㔳ㄶ扥㡥㠱扤昶戸敦搷散㘵〲㑦户て㘳慢㘵挳て㌴㝢㔲㔴慢扡ㅤ捦㕡戰㘷〰扢慡戱搶㘷捦〹挷户〲㙢挵ち搶昲昶㍣㈶慡昴摢愷㝣㜱搲㜰ㄶ挵〹挳ㄶ㥡㝤愴㘶㔵㜲㘱捡㘴慦㡤愷㐸㉥㑣㙥㝦㜴摣户㈷㤷っ㑦慥挸㈷㘰㔲晡ㅥ昶捡捤㝤慦敥㍣㉦㤷㉥摦挰㌹慦改摣て㉤愷つ慦摥㜳愴㜳捦㘸昳捤㉢戸愱㜳晦〴㡣㥡挷㕣搷㜹㡣〴㘵㜳㙦愵㌷愲㙦〹㔱㙣㐶捦㌳敢㘱㔶㘰㐶〴敡㐵㘶扤捣晡㤰㈹戹㝦㠲㑢㤲〳搹愴㤶っ戵戴愰㤶捡㙡愹愲㤶㠴㕡㌲搵搲愲㕡㕡㔲㑢㤶㕡扡㕦㉤㥤㐵㥦㌸ㄵ㝡㝡搴㈸晤攴ぢ挷㕦㌹晦晢慦㑥㝦攲搱攷晥昵愰昶搸挷晡㜶愰搳㥤搱愲愶㍣攳ㅣ㐸慤㐱挵晢㐷昷昱摦挶㕣〱愶㌰て㤸㌷㥢㘳㘳㤵〳晢㡣ㅢつ㡤摢㑡㐱㝥ㄳ愱っ愲㙦㥦㜹㤷攵㔴摣㜳ㄲ㜷㔷㑣ㄸ扥㘸〰㙥㈴㙡㥢㜰㙢㑥挵扦㝣晤挶戹挰〸挴㥥搶戶挶㈴㙤挳收挰㔶挲㤷敦扢戲㜵搸㘹愳㕡ㄳ攳慢㔶搸晣㡥㤶㘶㝢搶㜳ㄷ㍡户ㅥ昶挴〳昵搶戶ㄵ㡤㐳愸慤挸戹摢㜶ㄹ㌶㠵敢ㅡ㥥㕣㜲㝤攱挸攵㡤搸戳㔶昹慣昰收〴㐵愲愸挸慤㕥捣愶㠸敢㐷㘶ㅣ㙣ㄴ摣㕡㜹㔷戲搶扣㙤㌵〰㌳㡢ち搶扢㉣扣㘰㙤摥㔸愸㡡㑢㥡扡㠴敦㐴挳敥愶敡挳㙥戹收㑦扡㑥攰戹搵收㤶昱捡㡡〱㐹㔳㌹敥㔶㐴㉥㤷㤱㐲〱〲㌷㥢㔵㤴捣昵㥤㜹㐱㈲㈲㠱㘲㌲昲㘵捤㘴㌷㝡ㄲ扢挳㉥慡㠲㌴愹扥㝢㠳挹戸㕥㈹㘳㔲㌸㌰戱㈷敡て扥昴扤ㅢ㑣㕢挷摣㕢摢㔹㔵㠷愲摤摦戶㈲㥣攰愸攱㔴慡挲㑢搵㝥ち㔷愴て㈰搳㉥㐰㈰㜴㠴ㅥ㔵㥤戲慡慣㘹攷慣㑡戰㤴㕦ㄲ搶攲㔲㠰㍡㘸挸㐲㠱愰㙤㑢晡㐵愸搲㜷㌲ㅢ㐲㔶㉣㘶昲扢搸㈹㕦㐴捡㘸㤴㑥㈹扣摣㈴挸㌹慥㠹㤷晢捣挳㔶㌵㄰愱㔰ㅥ㌰㠱㤱㔰慢㐹昴昵㤳㐴㍤愳ㅣ㉡㡣㕤收㈴愸搴戰㥣㘰慤挱户㙤㕣ㄲㄲ搱戶㉣搸㜲戲㠰愲愰㔹ㅥ愴昰ㅡ㠸愶㐵ㅡ愴㜷㑥㄰ㄱ搹㈰㐵戳㘳收㘶㈲㘳晦ㄴㄹ㠱晥㐹㈲㘴敦㝤㥤㘵〴㠹扤㥤㐸㌹愸㈳㍦㙥㑢戳昵㙣昹㔰㥡㕤っ挰改㤷㌰扢㤴搹㘵捣㜶㈳㔳晥〲〹㐷㈹㠷㜲㜳搲㉦挷戳㝥〵戳㜷㈰㠳㝣搲㈹㜳㈲㔱㐵ㅢ㙡㌳㜶㈴晢昵挳㑥㤶㐶㜱㈸㡡㘸ㄹ搷敤捣㝥㕢㈲㍡戲㍡户㠶慥捤㐹ㅤ晢㥥捥戴㤹摣づ㈹㌲愵㙢㜲慦ㅢ㜴㑤〲㠲㕤扢搴㕢㔷㘱愸㍥捣散㥤挸㡡晡扢㤸㐳戹搰攰摤㥣㐵㑦㤳昲㙤㘱ㄶ㠵挶㔰㤷ち㍥㈲㘴ㅥ〱㔲㠴㕣摢昱㘵摢㠶愶㌹㌸㘲扥敤㙤攸扤㥤昹㍢㐲㝡㡢摥摣搶㍢昴ㄷ扤㑥㉢晡㙡戰㤷昲愷㡥㍡收ㅡ㌴敢敦㘱㜶㉤戲ㄶㅤ挳搳昷敢昵ㄴ㐸戳搸㑥㘰㙥㈷扤㉥搲捡㥤㕦㕢ㄶ㔲〳昵㤹昳㠶户㈸〲㜸㌰㡥㑤挱ㄶ㜶㍤㑦㔴㜱愸慤挸ち㥥㕦㉥㙤慥昴て㝢慥捤晡㙤ㅢ搹㝦㕢㈸㠶㕣㑥捤㘶㕡㙣攴ㄴ㕢㌳攱㜳㑡㔰づ㜵昰㡤㥤㠵㐴㘲㔰㌳㜹㜱㕣晡昹㜲㕢㤲㜴㈱㐹慥〳㔸昵敢㤱㐱㑡㈸㝦攸㈸㔱昶戲摢晢㘴户㘶㡢㤵ㅥ扥㤴搳㐹㡢て戱㑤㡥昴㠶づ摢〹昸て晣㝥㝢捥戲敢挲愲搷㥥ㄵ㕥ㄹ扥〵慢㉡㡡愱㕢㤶愲㘶㕢㔶扣㑤㘴㐵㌶摢㜶㥥㑥昱慦㐹㍡㘹㤱ㄲ愹摣㥥摡㤸㜲ㄶ㙦㄰ㄵ摤㤰ㄴ㉡㈹慥愱扡〴㈲攵戱敦戶㠸改㐲挴摣〰挰改晢㤸㡤㌱摢㡦㑣㝢〱㤲㘶戳㠰㘷㌸慣㘷㠵㉥敤㔲㈹㔳㈰ㅡ愴㡢昰㝣㐷㘱㜵㠰慦㜹㍦戳㥢㤱戵㤸㍦㜴㐰愶㄰愲㐴㜹㠲㄰㘵ㄸ挳㍣㙤㠹㜳愴㠱ㅤ㈶〲㑢㤳㌵㍦㜰㙤㐶㤶晡捤㈹昷㠴ㅢ㑣㔹晥㌲㈲㔱㐳㘶㔴戸㙢㐹㌸愰㉥て戶㑦㑢㥤扢扣㉣㉡扡㌹攷搶㈰摡㡥㑤㙤㠵㠳㌹挰〱㕢㔲㥥捤㔵〵愹扢昳㌱愶㔰〰㘹改㙦愵㌷㜶㔳摥㙦ㅥ晡〶ㅡ㄰㥤户㠲慡攸㌵㐳愶㘳戹㘰〲㡡㠸ㅣ㔴㝡捣昹㈵㑦㠸愹㝥昳㠸㘷㔵慡㤶㈳㠸っ搸㤸っ搶㑤㡢㐵㐴〹㘶㕤挶〰㕤愷摦㥣昷っ挷㕦㌶ㄸ㔰㕣摢搹昴㈴挳㈲㥡㌹㘱㌹㍥㕥㈳戱挸昲㠰㌹户攴㥥㐳挴戶㘶㍢㐷㡣㘵㝦㑢㘰㠵㐴ㅦ㈶㠹ㅡ㐵㔵㔴㔵㈹愸㠵㙥昱挳〳㜹㈶㐳摥换㌱㤳戸捡㘸昴㤹愷㘸㙦摡昵㔱㡣㠶㜶㍡搷搴㠷攸㔱扤㌲㥢㉡㠵挹愹晡慤ㅣ昳〱㘴户ㅦ㌹㜵慣ㄱ㤹㝢㐳㌱㙢㡤㕥晥ㄴㄹ㉦挹愲ㅥ〸愱㡦㙥㐷㐸㉡慣㈳攵㠰〳㠱㜱㍥戵㤲㕦搱㤴㝤㐸㝤㍢ㅡ挵挳㠸㈴昵㤹搳挶㠲愸㈲ㅥ㙤ㅢ挱㡥昰㠱㘶慣㙤㔴晤愸㙤搲戵㙤㠳愴㐵戲㥣㉢ㅢ愴攰昱㕡攰ㅥ户ㅣ摤㐴㈶改㉦慡㌲㔶㔱㘵慣捡慡㍥昳㈴㐳㠳戲捣戹摣㐵挳戳㠲㈵摢㉡ㄷ昸挰昰摤㤶愰㐹㌰㌹㈵㙦㥣㘲㤹㌱摣㘲捤㥦㠲挹收㡦〲摤愳㤰愳〴ㅤ搱て捡㔵㤵㍣晥㈹㕤㍡㤶㈰㘰愴愷㔴晦㄰㘶搳攴敤〸㠸ㅣ㤹㉥挴㜷㌰㉥㝣ㅣ㌵愱㄰㈲搶㔳㐸〴㕥挱㠴㤰愷㡢㍢㙦㥥㜲慣〰搸㈳挶づ㕢挱㤴て㤴㈳㐳㔱ㅥ㙦昷㐸慣㈶〶㡤搴戵挲㔵敤㑤㑤㙡攲捡昶昶愴摥㜸昷㍡捤愱㐶㐹㈸㤲㡤㍡㐹捤戲捥ㅡ户㤲慡㔱愴攲㡥戵㡤㤲收㌶㙤挰㥤㔲攴つ㈸㈶㐹㌳ㄹ晤挳㤲㔰㄰攸㡤㜴ㄴ㝤昶改攴㤱㠸搸搰〶㈸㔲㑦㠵㜵晤㔱㐸昰ㄸ慥㥤㔴㐴㌱㝡〲㝦敦㠸㡡㌳戵愰愹挵㔸ㅤ㡡㕡挶慢搵ㄹ〷㔶㐲搹昰㉡㕢㠴愵戱户㔰挳㐸敥散㔶晢㠷攰㑤㌰㘲挴㠶っ㡢愴昸㠱挱㠶㘰慥㐴㐴㤵搶㔹㍦㐱㕤慦㉥昰改戸㌰ㅣ㠹㠱戹愰㌲㈵㔶愴ㄹ搶戰攴㠷攴㠰晡㘹㔱捡㔱摤ㅣ㕦昰愱搲〳捡昱愸㈴ㄹ㕣㌷㑦搲㉤㠵㑢っ㄰扢㔱㘹戶ㅣ㈰戴㕢㥦㠰㈷㠳慤㠳ㅤ㐰㈴っ㥤搰㍡愳〴捤愷㄰㙥昳㈶挸㍢㕤㘲ㄴ㠲搴㤴改ㅦ㠷㤴㙦㝤㤳改晢㠷㌲㜱㈱㘲㈲㠶扢㔲慣〷㈰㌷ㄹ㤹㈴ㄷつ挵〱昳㔰戲㐹愱搵ㄷ搷搱挴攸愷挹攷〵戸挵挳㔸搶〰搹愶㡡㝢㙥㠱〵㙤㕡㕤摢㘱ㅥ㜳捡搵㕡㐵㐸㔵ㅣ换㙡愹㤱户〴扥攴ㄵ挰㤰㥢㔲攰ㄲ〱攵ㄸ㡥㔲摣㌲㤱搴扤摤慤ㅦ挲㜰㈹攴㌰㐷愸晡ㄸ㠰㑣㜱换挹㠰㔸摢㍤〵摡㠷㍢ㅢㄷㄸ攴攵㌹㠸戴戶㉡捡戲㘹摣挷慢㐷㤱㈵户㈵扡㑤扢搳㉥㙤昶㐴搵㔱㉢慣摡ㄲ㌸挲㍥㐳㠱㤷捦挳ㄸ改㤲㍢㌸㐹收㐲ㄴ摤扤昰㜱昹㤸戹〰㔴㐸っ㈸㡣昱昲ㄴ㤴〱㔴挱㐸㌴戸搵㠶搵慤㌰晡㑢换㕢ㅦ㐷愶㌰っ㑣㠳ㄶ㍤㐳〳㘷ㄲ攵㡤つ㥣慢搰㉢㈵㐲㥡っ愶㌲㐶㌹〴㠷㍤㤰〶㙥攲㐱㝡摥㠵ㄲち㜶挹㡢㘱昱摤挴ㄱㅢ㐷㈰搷扢愴愵㜲搶〸㜰晤挵搹摤㔲㍤㕥愹搰摣㠵㝦㙥㑢㘰ㄵ㔷㌷㐲㜳㜴㔷换愵㉣戹㈷摡㜷㔷户㌴㐴㤷〵昷㑦㡤ㅥ㌵㠲昲搲㕣戰ㄶ㕥摣敡㤶㈴戴攷攱㡦㔸昷敤戴㤹㜳づ㉦愲慥㄰昶挵戳㡥㝢捥㤱敢搲㝣摥晡〳㠵攰ち㘵てㄷ㔹捣晣ㅢ晦㘴㔲㌳摡㜳㤸㜱㌳换收〴つ〷〹攷㤱㈹㤴〶挳㈸愷搰〹㙣昷晡慤〱搲挹慥ㄶ㍡㤱㠲㘰㥢㔰㥣挵㌷㡤㔰㤴㕦〰慤㈴㤶昰㐸づ㤸㍦〳搶㔷㥥㐵つㄱ㡥攷㐸㡣㘸敦㐴㈹〵㜵㔲㤰㐷㔷㍣㜸㈱攴晦〷㑢㌱㌷慦换㑥晦〵㘶㔶㝥摥㡡愲㉢㠹愲㥦戵愱㐸攱㌵㄰挹扦户㐷〵㍥㘸っ捦扥慥㐰㌸昷戴㝤〰㝤换㉦晣晥てて愰搳挰㌰㤳戴搱㄰㙡扢〶攵扡㠹㤰㙤㌳ㄱㄸ扣㤷㈶挲㜱㡥㘱ㄴ㍦㌴ㄱ㈲ㅦ挸っ㉡㌶㌶ㄱㄸ摢㑢㌱〴ㄳ愱搶㠴㕢㠳㈷戰㑢㙣晡挷㡥攲攲慤昰ㄱ捦㠷搲昲㈷攱㤱扡戴扤㝡搶昰っ㝢户慣㍦攲〹㈸㌳㙦ㅥ㌷戹攵㄰㡥搸戳㙥㡢ㅣ戴㡥慦㈲昶戲㙦晢㔳㌶㜷㝦ㅤ㤸ち㔳攸扥㔷ち㑡晥つ㜸㑡ㄴ㥥ㅢ㌲ㅦ摢昵㠳㈳㝦㝥昰㤱㐳扣慤ㄶ搱慡㜶㍤捡摤㠴散㘹㑦㈰愸㥢戸㈸㜲㌱㍦捣㌹㡥㑦㤴慣攵慡㤸㌰㍣㘹〵昹扡ㅤㄷ㐳挲㑢㄰㘶㐸㝣㕢挱挴挴扤㠷搰挴ㅣ㙤㜱㜷捡て㥢愴㡢㜰㌴戱㜰改搳㡢挳㠶㑡㐷㐵搶愵戵愹晤〸慡攸㜵㉥愴搹㑡攴愹㤳㐹㔱㝥搸慡敢づ㔰搷㠵〷ㄹ㠶晤㘳㈹㠵昸〳㈹㈴㜹㤰攱㠵〰㈹愵㑥愲愰摤㠰㉣㈵戲搶ㅡ攲愵㍦㘰㕢〸㠸晡愵扦㉥㍦㘲〱ㄴ㠱挵搸ㄷ摦敤㠹㤶戶㘸慣㥡ㄸ慡㤵㌶捤ㅣち昲昰挲㡡戱戸㜶ㅥ㠵㌸㘹晢㔱摡戴㍢㡡㉦改户挳挰㕢挸搸㥡㑤㕦㕢搱扥捤愹攱收〷昴㑣㕥㉡っ㘷㈷慢㜱㈰㤵㌱扡戰㙢㌱慣㘲㍥㄰ㄶ敢㠳㝡愳㈶攸㉣㘷㌷㑥愵〸晥昱㑢㈱戶㡦㌴愶扥戸戵㠵㍡捥改挱〶昹㠳晤㜵㘵ち㘳攳慤攴ㄸ㐸搸㑤昵㉡㠴搷挳㑦㘱〸㌷㥤㔱昴㐶㔱㍥㉢〷昰㈷收慣慣摡愶晦ㄹ扤㤶㥣㜵㥡愳ㄹ挶㙥搲晦㜷愳㘲㐳晤慦㌰昶㈶ㄱ㜹㑦㔴㤰挶㈹攳㈷ㅢ㠶㙣〸ㄱ㜸戶ㄱ扣㤱〷㘳㕤ㄶㄹ昲づ㑢㜳昸㜸㌵㙣㤶ㄲㅣ㝥慦㕣敢搵㠸晡㔸摡戶扤ㅤ〵㈰㘳㐳摡㌳㄰㐱ㅤ挷㌷换慤昸㜴㥢扦ㄷ〳㜷ㅤ户捡㥥敢扢㘶㌰㍣㠷愰敦㌰扦㍤㌳㘱昳㡣㉢摦㙢ㄵ㙡㔷〳ㄲ㝤昷㘱捣㠹ㄹ〸散ㄳ㈲㜸戳㘲㤱㡣㉣㙣㉥㤲挱敦㤰〶ㄳ攱㈵㙡〷晦㈲昳捥㥡㔱挵愷慢㌳昰㜵〶慣摡ㄲ捡㉥昴㌸户摥搰㈰攸㜰㐷敢づ昸㠳㐴㜵ㄴ挱㌱戹㠵㝢敦㈳㕣㕢㘱搰摣㌷摡㥢捦㥥摤昹摣㡡摡搳挰改收摥搲㑣㌲㝣㈷扦㐸㉥敡㈵收戸戴㝦〸㝦㌷敦愰攵㙣㐳愰昳攸㠳㙥㍡挲㐶慡㜰㥦㙤㈲晡㝤〶㐳㤵㜱㘶昸改㐶㔴攰㠳㐲㉦ㅦ㔹㔱昹㉥戶㐵〶㐰㌹㤳㉦㈳敢㑣搵㑦慣㐷搵㠳户㘳っ昹㔵ㄷ挸晡戳ち㡦ㅡ愴捡愲昲㉤昴㈷搴挲摤㉦戲づ㐷て㜹愴㐰㔹㑦㑡㜲㠵㐷ち戹㥥㙦㘰㐰㝤㍤昷愳戶昳㝡扥戶摥㝡ㄴㅡ〳㜲扦挹昹〷㘳㘵愲摢㝣戵挳捣㘵戶㡣㙣㌰敥㌹㐰㌱挹扤攴挳㔰挳戳挴ㄴ搲敦愲扦㉦ㅤ㝡攱㍣搳摦て㈹㔲㌰愲愹㜹ㄷㄴ㡣㜲ㄷ㕦㑡敥挲㐷㙤攷㕤㝣㘱扤㕤っ㔲㘶㑡愸搶㔰〰㔴㑢昸㈳㜷戵㠲〲〱捡㥦㜲㠶ㄹ㝥㑤慢ㄸ㌴㔰㈳挷慥愲搰㥦搵㠸㤸て㜶搶㉥㌴ㅥ攳㑦㘱ㄱㅣ㘸晡收昵㌶㝣挳扡挶㘸㜷ㄶ㥦昰㙢㔲ㄵ收搴て㜴㌷㔷㙣㡥㔲㤳㘹㡦㘲搷㙦㘰ㅥ㙥扡攱㜳攴㡣㝢昰㉢㈰〸㐱㌲㤳㈰㜹㄰㠵ㄸ㔰ㅡ戱㥥昲㘵㤳㌴づ㜹ぢ㤴㡥慣㝣攸㠹捥㠷㈶㐱挱㡥㕣搰㕢㐲㌰㘲㑢晣㔴戸愳㍥换㜷㜹扤㐱昹㜴㑣㠵㐷㡦挶㥦㡤愹㔱挰つ㕣㄰㥡攳攴ㅡ〲㔲㜹㈴敥晣攳㥦㌶晣挵㘸㐰〲慢㠴㥤挹㕤戲昳愷攲捥晢昱㐹㥡散㤳㈱㐱㌱扤ㄴ㜷㈶ㄷ捡捥㥦㡣㍢晦㙤晦敥㝡攷㤸改挲㤹㌵㜲㐴㡡愱㉦㡦㍥㠹捦搳〷搰㕤㌳㘹㍣昴㥡㘱㌵〹㔱挶捤慢搲㝣攸挳㑤ㄸてㅦ㠸㑦攳㘲ㄷ敥扦㐰挳㠴晦㥦㠸㘳戸昰㌵㘵〴〶扥晦㕥㐱愴摤搳攵ㄳ〷攷捤ㄹてㄵ㍤收㌱ㅦ〷捡捡㤶㈲ㄱ搸㐲戹㄰扥ㅢ㐴㈴㔲散收〶㍣攲〸愱捡ぢ㌴摤㘹㑥ㄹ㔵捡㈹て挷㤸捤㍣摣愰ㄹ晤ㄳ㐰づ㜴〲㜲ㄶ昴㑦㈲て愳㔰扢㔸㌱㐸㘱㈷㈵搹㈳㙣昸㌴戳捦㈰㉢㉡㤴㙣愴㠳晣愳挸〶攲晦㑢挷昰㡡㜴ㄶ愹捡㙡晣戲㈴ㄹ改㥦攵㠰捦㈱换挲㜷慤㐴㐴㔸搴㍦㡦㥡攴㑢㈹㌸攴㑢扦挸㠶㉦㌱晢㌲戲愲挶挵㙥ㅡ㙡摣㔳㤷㙡晢㉢ㄸ慡㄰ㄴ㥣㐳㝦㉣㉡昰㐱㈱ㅣ㈸捥ㄵ〷㍢愴っ愵戶㈹愸㜹㠵戰㤱つ㜶搴㜰㔰㌶㈸ち攱㈵ㅢ慡㔱〳㜵㤹晥㌵㘴ち攱挱㍤改㕦攷ㄳ挱㈰㕦昸㡤愸㈰㕦㐸ㄸ挸攱㑢㉤㉦㈴㕣㘴挳㘲换ぢ〹㉢搹㘰㈶㕦昸㙤㑥㉡㌷㠶㐲戳扡攲〶㈵扣扦㠳㐲㝦㜶㠰㙢扢ぢ㍦㜵㔵㈹㥦愹㥣㌹昳敡㐰㙥㜸㑦敥敥㡦昴㝤昳愵摦扥晣昸㡢ㅦ㍤昸搷搷㥥㜸攲挵㔷ㅥ㍦晦摡昳ぢ〷㝦晤昴搳扦扡晤挹昳㉦敦㌴㥦㔲㝦晡敡昴㔳て㡤㥤㝤攸〱昳搴昵㐷ㅥ扡攷晥㍢挷㘶㉦ㅡ挹㘶㝢㝡慥ㅤ晡捤㘵敦ㅤ㝣昸㠱㥦㉢扦晣攳愵㡥㈲户㡢ㄷ㌴㉦㠳摢㤶换㜸ㄲ〵㉣㠳㉢㝥㑢㤷挱敤㑡㐰㥤㠹〰㌵㠱㡡〲㥣ㅦ㕣㠰㙣㈸㌵㌷昴晥〷㈵㔵扤挱</t>
  </si>
  <si>
    <t>CF</t>
  </si>
  <si>
    <t>PEC</t>
  </si>
  <si>
    <t>1st-step slot-die coating</t>
  </si>
  <si>
    <t>Annealing</t>
  </si>
  <si>
    <t>2nd-step slot-die coating</t>
  </si>
  <si>
    <t>Post-annealing</t>
  </si>
  <si>
    <t>Spiro-OMeTAD slot-die coating</t>
  </si>
  <si>
    <t>SnO₂ slot-die coating</t>
  </si>
  <si>
    <t>UV/O₃ cleaning</t>
  </si>
  <si>
    <t>80% active area</t>
  </si>
  <si>
    <t>Cu</t>
  </si>
  <si>
    <t>Ar</t>
  </si>
  <si>
    <t>O2</t>
  </si>
  <si>
    <t>Tem</t>
  </si>
  <si>
    <t>Isopropanol</t>
  </si>
  <si>
    <t>Espinosa 2011</t>
  </si>
  <si>
    <t>Wastewater</t>
  </si>
  <si>
    <t>to air</t>
  </si>
  <si>
    <t>waste fluid</t>
  </si>
  <si>
    <t>SnO₂</t>
  </si>
  <si>
    <t>H₂O</t>
  </si>
  <si>
    <t>PbI₂</t>
  </si>
  <si>
    <t>O₂</t>
  </si>
  <si>
    <t>Landfill</t>
  </si>
  <si>
    <t>Electrode sputtering</t>
  </si>
  <si>
    <t>Key input parameters</t>
  </si>
  <si>
    <t>Current value</t>
  </si>
  <si>
    <t>Notes</t>
  </si>
  <si>
    <t>Recycling level of substrate</t>
  </si>
  <si>
    <t>0%--&gt;no recycling</t>
  </si>
  <si>
    <t>100%--&gt;current practice</t>
  </si>
  <si>
    <t>Consumption of PL annealing</t>
  </si>
  <si>
    <t>Recycling level of electrode</t>
  </si>
  <si>
    <t>Consumption of ETL annealing</t>
  </si>
  <si>
    <t>Consumption of electrode sputtering</t>
  </si>
  <si>
    <t>Consumption of PL post-annealing</t>
  </si>
  <si>
    <t>Consumption of HTL slot-die coating</t>
  </si>
  <si>
    <t>Consumption of PL 2nd-step slot-die coating</t>
  </si>
  <si>
    <t>Energy consumption of ETL annealing, kWh (6.429)</t>
  </si>
  <si>
    <t>Energy consumption of electrode sputtering, kWh (6.333)</t>
  </si>
  <si>
    <t>Energy consumption of PL post-annealing, kWh (3.214)</t>
  </si>
  <si>
    <t>Energy consumption of HTL slot-die coating, kWh (0.139)</t>
  </si>
  <si>
    <t>Energy consumption of PL annealing, kWh (0.100)</t>
  </si>
  <si>
    <t>Energy consumption of PL 2nd-step slot-die coating, kWh (0.030)</t>
  </si>
  <si>
    <t>Recycling level of substrate (90%)</t>
  </si>
  <si>
    <t>Recycling level of electrode (95%)</t>
  </si>
  <si>
    <t>㜸〱捤㔸㑤㙣ㅢ挷ㄵ摥㔹㜲㔷㕣㡡戴改㥦㐴戱ㄲ㍢㐴㘳㈰㌱㘴㌰愲晦敤搴㠸㐵㔲㝦戵㉣挹㈶㙤愳㠷㠲㔹㜱㘷挵㡤昶㠷搹㕤㑡㘲〲昴㔰㌴㐰㔱愰㠷〲㐵㠱愲㐵㠰搴㤷戸㠷ㅥ〳戴㐵㔳戴扥愴㉥摡ㅡ〵摡ㅥ㤲㑢㝦㘰㈰㐵㉥㍤ㄴ〱㡡〶敥晢㘶㐹㠹愴愸挴㔶㔵挰㙢敢㘹㘶摥捣㥢㌷㙦摥晢摥ㅢ㐹㑣㤲愴〷昴攱㌷扥㌸ㅡ捦㤴㕢㐱挸㥤㕣搱戳㙤㕥ぢ㉤捦つ㜲ㄳ扥慦户收慣㈰㡣搱〴戵㙡ㄱ㍦㔰慡㠱昵㍡㑦㔴㔷戹ㅦ搰㈴㐵㤲ㄲ〹㑤㈶㝥攷㈷搳㘹㘸㔸愵挵㠹愴㘸㤶㔴㈹ㄶㄶ㤶㕥㈵搱攵搰昳昹昱散㡤㐸挰挵㝣㍥㤷捦㥤㍡㥢㍦㤳ㅢ㍦㥥㉤㌶敤戰改昳㡢㉥㙦㠶扥㙥ㅦ捦㉥㌶㤷㙣慢㜶㤹户㉡摥ち㜷㉦昲愵昱㤳㑢晡愹㜳昹㔳愷㑦㥢攷捦㥦㑢愹㈴㜹戱㔸㤸攱㜶㠳攴敤㤶搴㈱㤲㍡㕦㉣㉣晡摣摣㉤㤹ち慣㤱㉦昱㥡〵戳㜱敥㕢敥㜲慥㔸愰晦㕤㔶愱摥搹摣㐲戹捣摤挰ち慤㔵㉢㙣挱㜲㥡戳㔰㕢扡愱摢㑤慥㍡㐲愵㠴㜳㐳昷攷㜵㠷愷㥤敢〱扦愶扢换ㅣ㍤挵㤹㙥㕡㐶㥣慥㌳㜶㙣搰㐶㙤㈳攵ㄶ㡡㠵㘲㕤昷挳㐸㈴㙤昰攲愰搹㘲愷㕣㤷㉡㘲㡤ㄸ㠵㜹搸㜰摢㘱戰愷搰㌲〱㔵㌵㈲㙡㤲挸㠱慥㤵㔹戱㌴㝢㠲挵晦㐵㙥搷扤㜰㤸㘶捡㔵㕤慥㉥挹搵㥡㕣㌵攴㉡㤷慢愶㕣㕤㤶慢㜵戹㙡挹搵㔷攵敡ち捤改㝣㠹愱㈱戹晤敤ㅢ扢晦收搵摢㐷㈷摦扣摦晡㘰挴扥㔳㘶昰㌴攱㜲㈹㙡㘸㘹㈲敡ㅥ㈲〳ㄴ挹㌳昶㑦㔲〴捡摣慢摦㝤晦摥㕢㝦扥昴㠳户㍦晥挷愷搷㕦㍢㥣捡搰㤲㜹戲㔰㙥㥥㠷扢攴㑥ち㉣昳昰㌷〲昵ㄵ㈷扡搰ㄲて㙡ㅡ㙥㝢搶㌵昸扡㑡㉤昲㠲㤴㔳昴摣㤰慦㠷㈵㍤搴㠷㥣㐵摤攷㙥愸搱愴㌱戱㉡㙡㘱㘵㕡㡣㜵㔶㈷摢㍤㤲㤰ㄱ捤㉥㈹挳㘲㈰㤲挴〸づ㘲昱㠸㈶搴㐱戸㌰愳〷昵㔰㕦戲昹搱㍥挷㠱摤挸㔷慦㠷㤶ㅤ攴㐸攴戴敦㌵ㅢ戰攸㙥挹㐱戸㙢㜰㉦㜵㍦ㄱ㠱㘲昸㑤ㅢ㕣搲づ搰慦愴㘰㙡㘰搲攵㍥〰㘷㤳㤷ㅡ愱づ愹㔸昲ㅣ摤㜲㜷改㜲㔳㑦㤱搰慢敤㔸㈸昹晡ㅡ挵昵愶攸ㄳ戹㜱晣晢㝣㘰㈳㕣㌳㑦㥢㘷捤㝣摥㌸㍤慥㥦搴ㄵ〴搲愳挶攵㐱㕡㤳㜲㙥㕡慥攱慤㠹㐰摤敦㔰ㄴ㡡攰慢戴ㅡ㕣っ愵捣㡡敥㉦㜳ち㝥㝦戶㜴搰㉣㝡扥捦㙤㍤攴㠶ㄸ〰搸㡦昴づ〶㔳扥攷㘰晣㤹㠲ㅥ昰㑤㄰ㄸ㌳愳㡤ち㕥搳㌵㠲愷〷㌳换㈱㠹ㅥ敤攷㙤ち搹戲慣㑣挰挸〳愱改㤱晥㘵挲昹㈷搶慤㠸㝤戸㡦㑤搰攸㉤㙤捦㥤昲昹㙢ㅢ摣㉤ㅡ㑤㔰挶㕢攵攰㙦㌹㘵挴㡡昴㈲㈰昳〲敥ち昵挶㥣㐵慢戶挲晤㌲㐷扥攴㠶㌸敡ㄳ㘰㜱㡡挷ㅡて挶ㄶ㘰㝡挲㘶攳ぢ摤愳收攴㝡挸㈹㥡つ搲㤷㜲㔶搸慡㈰㤲㥥散㤹ㄲ敤㐹㡣㐳㍤挳㔳㕥慤ㄹ㈰㙡㝤捦敥攵㑣ㄸ慢㍡敤㘹㕣昱っㅥ㡦换㌱㈹㉥挵昱㐹㤴ぢ㘲ㄴ捡攳㝤㠱㉡ㄲて㘴〷摤〸摦攵㌹㠰昸㤳て戵愸搷扤戰㙥㄰㘴㙣㤴ㄲ散愹摥㔸挹㕤㈳敢㤱㤵㙣㡥㐰㤲晢ㄱ愵㑢搱㑤慦挱㈶〳昱㌴㍡㔱㤷捤攰户㤸晤挲昶㐷ㄱ㘲㌷㍣攳晦㍢㔹㤶て戴㑦㍦戹㑡㤸㍤愳扢㠶捤晤捦戶ㄷ㌴搲づ㠱㡣㠲㍣㑤㈴㈹㈹㝦㈷㜴摢搶㤲挸㠴㙣㥤戵㤴㌵换〸敢㙡㥤㕢换昵㤰挶愸㔴㑢㈴㘰收㝦晦攷挱㠳㍣挱晣㕤晡昹〸搵㥦㜶ㄸ攴〸㤱㘴㌲㈹〹晣㔴㤳㕡㔶昴㈵㠶㡣㈴戲㍢昲改㔶㜰㝤づ搳戴捦攰㌱㈴㘳〰㥡昶㍣挸ぢ㈰挷㠸㈴㈵昶㈷㍡〷捥昲〶㘹搴㘸㙢昴㌷愱搱ㄸ㘶ㅤ挷慣㉥㡤㜲愲㉦挵㠱昵㠳捣戶㤱㤹㘰戵攴㥣愷ㅢ㔳㝡㡤敡捤愱㜶戵㤹㈸㝡㑥㠳昲愵㥦挱捣㈲㐵ぢ㐵攱慡㘵㜰㍦㠱㠱㌲㤵戶㜱㉡㌶〳㔵㘰㑤㐰㠹㌰㈶㈹捡㜰㘲搰㕥戳ㅤ㔹㐷摢㜷摡㕤㍡捦㙥㤱晦昱搵㜳㉦愳㌴㑥㈶㐵㤱昲㈲㌵戵㜱㈲ち敥昶㤱攳㜳㉦㉤㝡搲㈹搷扤戵ㄹ扡㕣ㅥ㐴挵㕣㔰昴慤㜰㘴敢㌰㈵㜶摤㌹㈴挶愷㝤㑥㤰散㔷〸㤹挴ㄹ戱㘲㜴㈰㐷㉣ㅡㄵ攱搱〵っ㘳收つ㡢慦㈱㥤㍣扢㤵㐵搵㘸戱ㄹ㠴㥥愸㐳㡥㙣攵㤷扣㜹㉦㉣㔹㐱挳搶㕢㐷〷戰㈳捥捤㍡㜷〹㑤㝤〲搵捦㥢攴㌵ㅡ摣ㄸ愰㘳搹㙢晡㌵㍥㕢㝡ㅣ昰㤸㙥㉡晡㤸㠰㘲㤶㘰慡捣攸摢ㄹㄴ㌰戸㡢昴挶挱ㅦ㑦晦攵昵慦扦慣ㄲ挰㌳ち㄰ちㄱ〵昰戰ㄳ挸㐶㘰愶㝢ち㠵㈷昰慣戸㐲㑦㌱慢㘱昳㠲敥㤳㘳㝢㝥愰㌹㥤㘶攴㜸㕤〵㝥ㄴ㉤㡦㠳戱㈹敦㐵ㄹ㉦户㍤攲㜷㈹㉥㝣㄰捥っ扣㘰〷晢㔲㤳㌸㌷昰㜲㠷㜷愵晣㥥㤰敤ㄱㄵ〱昶つ慤愲捣慦㔶愵〴搴挲挷㤴摦㤱愸㠱晡〱散攳㉥㥥㝦㘲㔵㜲挵昵搶㕣愱戹ㄲ愰晡ㄲ㘰㍡㌴㠴㘳愰㜰ㄶ摦改㡥摢㐸ち昲挹搸㈰㕢㐵㔵昲挶晢㜴搶愰㠴搵㝥㤰愶昰㈰慤昸㕣扣㍡ㄳ愲㐳㈶㑣㍢㌷㍤㝦㘵挹昳㔶昰㜶搹㈳㝡㐱㥤昳㄰㉦挴㘱㈷㝡收愲㑤扥ㅦ㡢昵扣〲摢㜶〷ㄳ㌵㝡㤴㝦㑥㔱㉢㌶攵搷㐴㡦摤愵昳攳挱昶搷て敦㝣昵愳㑦扥晢愵㕢摦扥㄰戳㍥戹慦戰㕦户ㄹ㝢摥昹挹ㅦ㘶㝥㜶敢捡㜷㐶扦㔹㌸昳㡤てぢち㔲摡㐳㤵ㄳ㜸愰散㌵㌷戰慢㘲㠵㌶ㅦ㌶㈳搷㐰㍢㘱ㄲㅡ㔱愹㘷っ㤹㤵㍡㥤扡㤴㌶愷㝤换戰㉤㤷挳㜵愸㠸挶㙢㝡㡥㉦㔳㔹户攸攱攵敥戹㘹戳攲敢㙥㠰㕣攳搶㕡晢㝢㝡㈲㕡ㄴ戳㘰戹〱㙤㈳昰ㄲ敤扤㈶攰㥣㙥慥改戸搳㝡㈳㜸ㅣ挲㠹晣愴昳㐵攰㈵㌳㔹㘶〹㌹戱挳㠸㤰搴㜳㈴㉦摢ㄵ㠱ㄷ戲搳㌳搳㔹敥㔸〱晥㉥㤲㌵㐵扡愶㐲㔰ㄶ㐰㈷㥦挰昶ㄱ扥愱㍡㜹昸慡て㡡愷挴㥦㑢摡攵㜸㙣㔰づ摦㈸㑢ㄱ㘸摡㜹㈲㉣ぢ㐲㍦摡㠵㜶〳ㅤ㠶ㅡ〷㐵㐷㕦ㄶ㝦㠹㠶戴㉦㘲挲昳㐴〰捤摢攲㌳㐳搹〳㡣㘶㜷挸㘳㠱っ搴㤶ㄸ晢ㄵ戵㄰摣〳㠲㤳愱㐸㐲㠰㡡㄰搰㄰㄰㔱㌰扣㐷昳〷〶挳捦摢っ攷搸㙦㝥晢换㝢敡愵㜷扦㜵散戶昹晥〷戳っ搵ㄴ〲㐲㔲㑢㐴昶昵㕣挰攴㘲愱㌲挸攲っ搵ㄷ慣慥㑤ㄲ㘱愸扤㠴㘱愶摡つ㜴㌲愸㘳㔰搶愸搳㐴昶ㄵぢ搵㈸捥㍢㜰愱捥搰昰ㅥㅡ敥㉡捡㌳㈸㝢戰㐶㥢〵㐱晥㘱挲昴攸㕤㈶搲昹㌲戸〲攰㥢㌶㐷㈴ㅤ换挰摣㘲㈱㌶搳㈰㍡〳攳㡢愱〵っ愱搰㘴㐲㕢昴㝡㘴㐱㙢㈱敢ㅡ㌵搲㌱㠶扤㘱㕢戵㡣晥㠴㙤㘷㍢昰ㄵ愸㘴づ㈹摤晢㘷戲敢㌴㌴㐲捦慢愶捤慢㘷慡㍥慦戵㙡〴〰换戹㜵㍢㜰搸㡦摡㘶㡦扦㤵晥晥搷晥攸捣扤扢摦戸晣摥㜳扦㔸㘱户摢㡣晥㍦㔶㘵㍡慡㈹㌸搹㑢㠳昰㜷换㕢㘶慣晦攱㌸㐹て挱ㄶ捥ㅥ愳㤲㔵ㄱ愸ㄲ㤷㉦散㑣㔶㈷〷㈲づ㤴㜷㐸敢晦㐱づ晣愲㌷㠵㍤㑢㈳摡㤷㠹㌰摣㤲昰㘸㔸㕤㠳㥤㌵㔸㤶摤摡捥㠲㍦㙣㌳晡晦㔰挷㜰㡤㌰ㅥ㝢㥢㘶㐰㘳戱挹㉢㌴愲㘰愷晥㕣㠹搲㝥ち挶敡㝢ㄴつて㈳㌳㤶扦昷搳㑢㥦㥥晣捡〴㝢㠵㍡㔸摥ㄹㄸ晥㉦慡㜱㈷散</t>
  </si>
  <si>
    <t>㜸〱敤㝣㜹㥣㕣㔵㥤㙦㥤敡慥摢㜵慢扢搳㤵㠵戰㈶㌴㤲挸搲愱慤慤㌷㈱愶㤷㙣つ搹㍢㉣㍡㘸攷㔶搵慤㜴㤱㕡㐲㔵㜵㤲㘶㜸挰㍣㜹昳ㄸ〴ㄴ挶つ㥥愳〱ㄵ〵㐷〴㐷ㄱㅣ㥤㤱愸ㄸ〴㍦㠸㡥㡥㍡づ㠳㠸〸㈳㉡攸㠸捥㠸㡦昷晤晥敥扤㔵户㙥㔵㜷ㄶ昱昳昲挷摣敥㍡㜵捥敦晣捥昶㍤摢敦昷㍢攷㤶㑦昹㝣扥㔷昱昰㥢㑦㉢㍤愷㑣捣㤴㉢㘶扥㜷慣㤸换㤹愹㑡戶㔸㈸昷㡥㤴㑡挶捣㠶㙣戹搲〲〶㙤㌲㡢昸㜲㘰戲㥣扤挲っ㑥敥㌱㑢㘵㌰〵㝣扥㘰㔰昷㈳㍥㘸㝦挲㑥㐰㘷㉡扤㤵づ戸㝣扡㐶愷㡤づ㔹㜵㥤㑥〸㑥㐷㍢㥣敤㘳愳㥢㤳㤷愱攰㠹㑡戱㘴慥攸扥挸捡㝥㘵㌴摡ㅢ敤㑤っ㐴晢㝢㈳㉢扡挷愶㜳㤵改㤲戹戲㘰㑥㔷㑡㐶㙥㐵昷㤶改㘴㉥㥢扡挰㥣搹㕥摣㘵ㄶ㔶㥡挹㐸㍣㘹㈴〶愳㠹扥扥捣搰搰㘰㐷〷㜲摥㌴㌶扡愵㘴㘶捡慦㔵㥥㥤捣㜳昳搸㘸敦㈶戳昲㕡攵㌹て㜹㈲换搵挵扣㤱㉤扣㐶㤹〶〸㝦摦㙡㌳㤵㘵㍦㤹㘶㈹㕢搸搹㡢㙡搷〱㡤搰㐰敦㐸戹㍣㥤摦捤㉥ㅦ㌳㜳戹㙤㘶㐶晡㈷扦扡㕣搹㘲㤴昲攵㡥㍣昱㌳㑢㘶㈱㘵㤶攷攵搷散㑢㤹㌹㥢戱ㅣ捣㕦㘴㤴㌶ㄹ㜹戳㤵㥥慥扣搵㠷攳㘹戳㔰挹㔶㘶㍡昳ㄷ㤶捤㙤㐶㘱愷㐹㤶㐰㝥摤㜴㌶慤㕡㕢昱敦㙢㌹愳㔹捤愴愳㔰㥦晣搸㤴㔱慡㐸㠸㕤ㄸ㙤挶敢ㅡ㉥搲㡡扡㝡㜱㐸㜵㝢㔲戱捦㈶戲昹ぢ捣㔲挱捣戱㄰昶㘴㡦㠷㐹〰戲晡愱㡡㤴搳ㅣ昶㤲㙡户攷〹摢挲㔲戴㉥㌸㙦摡㔰摣戹愹㔸捡㘳㑣慥㌳㡢ㅢ㑤愳戰㌲搶㠷㜱ㅢㄹ㠸挷ㄳ㠳㐳搱㠱㜸㘴㌰挱愸㠹㑡㝡戵戹㘷㈵〶㜵㜴挵㠶㘲捡㈰攸㉢㈳㝡ㄸ㜹攸昳㤹摢〲㌸慦摦㕤捡收㡤搲㑣户㔹㌰㑢㍢㘷扡㔳㤸㡢㜶〷㜵ㅦ昸㕣㜷扥㤸㥥捥㤹摤〹㝤㈱㔳㉤㠲愳㕡㝦㠶改散慤㤹㝦搲昰㑦㈶晤㤳㈹晦㘴摡㍦㘹晡㈷㌳晥挹㥤晥挹㈹晦㘴搶㍦㜹㤹㝦㜲ㄷ㔲㍡㑦戰慤捤㙦㍦〳晦㜵搵戳㌷っ㐴搷晣昵㥤㕦摣晡㠳㉤て㡥㉡捥㘰㔹〰ㄶ挳㜳㑥㘳㑢晢敡ㅢ搶攷㙥搸昱㐸愲㥦〰㐷㍢ㄱ捥愲㕣㌶㘳㔶戲㜹戳慥ㄹ㈷㤱攷㘴㌸㑡㍤㠳㘶戰㈹ㅦ晣慦散挴㥢㠶㐷搶㝦㈸㜳搳㈵㝦晤挹搱㤷ㄵㄷ㄰愹挳ㄲ㜸㑥戱愱ㄶ㥣愳〳㤱挸ちㅢ搶扥挱摥㈱㝤㈹戳㍢ㄵ㡥搶つ㘷昱㜸愱㕣捣〹捥㜵㠵㥥㐶慥搷挱㔱敡㕦敤㐲ㅦ㜹攴㔳㕦戹改㠲ㄷ㐶㍦ㄲ㝦昲敡攷㐳挵扤㡡ぢ㤶ㄴ扡っ㥥㈶㕤ㅣ㑤昴㐶晢〶晡ㄲ㝤昱扥㔸㝣㘰㘰㌰摥㕦㡦㐴㕤ㄷ㉦㘷㠱慦㠷愳㥤〱愷㙢㙣㜳慣慥㍥㘷㌲晡㉣㌸㑡㝤搷慥捦㈷㑥晢㤷㤳㜶ㄴ敥摤昴敥晢户㜶㉤㑡㑣㝤㕢㜱敤㤴晡昴挰ㄳ㙢散㠸㐸㙦㜴㈰㌶㔸㔷㠷㐸㕤㙦慣㘰㈱攷挰搱㝡攱㉣戱〷㤲㤹挹㘴㔳㔹捣敥㤹扡ㅡ扤㠱捣ㄱ㌸㑡㍤㙥搷攸慢㉦扥㝦搱摤扢户慤晢换昹㍦戸晥昹慦㡥昴〴戸㔰挴㥢捤㈰敦攴㕣㡢㐵㍤㘵㤴㉢昶扡挱㤶扣戶换捡愱㔷㤵戵愵搴㥦㝥㔵㐱㈱慦挹慡愲挷㠸㝥ㅣ㡥㤶㠰搳扡㘶换攸㜶扤㡦戴㝥㌸㑡㍤㘲昷㐸晥慣㐷扦昱搰㌷戵攱晢㙦㍣敢慥捣挱㝦ㄹ㔷摣㔵㘵㡣っ挲ㄳ㘹㌶㐶〶敡攷㙢㉣敥㥥慦㐳㉣攲㡤㜰戴㜳攱㉣搹㙤㤶㌲㕣搶戰昲㜷㤷㌸㠹敡㐶挸㜹㘴㕥〹㐷愹〳㜶㝤昶㥣㜰昰㤵搶〳愱戵て㍣㝥攳扣摥摦晤攴㝥挵つ㕥戶㤳㔵㘴ㅥ㠶愳㡤挰㔹戸㙥晤扡㙥㌳㥦㉤㜳㙦敡捥ㄸ㈹散晡晡㈸㔹挶攰㈸昵〵㍢扦㜹ㅦ㝦昰㕢敢晦晥挳ㅢ摦㝤搲昵愳晤搷晤㜰戴㘳つ愲户摡㑢昰敡㤲戱ㄷ㥢㕡㙤扦㡣昵㐶昸㜷㘸㐱〱㜲㐲愶㉦㌳㤰㠹㐶搳㝤ㄱ㈳㙥〴戸〰ㅦ敥㡥㐴摥㡥捣挵搹㐲扡戸㔷戶愸㔳㐶㡤戲㔹ㅢ㕢㍤㜶摣㘸㜱扡㤰㉥㥦摣㍣㜲愲㘲㔴捣㤳扣㜱戵㑣ㅡ㤲㑤㘰〳㌷换㔲摥㔲㙦戲㡢㡣摣戴㌹戲㉦㙢㐵㉦昱㐴㘳晢㉥㈶㘷㡦㕤㕢㌲㉦慦挶㌶搴㘸〴愲攰ㅥ挹扢愱㤵㔶㤴㔵慦敥戱愹㘲搹㉣㐸昵㝡昲㕢戲愹㕤㘶㘹挲愴㈰㘹愶愵愹挷㌱捡㤶㈱㝡㌶ㄷ搰㔰㐸〵改搷戹愹㤹㌵晢㉡㘶㈱㙤愶㔱㕦っ扣捡捣㜶㈳㤹㌳ㄷ搷戱㔸㘵㈲攲挴㍡昲摡㘲㙡扡㍣㔶㉣㔴㑡挵㕣㝤捣㐸㝡て㐷㙦㝡㘳㌱㙤㐲散㘸攵攳㔳扥㤶ㄶ愵㝣㘷㌷㕢戹㤸㙦戹㔷㍡挲搵挵㤴㐲㑥愸ㅦ㜶扤摢搰㍡戴㈲㘷㜲㑣晡㤷ㅤ㈲㌳挹㤷搹㥣㌵㍢愳慢㑤㤴扡挹㝤收散摣㔲挷㙡捦晤㘹㤹晤晥㠵㜶敢搷散㠱㙣户摥㈸愴㜳㘶㘹㑥㥤㐱戱㐶晡㕡㌸㠱〷㌱㥢㘷㐵㡦攲㠵摡愷㘶〲㝢戳改捡㤴㌶㘵㘶㜷㑥㔵㐰㠳㕥ㄱっㄲ摡㠶㐷㕦て㤲㍥㑥攷㝣㌸愱㤰㑦扢㠰㑣㕡㐸摦㘰㠵〳㤴愵㡥㕣㙡愴收愲㡢㤴ち㤵愲ㅣ挸㘳搷㉡户戴㌴㙢攵㝡愳㍣㔵攱昰㥣㌳戲㥤昹㙤愴戳〹㑥㠰昲摡㈱㠵㔲㡡㤳慤㤴扤㍢昳慢捤㡣〱㡤㐷㘶户㌲〲㜹㑢㠸㕥㙤㤶㔳㍡愵敤㜱捣㤵㝤ㅡ㝣㤸晣ㅤ㜹㡥㝥㜳㕦㘵戵㔱㌱摡昲㤰摢搱㑢㍡㤸㝡㈴㤵攵㘳捡㑥愱㌹愹㐳㜶〸㌹㠴挵敢捡愵㕤〸㔶㑥㤸㌸㤸㉦扥ㄶ摢㥤扢ㄱ慣㍢ㅡ愱㜹〷㝡扤晣つ戵㈰扤捥㉣㙣㥦搹㙤㤶挹ㅥ搴收㠴搲㍢扤㤸搹收㔴昲挲㑡㌶㔷敥㐵㑤搷㤵㡡搳扢㕦换㝣㤸㤷扥ㄹ㡥昳〴敥挵㈸㍥晣㌶㔱愷㙥摢挳扥㤹㥣昴〵㤹ㅢ㈹㍡攵㝢㥤愳ㄵ㤹扤㡡㉦㜹昴〹㝣㠵收㡡ぢ㔰捣㍦ㄲ㕤㈵〰晥㡥㍣㄰摡㕥㌲㐵晢ち㑡〰㘸㜷收㉦㉥㤶㜶㈵㡢挵㕤ㅣ㑦昳㈴㔴㥥㌲捤㡡㘸㌴戶〶㈷㥡㥡㔲㉤㉤㜵㑡㠵㑢昵愱㉥愴㕤っ愷㜳㈴㤷敢㜶㜲㉣㙢㤷㠰搴〲摤㑡㝢㌳㍣挷㘳搵㠵慡㌲搹㍦〹改㙦㈶㤵愳〶扡㉦㔷捥慢㍢搱㜸捡昹㑦晦昰换㔷㍤晦摢昷㥥晦攱㥢摦搸㤲晤敤戳〱昵㔱㍢愲㐱〹愱㈲㈱㕡搲愵昰愸て㠳㡤㡢ち晣昵㡦晥㌶㠴昵㐹㍡㍢攰㘰㘹㄰戰戱㌲㈴慤愰愲㌲挲搵㐱㑦搱㐹挳㔱㔴㐰㐴㤷㌲攱㜱ㅥ㜵ㅢ昲㘷㤷㑢户㔱㝢㘹散戶㉣愸㈱㝤㡥㌸㐵戵㠶㕤愷ㄳ㉡㥤攰攸〴㐶扤ぢㄹ㌷〵攰㥤㜶㐴㠳〶㐴戵㐶〰㈸㌱晤㡤㘰㙢づ〰㤷㑥㝤㥡捥ㅥ㌸㉥〰昶㔹㐱㜵㉡扥〵㠰ㄹ㌲㕤〱㐷㥤〶㐷〰昸㜳㜸㥣㐷㕤㡢㌲慡〰㜴㠳摣〸挰搵愰㠶昴㌹攲ㄴ㔵慣㘶〰㕣㌱ㅢ〰㌳㜶㐴㠳㌶戶ㅣ㌹〹〰搷挱愳昶捥ち挰昵㠸搶摦㐱攷〶㌸㉥〰㙥戲㠲㡡㑡㤸〰昰㑥㌲扤ぢ㡥㍡ㄳ㡥〰㜰㌳㍣捥愳ち㙥〰愸戵㌵〲昰ㅥ㔰㐳晡ㅣ㜱㡡㍡㕤㌳〰搲戳〱㤰戲㈳ㅡ搴扦ㄵ挸㐹〰昸㈰㍣捡㤸ㄵ㠰晤㠸搶㙦愷㜳〷ㅣㄷ〰ㅦ戱㠲敡ㅣ㝣ぢ〰ㅦ㈵搳㥤㜰ㄴ㤵㍤〱攰㘳昰㌸㡦扡挴つ〰㔵挶㐶〰㍥〱㙡㐸㥦㈳㑥㐵挰搱っ㠰㑤戳〱戰搱㡥㘸搰㌶愹ㄳ捤㈱愴搷㈹㜸㉣戱㑥㐸敦挸慣捤收㉡㘶㐹攴戰慥っ扥㉣挳㤸㠴㍢㈹㝢㤶愰㠵㐸㘸㔱㘶っ攲㈷㉣㜱㤵㤹㥡㐰摥㈰晥㕡搲攱㝦ぢ昹挷㥣㤰㉦㈲㝥㥤愰㍦㠷㄰㡤㐱攳ㄱ昳攷㘶㜶つ㈲捡户㑤户㘴ㄹ㐴扤挸戹㝥㤰㤱摦㉢㍦㠸戹戱捡敦ㅥ㠴攴㡥捣㉥晣㜳戰㌷づ㔲㈶㥡㔵搰㕥㠳挸晦㔶㔳扣㐷ㅢ㤶㥡昲ㄹ㘰愳㝦㤶捥晤㜴㍥㐷攷〱㌸㙡㥤扤捣㥥〶㌱攰ㄲ㝣扥〲ㅤ攱ㄹ㝣晢昴捦搳昹㝢㍡㕦㠰攳㕡㘶晦〱㐱敤ㅦ㐹㤳搵愳㥢㈲㙥㐸愹㌸㈸戲敡㝥〹ㅥ晤㈱㌸ㅤ〷攰㙣㕡㙦收愰敤扥㔶挷ㄳ〱ㅡ㠹收㤶捦㌱㜴㈸㠵㉥捥㑦捣ㄴ㔲㔳愵㘲〱攷㌹㔴ㅢ㐶㔲戰敦㤷㤵愱攵㌷ㄴ挷愶㉢㕡㝥㝤ㄶ㕦ㅤ昹㙤收㙥搳愸㡣挱㥡〱㥤㘴〳㡣㜸愲㜱㡣愷昷晤晦搴㐸㝣㔴ㅢ㘱㈸慡㈹㈵捡㍢㜱㉤摤挰㠶户㜷㜵ㄱ㘷㐵愶㥣㘸ㄱ㜶㑤㠳㜶㜹っ慡ㅣ㍥晤换愸摤㠷㕥扡晢摣攵㝦昳愹㔷敤敦慢㌱〸攵搱ㄳ㠸㙣摣㠴ㅦ〶㌵㌴㔷㥣愲搵戰扡〹㙢㡦㈲搴㠲㘱㘰挹愲㜱㘴摤㔴ㄶ㡤搹ㄱつ㐶挶㈱愴ㄷ㐹攴㜱㜸㔴〴㙣捤㘵搱㈷㄰慤㝦㡢捥户攱戸愶挸㜷慣愰愲愵㔱收挴㜷挹昴捦㜰ㄴ㡤㡡㈲㠹㝣てㅥ攷㔱㘷愰㡣慡㉣㑡搳㘴㈳〸㍦〴㌵愴捦ㄱ愷㘸慡慣㠲攰ㄲ挶㤷捣〶挰㈹㜶㐴㠳㔵㜳ㄵ㜲愲㌴愲晦㠴捥戳㜴㝥㑡攷㌹㍡捦挳㔱㡢㙤㔰㥥㠱㌱戶㝥摤昸ㄹ㜹㕥愰昳㜳㌸㉥㔰㝥㐹㥡慣ㅢ㑡つ挳㉦挰扣㐴攲慦攰愸㔱㌸㥣摣㍥晤搷㜰㘶ㅤ㈱㈳攴戸〰づ㉡昰㉡扥攴搱㕦挶㔷㐸㥦㈳㑥㡤㠱愳〶づ㐷㠸㌵㍡㕡㙣っㅡ㔴㌵扦ㅤ攱㌵搱〶搶㈲敤ㄱ㤸搶摡㔹㔴收愲慣戹㤷ぢ攵扣っ㡥っ挷愶换㤵愲ㄸ㉥㍡㌳慢㡢㥢㡡㤵搵搹昲敥㥣㌱戳㌰㘳㝢㉥㥥㌲ぢ㌰㉢㤶㘰㕤昴搰㡡扢㜷㥢㘹㍤㌳㔱㥣㉥愵捣昱搵挷㠲搹ㄱ敤㐳昷㠹挵搱慦昰ㅣ㥤㈵つ㙢㥤挲㘸挱攳ぢ慣㐷㠶㕥㠳㠸㑢㤲愸〹慤㥣愴㕤㌵㐴户㘷㉢㌹戳㍤㈳昱攲て㘶㠰㈲㙣戵改戶捣昶㈹ㄸち㔶㜷㘶搶㤵戲㘹㈸敡㈶㍢〳㠲㌰捦㘱㌷㤸㍢㘱㤷摤㔲㉣㘷㜹㕣搹㤹搹㕥㌲ち攵摤㌴㌱愵㘶ㄶ搴㠵㘴㘷〸㘴㐶戳㠵㌲㡡㤱㕥愴扦㉢㌳㌱㔵摣㡢㥢〵搳昹挲㍡㘳㜷昹㤸攸ㄵ㙣ㅤ昶㈳㕤愳晣捡敦㔷㐱㝦昰㘸晢㐷攳㙣㕢㡣ㄳ㤷㠲ㅣ〴㜷㘳愸㔶㑡搹攴㌴㌱㤳㠲戸㘰戴搲㤱㙥昴〵㘸挰㥣㐳ㅥ愴㔴㘸ㅢ捣㘹っ㘶㜵敢㡥捣㥡摡㈵慢㌷㌶㈸〹敡㌴㌹㜵㜰㡦㍣㝦摤㠵攳戵㘳㤲㍦敡㑥㐵㠰㈶㔷敦㔶敢ㅤ㝣㔵慢昴㜱㘰㥥㘷㡤㈲搲㌸愸㌰㌹㌱ㄸㄸ昲㡥捣㔰㐶㜸㌸㐸攷搵扣㙢㘱搸散挸㙣㌰㤲㘶づ昶搸扣㔱㤹㘷〵㈸ㅢ攳挰扤㙣挷㡤ㄵ昳㜹㠳愳㡥㈳㜶㈲㘵攴捣㘰㘶㘴扡㔲摣㤸㉤攸ㄹ㌸㌲㌴㙤㤲戱て㈴㘳㥦㤰㍡㌲摢㜸㑥㈳㝥收㔵摣㘹㤴戲㤵愹㝣㌶ㄵ㘴㠰㘷㈹挷挴㜰挵ㄲ㈲㈲て〰攵攳㉣㈷㕥㔱捦ㄲ㝡搰摤扤㔰㙢〸ㅤ扢ㅦ㠳摡慦㌴晣愹愳㌴攳㘳昱㤱㍤㐵㙦㐱㙥〱㠸挰戲ㅡ㐹㐵㕥㜴慥ㄱ扤㜸㌵攲㘴㝤㔲ㅢ挸㠰㡦捥㥢㐵昴昰搳扡ㄱ捥㥣㌶摥㌶㌰㠴㌶ㄴ㡤昴㕡㘸攲挵㔲㥢㝤〷㈸㠸慥攵㙡㔳ち搳敡㍥㠶㠳ㅣㅣ㄰敤挹愶捤㔲㤰㠴〹㠸慦慤戴搷㙢㔶ㅦㄲㅢ㕦㈰搰ㅥ㙣㔶搶戸㤳搷㌲摢㤶改扥敥㌴摥㤰晦ぢ㕢〷㔷戱戵愱㄰戶㜱㕣㘳㐲㍢㜴㡤㙤摡㠴㈰摢攳㘱㘸㈳㐳㄰㑥㘰㌳㈲扤㝤㔳㙦〰㠷㤹㕣〷㔳慢摣㥥愱㘹㍥〸㌳戶搸昴〳搲㤰㜶㤷㉤㕥戳捣昰㐱攷㑡㡥㌶㠱㔱㙥愶㐳搶ㄲ㑢攱㕤扡搹摦㡡慥搶扣㈶㤲㠶㘲㤱㔹㝥挲ㄴ㈳扤敡㐴ㄵ㌴ㅤ㌵敥攵㘴㐱晥㤳㠷㜹昹挴㉢㘲㠴㐲㝡㍢戲昱㠵搴〴㕣〷ㅢ㙥㐰愱㄰㍢㔶敦㈰㌶㥤㜰ㄴ㑤戸ㄴㄲ㕣㕢㥡愲摤㤶摢㥡㑦㥢〷㤶㈳㔸㐶搵㈴ㄲ㜱㈹搵扢㤸昷づ昸戸㐲㔵㐷散㝣㔰て㍤㘲㤳㑣㠱㡦扥㠰㤹搸〱㤵㠲挷㘹㠹㙢ㄸ㉣〴㠳扥㠸㡣㌴ㅦ㌷㘱㌸㡥っ㡢挹㘰㠲㠱㐳㐱㍢ㅥ愱㔳ㅣ㠸㥢㕥㠳㘹〲攸㠹㐸〴㐰戳慥㔲㕣㠰㥥挴㔲㑥㘶㈹㈵㌰㜸〱慤㠰㘶〱㝡ち㔸ㄶ㕡㔷㘶づ戹㈹愹㘹㈴ㄳ㌴㤷㌰攳㍤〸搵愱㜹㉡愸㠷㐶㤳愶㘶㌰晡昴㙥㘶㘲〷ㄴ敤捤㑤挰㍡つっ晡敢挸㐸㕢㜴ㄳ㠶搳挹戰㡣っ㌴㑦ぢ㥡换ㄱ㕡敡愰㌹换つ㥦㈶㜸㥥㠱㘴挰昳㙡㔷㌹㕤愴㔸〳昴㑣㤶㜳ㄶ换戹づ㐴㉦㥥㌴㉢㕢㜸㥥つ㤶㈳ㄹ愰敦㐰㑡㠱戴㠷㜹摦㠰㔰ㅤ愴攷㠰㝡㘸㐸㙦㐲㌲㌰晡昴㕥㘶㘲〷搴㍢攱㘹㠲搸ㅢ挰愰㐷挸昸慥收っ㔱㌲挴挸㜰㌳ㄸ〴搲㌸㐲挷㍢㤰㝡㙦㈷㌵挱戲て晣挰昲㍤慥〲㕣㘳戳㥦〵っ戰〰ㅡ慢扤㔸敥〷捤挲㜲㄰㉣㐷㠲攵敤㐸㈹㔸づ㌱敦㍢㄰慡挳昲㕣㔰て㡤㈵敤攰㘰昴改攷㌱ㄳ㍢愰㘸っ㙦㠲攵㑡㌰攸㙦㈲攳㥤捤ㄹ㔶㤱㘱㤸っ戴㥤ぢ㤶㈳〸㉤㜷戰㥣晢㤶㔵ㄳ㘴挷㤰ㅡ挸㝥挲㔵㥣㙢㤴慥㘶㜱㙢攰〴㍥〳㠶㌹〴㌱攸昷㉥换收㍣㌰㙢㤹ぢぢ搹ち㘴㈴㔶㙤㙤戶㠲搵扥㈳〳〷㕥㌱㐱㥥㈴戲㤳㉢㔱㑦㔵㉤㍢戵㌱慡㑥㑦㕢摡ㄸ敦㔶摣㤶㌵㠹戶㔴㍡㤷㈶㜷㈸㈶㔱敤㥡搴昱㔸搲昵㤴㘵㤷戲搵㍤戵㝣㜶〳慥ぢ㜷捡敡㝦㠴㘶愸慤挵㘸㘸㥤㌱㡤㤲㑦㕦挷戱愳昰㠷敤㜸㍤晣搴ㄶ㍦㝢挸㜱攲㌲㙡户㠳㌹㐴㡤搱愲㜵摡愷㈶㔸㘳㈱㜰㠵散㄰挴改㜹戶㜷昳㜴愵㉥挶搸户搰㡥挱戹昰收〲㤴愰㤴㔱㑡ㅦ㈳ㄲ㌴摡㘶改㝡㈲っㅦ愵ㅥ㡥㑣昸戸攴㕥㔸㔶挶㙤慣敦㐷捣㤱㥣〹㜰㘲㜷ㄲ敥敡㔱㐱㤰㈱摥㙣㤵㕥戰㉥戶㡡㔱㘴㡢〹㡢〶慥㔵攷捣㠵㤲愰ㅡㄴ㘹㔱捦㡣㈴㜱搱㜵扡㐲搵挹昶挹㙣搷㌳摢㑣摥㝦摤㘳㐲搳戱㝤㕢㔲ㄵ㥣㠰㔵㌳攰〵慤㘳愷㠷㠰㐸慢摤㑢㑡晡㐹㥢㘳㤱慢㙦〴㈷搲㔱昶㉡晡㉦㈳捦㉦㔶愹摢㙥攵㜳搷㉡㥦攳戱捤㉥㍣ㄵ㤸㐳㘱挷㠲敢㍥挰攱㑣㕡攸㥣㉢㕡换㥣慣㘰ㅤづ㡤㕡㝤㈷つ㌰愵ち㉥㐶昰㘶㙣ㄷ愷㑥づ㙡㑦㈵ぢ〵㌶㌷㌳㉦㌳㕥㐸攵愶搳愶㘸扦捥挲㉤㑡昰㌱搱㕦㔴敦散ㄹ㌵〷㉥㌶㈸攳㜸㝢挴戹搵㜶昴㔶㌰晤㝣㤴㈹扡㈸昲挰㝤㉦㝢摥昱慣收㠸㑦换㐲㐸戴愰㜶搶㉢㉦㉡㘰㘹㙢㈰㜱㑤攳戹㐷昵挰㑤㘶㥣㡢㙤㐳ㄱ㜷昹㘱㐵㜳㤱搶㘷㉤搲㌱搱㑦㘸愷搵㑤㥡〶ㅢ挰搱捤㤰㠳昷㥦㥡㌵㈶㍦戹敡㤱㌷〴㝥㔰昹挴㠱㔵捥㙣攱ㅥ㠳㕤㐶昱㌸㑣㘴㍡㌹㠷㄰戹㡡戶㉥㝦捤攰愵㜸㔸㈶挲摢㈶昴㥡攲愹㤹㈵扣攱㤶㈰㍢㜵ぢ㥣㐳ぢ㙦㍣㕤〳愳㑦摦捡㑣散㠰晡ㄲ㍣㡥昰〶㉦敡㈴ち晢㌶㌰攸ㄳ㘴㝣愸㌹挳㜶㌲㕣〸㈷昰㘵㌰㜸ㄷ㥡㔹㑦㤰㤸㜹㈰㑦扤㍢㤸愷晤〱搳㔴挳つ㍣㥣㤰㐱搵搵摡㠳〷㄰慦㕦㠴㙣扦昱搸㘳㍣㜵昰愹㠷攱㌸ㄵ㤴㍤搶搲㌹㉥㘶昹㍣ㅦ㔰㡦㠳挱㉢㈷㍦〱㥡㈵㈷扦ㄹ㉣㐷㈲㈷㝦ぢ㈹〵敡户㌰㙦㥥扥搴挹挹㤷㠲㝡㘸愸扦㠳㘴㘰昴改㙦㘵㈶㜶㐰昱愸挶㘹㠹㑢㈹㝥ㅢㄸ昴㐹㌲昲ㄸ愷〹挳づ㌲ㄸ㘴攰挹㡥挸挹㐹㠴慡㜲㌲づ㐱攷戸㙢㝥〱搲戸㑦㌴㈰摦愴㤱ㅡ㜲㌲捦㝤㥣攲㕣㜲戲挹攲㌲㉣㡥㘷㌴㤴㤵戵㥤〸㜵散散㠶㜲㜳㡥㜹昹ㅢ㜶㕤㍣攵搳愷㤸㠷㉤㉦㘵攱攷㐸㝥ㄶ㈴捡㑣捥㔳扦搳㕦㘶㜳晤ㄴ搱摣敤〹㡣㌳ㄷ㘶摢㌹搴㜳攰攳敥攱搳㜷㠱扤戶㝣攵敤捣㥥㐷ㄴ㤷戰攲捦㝤昷昵晦晢㤲攱㔷㐶㍥昶挸㥥㔰晦戰㤳戱㌳挹㝥〶ㅥ㙢㤲㡤挰㈷㘵㝢㈷搹ぢ㈰㑢捦ㄷ㤱户晡㌹㐲捥㈴㘳昳昵换攱ㅣ扡攷㝦㘹攵敤搳㑢捣挴づ㈸㥥㐵㌹㐸挳敢㑣戲㌲昳愵㝤㕡晤慡㌹挳㌴ㄹ昶㤰㠱㈷㔷㥣㘸晡㕥㠴慡㜳攳㘵㔷㌲搷摣搸挷㘴㌳㑣挶㉡攰ㅦ户搵㙣㡦捣㍦摡㈲扤㈶戶〶昳㈷㙤愶㄰㕢㘱〸㥤愸捣攴㘰㝣愶㤷㈶㌷换挷挹㙢㐵挳㄰㔸㉣㘱㐳㙢昵摥㥦愸愶㕤㠳慣摡ㄷ㜹㉥㠱㑢㌲挶搰〰ㄷ昸㕦晦户昱愲㜳㌵㍤㕢㔰扢ㄱ捡㌴㝣戴㉢㐱㕦戴㌱㥢㉡ㄵ换挵㑣愵㝢〲㘷㉢摤扣㔴㥦挱㡥㌶ㄲ㜸㍢㜲㙣㕡㈶ㅢ搶㕡攰㙢㜵㝢㜸挹㌴戴慢㔰摣㕢㤰摡〴捡㝣户㠰愵改㙤㙤㉣㠶晢㥣㍣愷〳挵㌰㌷㙤㈶搶慦㠲愷戳㈵ㅣ挰ㄷ攷戱㐶晢敤昲戱搱戱㙤㤳㠹㠱㔸愶㍦㌲㌰㤴㠸つつ㈴㡣攴㠰ㄱ㐹㤸挹晥扥㔴㌲㤹㠹㈶㘳㠶愹㕤㔳㘵ㅤ㡣挴㡤㠱㘸㈲㍤㤴捣挴ㄲ㐳㝤㘹㈳搱㤷㡡挵晢愲㤹戴㘹挶〷攳㤹㌰捤愵捣㕥晦ぢ㜸昴晦〹㈷摣收㤰摥㑥搲戵㈴搱㘶㉡㕣㘴㄰搶〰慤㠹㠷㙢捡㘴㝢㔴㔲愵㔴㕡㤹慤㙤㙤つ㝡㔷㠳〹㤴〷ㄱ㜲敤㔸搳㍡㤱㌶㌰〳㤸扤捡㕡昳㐴愸㤵慢ㄷ㤹㔸挰扣㡥昵晥㉢㌸愱㌰つ㥤愴㘹搷挳戳㘰㙣㜴ㄲ搷㘱㥤ぢ戲ㅣ㜹摡㍢㐰敦〰㕤挴㠸㙤㜸摤㐰扢〱㤴㜹愰戸捥㝣戴ㅢ㐱㥢て㕡晤㉢㤵㘱㕡㔰愵㐴摥㈳㤵㜷〶慤户〷㙦〶㕤㠹〹㤴昴㕢ㄸ㠲㠷ㄳ㐵捤㠷㡦㤳㐵攵搱㑡づ㔱㄰㝤㍡挷ㅤ㠷㤸摡〵ち㠷㔹晤㌰㔹㠰㘸㈹攷扤昰㘰㤸搰攸㈹挳攴㝤昰㔸挳㘴㄰慦捥昴㈷㠷攲戱㠱㔸㈲搱ㄷ换っ愵㌲〳㐹㈳㥥㑡づ愴搳搱愱愱㠸昶晥㉡㙢㌲摡㌷ㄸ㡦㐷㤳㘶㍣㥡挰㌰挹っ攲慤扤戴ㄹ㑦愵㘳㠹愸搱㌷㌰ㄴ愶㌹㔵〶挰慤昰攸户挱〹搳㡡㉡愴晦㐳搲〷㐸㕡散㤰慡㕣敡㐴㤰㌸㔴㤴㠱㈶戰ㅢ愵搲晢㐱搱㙦㠷ㄳち搳㑣㉡㌴㜶㠷㑥散㜵挲慤ㄳ摦㌰捤愷㌵㌴㑦㈰㉥挷搳戹ぢ㜴㈵㈶㔰㠶敥㘶〸ㅥ㐱㤳㈶㔰㐱昳㐲ㄴ搶㠸收〴愸㡤㘸㜶㈳㤱㤴㜳て㍣㐰昳㌴㝣〹㥡㥦㠲挷㐲㌳㤶㌲愲㠹〱挳㠸昵㤹ㄱ㑣挰㤴㤱㠸㐵晡愳愹搸㘰㌲㘵昶つっづ㘹昷㔶㔹㑤扣㜲㤸ㅥ㑡愷愲㠳㠹㔸〲㤰ㅢ愹㘴㈲搹㍦㤸ㅥ㑣っ挵〷昱戲㑢㤸收㔴㠱敥㍥㜸昴㑦挳〹㥦敥㤰晥㡥愴捦㤰戴捣㈱㤱㐱㈷慢㍡〳㡥愰㌹㙥愳挹㈶敢て㌰晥㐱㌸愱昰㤹㜰㘷㐵昳㉣㈷㔲挶收愹㑣扡㤴捥㐳愰慢ㅥ㍡っㅤ戰㍤㠲收㌹〸〸㥡㉢㥢愲㜹㙥㔳㌴㘹〳㤵㑡㍣って搰愴扤㔳搰晣ㅡ㍣ㄶ㥡愹㐴㍡㤲㡡㐷晡捣㠱〱ㄳ㙦攰㈶〷晢㠶㤲ㄱ扣ㅢ㥥㡥㈶晡搳㤱㠴愱ㅤ慣戲づ昵て挵〱㜰㉡ㄲ捤愴㠰㜹㝣搰㠸㐷晢捤㐴㝦㕦㉣摤ㄷ挷戸づ搳㤲㉡㘸㍥〲㡦晥㜵㌸攱愸㐳㝡㤴愴挷㐸㡡㌹愴㉡㤷愲㡤㔴搰㡣摡㘸㑡愵扦挹㈴㑦挰〹㠵晢攱捥㡡㈶捤愷ㄲ㈹㘸扥㥥搰㉤愷昳㝤搰搵㄰ㅤ㠶㝥㘰㝢〴㑤摡㍦〵捤攵㑤搱㍣扤㈹㥡攷㈱㤱㤴昳㈴㍣㐰㤳ㄶ㑦㐱昳摦攰戱搰ㅣ㌲㘲愹愱㘸㘲㈸ㄹ敦敢㑦ㄸ㘶㜴㘸㈰㥤㠹㘴攲晤㠳㠹㌴㠲〳晤摡㔳㔵搶㔸摦㐰㙡㈸ㅥ㌵㡤扥㐸㉣㘱㈴㔲㠳戱㘴㉣㥤㐸㐴ㄲ挹㜴ㅡ攴㜸㤸戶㔴㐱昳㐷昰攸㑦挳〹慦㜲㐸㍦㈶改ㄹ㤲㠶ㅤ㔲㤵㑢㡤㠱㈴㘸㥥攸㐶昳㌹㈶㜹ㅥ㑥㈸扣ㅡ敥慣㘸搲㘴㕡㐳昳ㅣ㐲户㠲捥㑢愰〷搶挱昱㉥晦慥㌳㙤㤷慤づ昲扤㉦散㌲愰捡㐶㌲㍦戳㜵摡挸攱㠵昷捤㔰攰㉢㈴ㅤぢ㙡㕦慢㘵㐶㌹攴ㅥ㉡㑤昸戳户㜲㉢昳㘲㔰扦〵摡㙤㤳㝤昳攸㤴挸㔰㘰ㅥ晡敥昰㑡㐱㤷㜸㌶㕡づ昱㤰晥㙢㐴㔰㑣㕦㡦㙦昲攸晦㐱搷㝥搴㜸㌳㙡攰㝣㔰て摦㐲挱晣ㄶ搶づ㠶㜹〵愰㈷〷㘳捤㘱摣戸昸つ㡢摦搰慣づ㑡㤴㕥攴慣晦搶㡥收㔰㔲㔴㝡㘵挶〶㕤㌳㔶晢㑦㔰㘷㤵〹㤵搶㜴ㅡ㙦㐵ㅡㄹ攰扦㠷〷搳㜸ㅢ扥昸㠴㈷ㅣ捦㜶挷㜳愱敤改扡〸ㅥ㙥晢㥡㜰扥㠶㑥昸㘲攴㉣㝢㠷散戵敦㐰挸摡㜰愹敢ち㥤㝡㡢扣攰慣㉢慣〶敡㉤愰攳摦愷晢ㄹ㠲㐷搶戳㑢挹捤㤸㍦晣愱搹㕥晢㝢㔰ㅢ昷㕡㙡慢〲㠴㠶慣〰〴㌵㔳㉥㌸㕡ㅢ㕣㙢㍤挳㌶搰㥦㐹づ挶㘲㝤晤㤱挴㔰捣ㅣ㡣㘱㘷攸㌳㡣昸㈰㘴㤷㐸㝦㕣ぢ㔶㔹㔳搸ㄷ搲㠳㐳㘶㝦ㅦ愴㥣㌸愴攱挱晥㐴扦㤱敡敢㡦挶〷戱㤹㘴挲㤳㜶昶㍡㝦〵㐵て挱〹敦㜰㐸敤㈴㜵㤰㘴㌸㈴㌲〸㉢㘴㔵㝢㍤㝢〹捤愸㑡㉥晣昹ㄴ㝤㍥㥣㔰㤸㌲晣慣敢ㄹ㔵摢摡㝡挶㡢㤴晡㄰㥤ㄳ㤱㔴㑤㈱㤲㙢㕡㐸㍤㡢扣㌹攷慣戹㜳㌲昳挵摣挹㈲づ晦㥥戹㜳㔹㔳敡㉥㔰㌹㝦昴㈵捣㌹摦㤴㐷㜴㑤收㜷㉡㜹攰㤱戱㝤㌹㝣搲㝢㑦戹㝢㡦㘳㕢攴捥㈷㥢昶㕥〹搱搲慥搳㤱ㄵ㝡慦㉣散㐰戰攲㜸愶ㅤ捦ㅥ摢搳戵ㄷ㥥㍦捤㌰愶づ摡㙣ㄸ捦㌸昴㔵㙣昵㌰㥤戳㔰摦昰ㄵ愰㑢敤捦㤶摡〷愸㘳㥤㍢晢㈱㤰㑢摥敦㠱㤹戴敥敤攷㌵㜸㥢㜹〶戹昸㕡㜰戹挵扡ㄲ搲敡㝦攳搱攵挵㈵㥥挶㜱㝥〲摦〱敥㝦㐴㍥㘸㤱㙢㕤㘶㡥㈲攸慤㐰㔵〳㝦㠱挸愶㘶㔸敦敦㐱戸㝦慣㠵㡢捦㜱昹昱㌲㌴㈱摣㠳摦㕥ㅣ愹晥㘲捣㝣㐷㐳敡㜱㕥捡㕤㕥愳㌸愷ㅣ㑥戲捤愵㙡㍡扣攴ち㤵ㄸㄱ㍤㝣㠵昷戸㕡挸㜵愵收攴ㅡㄵ㠷㕢㌰戹㥢㘹㈷挷㌲㤴昹㔶㝦㑢挳㠵㜲㤱〸散摦㠶攱ㅤㅡ收㠶ㄷ捥挷搳㍣㕣㍤戹挹㠵愲搱㙣㐵㉥攴搱愸愱昴慢〱㡥搶㑢㤸㔶㉥㕢戳㙣㈰昰〴晡挱㙢㜱㥣戵㠸㝡搴㔹愰㌵愳㈳挸㑦㔱㘹㈶昴㑡扦㠶㘵挴慣㌲挶㤶つ愸㙦愰っ㤶〳ち戶捥〴㤹摦づㄶ㠷愴慥戵〳捣慣敢㍡〴〲昰㜸㜶㠳ㄷ㌹挶昹っ㡢敢㍢挵晥敥ㅥ敥晡㉢㙦ち敦戵攴愵摦散晤㜱㌰㕦ㅣ晥昲㙦捥扣昴㥤〷㕥㕡愵㙥㐶㡡摡㌵攳㑢㤰愳㜵捤昸㈰㉡搹昴ㄲ晡搷散〸敦ㅢ愱攱㕢㤰㤳㑣戵㌷愲㔵㥤㉤敡扤〸㜳扡愹慦㈲〵挷戸っ换昳搸攴㕢㐱戶昰㜹ㅦ㝣摡㥢㐰㐳ㅦ㡣㉤敢㔷て㠱捦〱㈳愴て㤳昹戶㉡㌳搵㔷㙤搴㘲㕥〳收㉦摡捣ㄶ昲慢挹㑣搵搴㐹慦愸愲㌲㈰㘰敥㐷攰挸挰扣摤㥢挲ぢ愶〵晦㈲摢㉡昸慢㔵敡㉥愴㘸〶收〳愸㐴㔳㌰㍦㘷㐷㜸摦㉥つ摦㡤㥣〴捣昳搱㉡㠰㐹㌵㔵挰晣㉣㔲㔴挱摣挰㈶摦㠷㈸ぢ㑣敡慥摡㈶〷㥦㤸扡て扣㑥晢㐳晡ㄶ㌲㝦扡捡㑣敤㔵摢㘶㌱㡦㉤㡢愹㑦摡捣愰㘰㘴㙥㈷㌳㌵搳㉡㤸搴㔰㥤捣扡愸㠰ㅥ〶㤸㐱㝢㘴㠶㠷扢ㅥ㜴㔲扣㔵㥤㜶换㐸攰愹慢㥢㠲昹慥摢㠶攳㝣捡ㅢ㠷搵㐳㐸搱っ捣㡦摢㤸㌵㕣㠰晦㤸ㅤ攱㝤㔳㌵㑣〵㔷挰㝣ぢ㕡〵㌰愹愵ち㤸ㅦ㐵㡡㉡㤸㤷戲挹㡦㈰捡〲㤳慡慢昶㌶搰㘴㘴づ慡摢敢昰搹㐱收慦㔷㤹て㤲㌹㘹㌱慦㔹㌶愸晥挶㘶戶㐶㘶㥡捣㡦㠲愵ち㈶ㄵ搴㉡㤸搴㍦て〳㑣搷㌴㝦挲㥢挲ぢ收慢戱㙦ㅥ扣㙢换㡡摡㌴晦㍥㔲㌴〳昳晤㌶㘶つ㘰扥捦㡥昰扥昵ㅡ愶㝥㉢㘰㕥㠶㔶〱捣㈷ㄱㄶ㌰摦㠳ㄴ㔵㌰㜳㙣昲㡦㄰㘵㠱㐹捤㔵㉢㔸昸㡣㉤㑢愸㥢㙤㝣㐰挱㘰摢㑤㘶㉡㥥ㄶ昳㔳㘴㉥㔹捣㙢挰㝣愳捤㙣㠱㔹㈱昳㡦挱㔲〵㤳晡㘹ㄵ捣攷㄰㌸㌲㌰㥦昷愶昰㠲㜹捦昷㈶昷㙣㕥晡昰㉡搸挷昱扣戸㑡扤㠴ㄴ捤挰扣捥挶慣〱捣晦㙤㐷㜸摦愰㔵搴㥤昰て㐳㍡㕡挵昶昱ㄳ㜶ㄴ㈸㈵摡ぢ愳慢ㄴ㐶㔳㕦㤱ㅥ戸ㄲ㠹搰〳搴㉦愴〷摥㡥㘲慡㍤㜰ㄵ㜱愲㈸㕦慢改愳捣㡡挶ぢ㜵搵㙣㌵晤ㅦ㜶㠴昷ㄵ愳㌰搵〰㈹昴㕡慢㔰捡昲㔲攸㥦扢ぢ晤㑢㔰ㄵ攵㙥慢㈷㈹攰㙢搷挱㤱ㅤ㌶慥昶㠲搷改愹㤰㝥㍤㤹㐳㔵㘶㡡昸摡つㄶ昳搸戲戸㉡摢捣愰㘰㡣摣㠴㉦㐵昱扤摡敤ㅤ㜶㠰㤰㜵㔱㑡㍦戲㙥愷㐸㕦㤷挲摢敤挸ㄶ捦㜳慢敥㔹昷愳㉢ㄶ摤昳敢㔵㡡㤲㝣つ捣摡㔶㔹戰㌱㙢攸昶扣ㅤ搱昰扡ㄲ挵㝥改昶㜷挳攳㜴扢ㄲ㜹ㅥ㐵搶昷㌶㈵㜸〱晥扤昰愰户㈹㠶ぢ昰㔹攴㕥敤敤昷㠳慡㈸昱搶㉡㔸敢敤昴㙣ㄵ㑣搹ㄱつ慦っ㥤㡤㥣づ昵捡㤰敢〷㤰㜸捣ㄷ挸搰㤶摥㥥戱挸ㄴ㜰攵㜶㔲㑥㡥㐰㍡㜰扤扦㠴㥦㈰摡㠰ㄷ㔹㜰愹ㅦ扦晡㘷㕢搱昱㠲ぢ㑦㙤㥤ぢ攴扡㠴㤸㔸换㙣㉥攱㐶㜹㕢㘶扣㡣晢㌷改㈰㝥㐲愵㠲户挵ぢ挷㠲㈱〷㠷㔲慤〰〸㡦㜵敢扦改㜹搰ㅡ㐴㌷㤵㈶攵㙡㕦㙦つて攷づ㠶㥦㙦〵ㅣ㥤ㄹ㐷晢㈰慡攳㍡㡥㑥扢㕥㜵㘹㔵〶㝡搹搲捡慦昱扤㉡搵㠶晡慤敦㐷ㄲ㜹攷㑥㐶㈲㥣㤰㝥〷㐹ㄷ㠰㐳ㅣ㕦㘰〵挲摥戶昱㠰㙥㉤攸㍥捦捦〳戵户戳挱捥搳㑡㌱㜸㉥〹㥣㠳扥㉤㍦㘹昰〷㑤㠳昹挹㥣㔹搸㔹㤹慡晥㠸㈹戴㔵扣つ慡㝦〴㤹戰㈸㝥ㄴ㘵㘵收慡㝦ㄴづ㈹晣㈸捡㥡ㅣ慣摡㥤㜰㘶㐵攰捤㑤ㄱ昸㌸㤲㜸㄰戸㥢愴ㅡ〲㡡搲㉡㔱㜰ㅥ㌵㡣㠰搴攲㙦攱㘱〴㍦㙡戵㐳晤愴㥢㝡㍥〲㔲户㝢攰㜱㉥㝣搷㜷捤搶愶ㄵ扢ㄷ晣㥥㡡㝤㥡㈴㔷挵㌶㈰㕣㔷戱㉤㈰㐸挵㍥〳て晥慤㡡㙤㜷愸㥦㜵㔳㈹〶㐹挵敥㠷㘷㔶搰挶㥢搶敤〱㈴昱搴敤昳㈴戹敡㐶㐱慡慥㙥㍢㐰㤰扡㝤〱ㅥ晣㕢㜵㑢㍢搴㉦扡愹㤷㈱㈰㜵晢〷㜸㘶慤摢㐸搳扡㝤〹㐹㍣㜵㍢㐰㤲慢㙥㌹㠴敢敡戶ㅢ〴愹摢㔷攰挱扦㔵户㡡㐳晤慡㡢ㅡ收㈶㉤㑢昱挳昰攸㕦愳㜳㄰㑥㐸㜱㈳㤶㑡㍦〲㑦ㄷ㔴㕣昹㙤挵敥㍤搴㝡换㝥搵敦搴昶摢昷㕤㔳㥢㠰㡦㌲晤愳ㅣ㍥昰挰挵〴晣〶㐹慥摡㜲て㘷㙤㈷㙥晤晣昰ㅦ攲㙦ㅤ㔱搷㈲㈰〵㍤づ捦慣攸㐴㥣昲㝣敥〹晦〴㤲㜸搰昹㌶㐹慥昲戸㝤搷愱㜳㍤〸㠲捥㜷攰挱扦㠵づ昷㘲愱㝥搷㐵つ扦ㅢ〱㐱攷㥦攱搱扦㐷攷晢㜰㐲㡡ㅢㄷ㉢慤ㄳㅤ扦㕡敥搴慥づ㡤ㅦ㤲愱ㅥ㡤㈷㐹㜲搵㡥㝢㥣ㅢ㡤挰㝥㄰づ㝢㠹攵㝥㝢㤴㐶攴愷㔰㡥攲攲㈸㝢昶㡦㙣て〳㕤ㅦ戱〳㐱㤱㐲戸㌴㤱㉣㈱挵昵㠵㔵搴㥦㈶昹㙥㍢㑥晦戱敤㤱昴㝦㙢〷慣昴㕣㍥㙡改敦㐵㐸搲㍦㐳㌲㔷〰挶改㍦戱㍤㤲㥥戳扤㥡愲㡢戳扣ㅡ㔲㥣慡㤲晥㔹㤲㌹㑢㈵晤㑦㙤㡦愴攷㡣慣愶攸攲㑣慣㠶搴㤷㄰㤲昴捦㤱捣㤹㈴改㥦户㍤㤲㥥戳愶㥡愲㡢戳愵ㅡ㔲㥣㈵㈲愹㉣㐶㡦㔳㔲㌹㡦搰昸㌵挵㤹㈳ㄱ挷搹ㄱ扣㤲ㄵ挴㡤㙢捥㈶㠹㔸㘴㐷搰搲愱晦㥣戹㜲戶㐸㘵㝥挱㄰㈷㡡㔴收㤷昰攰㕦㍥㡡㈳㕣㜸㕥㘴㌴〷户昰扣㘴㝢ㄸ攸攲㐰慥㔶戱㡢〳戸ㅡ㔲ㅣ戸㔲晣㍣㑦㠵㌹㤸㈵愲搳㔳㘱づ㜰㠹攸㜰㔷昸㌷捣㤵〳㕡㉡昳㌲㐳ㅣ换㔲㤹摦挲㠳㝦慢挲㑦㌹㔴㐷扥㐷㠴㉦捣〱㈶ㄳ改㍦攱㠱挴㈷挳〷ㄱ㔵戹㔰戸㌸㡣㠴敢昷ㄶ㤷っ㤲〶㉥づㄶ攱晡㠳挵㈵㐳愱㠱㡢㐳㐲戸㘸㤷㐲㠹搲攱つ㕣散㜸攱㔲ㄸ散㥤㉤㕤散㤷㡢挱攵摦愷㔲㍢搲㍢㜶晣慥慢戵晢愴搶㑢㠶㍢㙥㝤敡敢㑦摦昲㑦㤷慥晣改㉢ㅦ昸挰㍦㍤㜳换㘳慦㝣㈱戹昲㙢㜷摣昱㤵昳㍦昴搸搳ぢ㌲晢晤昷晦㙥挳晥㉢愳扢慥扣㍣㜳攱搹敢慥㝣昳㘵㕢愳㕢收昷戴戴戴戵㥤戱昰攰〹㘷㠶慦戹晣〱昵搰昷㡦㉦㈸改㙡㔶挳㡦〲㔱㤸慦ㅤ㥦㌰扢㕣慡㠱搷ち昱㐶㈳敢攲㔷搲攳㘴慤㐳㤲㍤㉦慣㥡㔵㘳㜶捣㥦戴挶搲搷慣㐶㥢扢挶散㜳愹〶㘷戹捥㥦㘱㐷㡤搹戹㌲㜴㕥㝥挵㥡ㅤ愳㐸ㄷ挴搵㉡昶愷㐴晣挶ㄳ挱㉥㤴㠸晦昰㐴戰搷㈴攲搷㥥〸㜶㤴㐴晣慡㍥㈲㑣㐰愵㐶㕤慣㔱搸慡ㄱ昱ㄴ敥㕦搶㜳㉢㘲㉣ㄱ扦戰㈳昸㘲㤱扥㄰㔴㐵㘰㈵敡㠵晡㌴㘱〲㈰㈵ㅣ〷㡦扥ㄸづ摡捣昶ぢ昷昳昵摣㡡㤸㐸挴㜳敥ㄲ㑥〴㌵挰ㅡ捥昱㙥㝤㑤㡥づ戲㔲㜹摥㥤愷㐴ㅤ捡慦㈹㑣㕢扦挵愸攵昹㠲㜳㘱扥㝤敦戹愷捡戳愰㑡愹昲捥慢㤲㈴捤㠹搶敢愹晣㘱㐹戲昴搴㌲㍤捥ㅢ㈳晣㘸㌱ㅢ敤㝢摤散挷〲㑥〵㘹愸て慡挳㘶っ㕡扦㡢㜳ㄲ搰攰愳昴慡㑦㠲㡡㝤㈸㥤㜹㌲㍣㘴㔲㝡搵㈷㐱挵晥摡㡦㤱愲㥦〲㡦㘲户〸晦ㄲ挶ち㝦搵㈷㐱挵㍥ㄳ㡥愵昰㤰㐹改㔵㥦〴ㄵ晢㐷㜲㍣ㄵ㥥〰㉢㜴ㄸ捤攱㉡㜸㤴晢㜰㌷㑡㔰㙣ㄵ㡢搲㑦㘳㐸摡㠲ㅣ慢昳㥥昰㉢戶㐴㜸㑥㈷て㙢㉤愱㘵っ戱慥戲ㄲ㍢㉢㠵愴㤰慣㤹捦敢ㄱ敤㍣㑡㡡㈰昵っ㍢ㄱㄳ㉡挹㤴搴㍡㕥挹㥣搴戳㕣扣㘱㠷㈵捣ㅣ㔸㤲㝥㌶㍣㌸㐶㈳㤷㠴㝢㈴ㅣ㈰㜹㡥㘱㙥扤㜷挲戱挳㜳戵捥扣昵愲戱ㅣ㤹攰㜷㔱㠵㕥ㅢ㥢昶㠰㕦㐰㜲㑦ㅤ㙢挸㈲搱敤戲扣搵㤱摦㙥㐷㜱慡ㅣ改戰㙦㐳㑢昸㠱ㅥ戶㜴敥㤱㙦㡤晡挳攳戲㠷晣ち㈰ㄳ挲戸挵昸慢㜹㈵慣㠸ㅤ㠱搳捦愹昱搴扣挲搳挵㌴散㌶晢㄰攵挵㔵㕤攴愸愳戴晦㍦攵愹扣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</si>
</sst>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E+00"/>
    <numFmt numFmtId="165" formatCode="0.000%"/>
    <numFmt numFmtId="166" formatCode="0.000"/>
  </numFmts>
  <fonts count="13">
    <font>
      <sz val="11"/>
      <color theme="1"/>
      <name val="Calibri"/>
      <family val="2"/>
      <scheme val="minor"/>
    </font>
    <font>
      <sz val="11"/>
      <color theme="1"/>
      <name val="Calibri"/>
      <family val="2"/>
      <charset val="134"/>
      <scheme val="minor"/>
    </font>
    <font>
      <b/>
      <sz val="11"/>
      <color theme="0"/>
      <name val="Calibri"/>
      <family val="2"/>
      <scheme val="minor"/>
    </font>
    <font>
      <sz val="11"/>
      <color rgb="FFFF0000"/>
      <name val="Calibri"/>
      <family val="2"/>
      <scheme val="minor"/>
    </font>
    <font>
      <b/>
      <sz val="11"/>
      <color theme="1"/>
      <name val="Calibri"/>
      <family val="2"/>
      <scheme val="minor"/>
    </font>
    <font>
      <b/>
      <sz val="11"/>
      <name val="Calibri"/>
      <family val="2"/>
      <scheme val="minor"/>
    </font>
    <font>
      <b/>
      <sz val="11"/>
      <name val="Calibri"/>
      <family val="2"/>
      <scheme val="minor"/>
    </font>
    <font>
      <sz val="11"/>
      <name val="Calibri"/>
      <family val="2"/>
      <scheme val="minor"/>
    </font>
    <font>
      <sz val="11"/>
      <color theme="1"/>
      <name val="Calibri"/>
      <family val="2"/>
      <scheme val="minor"/>
    </font>
    <font>
      <sz val="11"/>
      <color theme="0"/>
      <name val="Calibri"/>
      <family val="2"/>
      <scheme val="minor"/>
    </font>
    <font>
      <sz val="11"/>
      <color rgb="FF3F3F76"/>
      <name val="Calibri"/>
      <family val="2"/>
      <charset val="134"/>
      <scheme val="minor"/>
    </font>
    <font>
      <sz val="11"/>
      <color theme="0"/>
      <name val="Calibri"/>
      <family val="2"/>
      <charset val="134"/>
      <scheme val="minor"/>
    </font>
    <font>
      <b/>
      <sz val="14"/>
      <color rgb="FF000000"/>
      <name val="Calibri"/>
      <family val="2"/>
    </font>
  </fonts>
  <fills count="13">
    <fill>
      <patternFill patternType="none"/>
    </fill>
    <fill>
      <patternFill patternType="gray125"/>
    </fill>
    <fill>
      <patternFill patternType="solid">
        <fgColor rgb="FFA5A5A5"/>
      </patternFill>
    </fill>
    <fill>
      <patternFill patternType="solid">
        <fgColor rgb="FF00FF00"/>
        <bgColor indexed="64"/>
      </patternFill>
    </fill>
    <fill>
      <patternFill patternType="solid">
        <fgColor rgb="FF00FFFF"/>
        <bgColor indexed="64"/>
      </patternFill>
    </fill>
    <fill>
      <patternFill patternType="solid">
        <fgColor theme="8"/>
      </patternFill>
    </fill>
    <fill>
      <patternFill patternType="solid">
        <fgColor theme="4"/>
      </patternFill>
    </fill>
    <fill>
      <patternFill patternType="solid">
        <fgColor theme="7"/>
      </patternFill>
    </fill>
    <fill>
      <patternFill patternType="solid">
        <fgColor theme="9"/>
      </patternFill>
    </fill>
    <fill>
      <patternFill patternType="solid">
        <fgColor rgb="FFFFCC99"/>
      </patternFill>
    </fill>
    <fill>
      <patternFill patternType="solid">
        <fgColor theme="5"/>
      </patternFill>
    </fill>
    <fill>
      <patternFill patternType="solid">
        <fgColor theme="7" tint="0.59999389629810485"/>
        <bgColor indexed="65"/>
      </patternFill>
    </fill>
    <fill>
      <patternFill patternType="solid">
        <fgColor theme="9" tint="0.79998168889431442"/>
        <bgColor indexed="65"/>
      </patternFill>
    </fill>
  </fills>
  <borders count="25">
    <border>
      <left/>
      <right/>
      <top/>
      <bottom/>
      <diagonal/>
    </border>
    <border>
      <left style="double">
        <color rgb="FF3F3F3F"/>
      </left>
      <right style="double">
        <color rgb="FF3F3F3F"/>
      </right>
      <top style="double">
        <color rgb="FF3F3F3F"/>
      </top>
      <bottom style="double">
        <color rgb="FF3F3F3F"/>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n">
        <color rgb="FF7F7F7F"/>
      </left>
      <right style="thin">
        <color rgb="FF7F7F7F"/>
      </right>
      <top style="thin">
        <color rgb="FF7F7F7F"/>
      </top>
      <bottom style="thin">
        <color rgb="FF7F7F7F"/>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0">
    <xf numFmtId="0" fontId="0" fillId="0" borderId="0"/>
    <xf numFmtId="0" fontId="2" fillId="2" borderId="1" applyNumberFormat="0" applyAlignment="0" applyProtection="0"/>
    <xf numFmtId="0" fontId="9"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10" fillId="9" borderId="11" applyNumberFormat="0" applyAlignment="0" applyProtection="0"/>
    <xf numFmtId="0" fontId="1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cellStyleXfs>
  <cellXfs count="104">
    <xf numFmtId="0" fontId="0" fillId="0" borderId="0" xfId="0"/>
    <xf numFmtId="0" fontId="0" fillId="0" borderId="0" xfId="0" applyAlignment="1">
      <alignment horizontal="center"/>
    </xf>
    <xf numFmtId="1" fontId="0" fillId="0" borderId="0" xfId="0" applyNumberFormat="1" applyAlignment="1">
      <alignment horizontal="center"/>
    </xf>
    <xf numFmtId="0" fontId="3" fillId="0" borderId="0" xfId="0" applyFont="1"/>
    <xf numFmtId="164" fontId="5" fillId="0" borderId="0" xfId="0" applyNumberFormat="1" applyFont="1" applyAlignment="1">
      <alignment horizontal="left" vertical="center"/>
    </xf>
    <xf numFmtId="164" fontId="5" fillId="0" borderId="0" xfId="0" applyNumberFormat="1" applyFont="1" applyAlignment="1">
      <alignment horizontal="center" vertical="center"/>
    </xf>
    <xf numFmtId="0" fontId="5" fillId="0" borderId="0" xfId="0" applyFont="1" applyAlignment="1">
      <alignment horizontal="left"/>
    </xf>
    <xf numFmtId="164" fontId="6" fillId="0" borderId="0" xfId="0" applyNumberFormat="1" applyFont="1" applyAlignment="1">
      <alignment horizontal="center" vertical="center"/>
    </xf>
    <xf numFmtId="0" fontId="6" fillId="0" borderId="0" xfId="0" applyFont="1" applyAlignment="1">
      <alignment horizontal="center"/>
    </xf>
    <xf numFmtId="11" fontId="0" fillId="0" borderId="0" xfId="0" applyNumberFormat="1"/>
    <xf numFmtId="0" fontId="0" fillId="0" borderId="0" xfId="0" applyAlignment="1">
      <alignment horizontal="center" vertical="center"/>
    </xf>
    <xf numFmtId="10" fontId="0" fillId="0" borderId="0" xfId="0" applyNumberFormat="1"/>
    <xf numFmtId="0" fontId="8" fillId="0" borderId="0" xfId="0" applyFont="1"/>
    <xf numFmtId="0" fontId="0" fillId="3" borderId="0" xfId="0" applyFill="1"/>
    <xf numFmtId="165" fontId="0" fillId="0" borderId="0" xfId="0" applyNumberFormat="1"/>
    <xf numFmtId="9" fontId="0" fillId="3" borderId="0" xfId="0" applyNumberFormat="1" applyFill="1"/>
    <xf numFmtId="10" fontId="0" fillId="3" borderId="0" xfId="0" applyNumberFormat="1" applyFill="1"/>
    <xf numFmtId="0" fontId="0" fillId="4" borderId="0" xfId="0" applyFill="1"/>
    <xf numFmtId="0" fontId="4" fillId="0" borderId="0" xfId="0" applyFont="1"/>
    <xf numFmtId="0" fontId="0" fillId="0" borderId="0" xfId="0" quotePrefix="1"/>
    <xf numFmtId="166" fontId="0" fillId="0" borderId="0" xfId="0" applyNumberFormat="1"/>
    <xf numFmtId="0" fontId="2" fillId="2" borderId="1" xfId="1"/>
    <xf numFmtId="0" fontId="0" fillId="0" borderId="0" xfId="0" applyAlignment="1">
      <alignment horizontal="center"/>
    </xf>
    <xf numFmtId="164" fontId="9" fillId="5" borderId="0" xfId="2" applyNumberFormat="1" applyBorder="1" applyAlignment="1">
      <alignment horizontal="right"/>
    </xf>
    <xf numFmtId="3" fontId="9" fillId="5" borderId="0" xfId="2" applyNumberFormat="1" applyBorder="1" applyAlignment="1">
      <alignment horizontal="right" vertical="center"/>
    </xf>
    <xf numFmtId="0" fontId="9" fillId="5" borderId="0" xfId="2" applyAlignment="1">
      <alignment horizontal="center" vertical="center"/>
    </xf>
    <xf numFmtId="0" fontId="0" fillId="0" borderId="4" xfId="0" applyBorder="1" applyAlignment="1">
      <alignment horizontal="center" vertical="center"/>
    </xf>
    <xf numFmtId="0" fontId="0" fillId="0" borderId="5" xfId="0" applyBorder="1"/>
    <xf numFmtId="3" fontId="0" fillId="0" borderId="5" xfId="0" applyNumberFormat="1" applyBorder="1"/>
    <xf numFmtId="0" fontId="0" fillId="0" borderId="6" xfId="0" applyBorder="1"/>
    <xf numFmtId="0" fontId="3" fillId="0" borderId="7" xfId="0" applyFont="1" applyBorder="1" applyAlignment="1">
      <alignment horizontal="center" vertical="center"/>
    </xf>
    <xf numFmtId="164" fontId="0" fillId="0" borderId="3" xfId="0" applyNumberFormat="1" applyBorder="1"/>
    <xf numFmtId="3" fontId="0" fillId="0" borderId="3" xfId="0" applyNumberFormat="1" applyBorder="1"/>
    <xf numFmtId="166" fontId="0" fillId="0" borderId="8" xfId="0" applyNumberFormat="1" applyBorder="1"/>
    <xf numFmtId="164" fontId="0" fillId="0" borderId="5" xfId="0" applyNumberFormat="1" applyBorder="1"/>
    <xf numFmtId="166" fontId="0" fillId="0" borderId="6" xfId="0" applyNumberFormat="1" applyBorder="1"/>
    <xf numFmtId="0" fontId="9" fillId="5" borderId="9" xfId="2" applyBorder="1" applyAlignment="1">
      <alignment horizontal="center" vertical="center"/>
    </xf>
    <xf numFmtId="164" fontId="9" fillId="5" borderId="0" xfId="2" applyNumberFormat="1" applyBorder="1"/>
    <xf numFmtId="166" fontId="9" fillId="5" borderId="10" xfId="2" applyNumberFormat="1" applyBorder="1"/>
    <xf numFmtId="0" fontId="3" fillId="0" borderId="9" xfId="0" applyFont="1" applyBorder="1" applyAlignment="1">
      <alignment horizontal="center" vertical="center"/>
    </xf>
    <xf numFmtId="164" fontId="0" fillId="0" borderId="0" xfId="0" applyNumberFormat="1" applyBorder="1"/>
    <xf numFmtId="3" fontId="0" fillId="0" borderId="0" xfId="0" applyNumberFormat="1" applyBorder="1"/>
    <xf numFmtId="166" fontId="0" fillId="0" borderId="10" xfId="0" applyNumberFormat="1" applyBorder="1"/>
    <xf numFmtId="164" fontId="3" fillId="0" borderId="7" xfId="0" applyNumberFormat="1" applyFont="1" applyBorder="1" applyAlignment="1">
      <alignment horizontal="center" vertical="center"/>
    </xf>
    <xf numFmtId="164" fontId="7" fillId="0" borderId="9" xfId="0" applyNumberFormat="1" applyFont="1" applyBorder="1" applyAlignment="1">
      <alignment horizontal="center" vertical="center"/>
    </xf>
    <xf numFmtId="164" fontId="0" fillId="0" borderId="0" xfId="0" applyNumberFormat="1" applyBorder="1" applyAlignment="1">
      <alignment horizontal="center" vertical="center"/>
    </xf>
    <xf numFmtId="3" fontId="0" fillId="0" borderId="0" xfId="0" applyNumberFormat="1" applyBorder="1" applyAlignment="1">
      <alignment horizontal="center" vertical="center"/>
    </xf>
    <xf numFmtId="1" fontId="9" fillId="5" borderId="0" xfId="2" applyNumberFormat="1" applyAlignment="1">
      <alignment horizontal="center" vertical="center"/>
    </xf>
    <xf numFmtId="0" fontId="0" fillId="0" borderId="0" xfId="0" applyAlignment="1">
      <alignment horizontal="center" vertical="center"/>
    </xf>
    <xf numFmtId="0" fontId="0" fillId="0" borderId="0" xfId="0" applyAlignment="1">
      <alignment horizontal="center"/>
    </xf>
    <xf numFmtId="164" fontId="0" fillId="0" borderId="0" xfId="0" applyNumberFormat="1" applyAlignment="1">
      <alignment horizontal="center"/>
    </xf>
    <xf numFmtId="0" fontId="4" fillId="0" borderId="0" xfId="0" applyFont="1" applyAlignment="1">
      <alignment horizontal="center"/>
    </xf>
    <xf numFmtId="0" fontId="9" fillId="5" borderId="0" xfId="2" applyAlignment="1">
      <alignment horizontal="center" vertical="center"/>
    </xf>
    <xf numFmtId="164" fontId="9" fillId="5" borderId="0" xfId="2" applyNumberFormat="1" applyAlignment="1">
      <alignment horizontal="center" vertical="center"/>
    </xf>
    <xf numFmtId="1" fontId="9" fillId="5" borderId="0" xfId="2" applyNumberFormat="1" applyAlignment="1">
      <alignment horizontal="center" vertical="center"/>
    </xf>
    <xf numFmtId="0" fontId="0" fillId="0" borderId="0" xfId="0" applyFill="1"/>
    <xf numFmtId="164" fontId="0" fillId="0" borderId="0" xfId="0" applyNumberFormat="1"/>
    <xf numFmtId="11" fontId="4" fillId="0" borderId="0" xfId="0" applyNumberFormat="1" applyFont="1"/>
    <xf numFmtId="0" fontId="9" fillId="6" borderId="0" xfId="3"/>
    <xf numFmtId="0" fontId="9" fillId="5" borderId="0" xfId="2"/>
    <xf numFmtId="0" fontId="9" fillId="8" borderId="0" xfId="5"/>
    <xf numFmtId="0" fontId="9" fillId="7" borderId="0" xfId="4"/>
    <xf numFmtId="0" fontId="9" fillId="5" borderId="0" xfId="2" applyAlignment="1">
      <alignment horizontal="center"/>
    </xf>
    <xf numFmtId="164" fontId="9" fillId="5" borderId="0" xfId="2" applyNumberFormat="1" applyAlignment="1">
      <alignment horizontal="center"/>
    </xf>
    <xf numFmtId="164" fontId="9" fillId="5" borderId="0" xfId="2" applyNumberFormat="1"/>
    <xf numFmtId="0" fontId="9" fillId="8" borderId="0" xfId="5" applyAlignment="1">
      <alignment horizontal="center" vertical="center"/>
    </xf>
    <xf numFmtId="164" fontId="9" fillId="8" borderId="0" xfId="5" applyNumberFormat="1" applyAlignment="1">
      <alignment horizontal="center" vertical="center"/>
    </xf>
    <xf numFmtId="0" fontId="0" fillId="0" borderId="0" xfId="0" applyAlignment="1">
      <alignment horizontal="center"/>
    </xf>
    <xf numFmtId="0" fontId="0" fillId="0" borderId="0" xfId="0" applyAlignment="1">
      <alignment horizontal="center"/>
    </xf>
    <xf numFmtId="0" fontId="4" fillId="0" borderId="12" xfId="0" applyFont="1" applyBorder="1" applyAlignment="1">
      <alignment horizontal="center" vertical="center"/>
    </xf>
    <xf numFmtId="0" fontId="4" fillId="0" borderId="13" xfId="0" applyFont="1" applyBorder="1" applyAlignment="1">
      <alignment horizontal="center" vertical="center"/>
    </xf>
    <xf numFmtId="0" fontId="4" fillId="0" borderId="14" xfId="0" applyFont="1" applyBorder="1" applyAlignment="1">
      <alignment horizontal="center" vertical="center"/>
    </xf>
    <xf numFmtId="0" fontId="1" fillId="12" borderId="15" xfId="9" applyBorder="1" applyAlignment="1">
      <alignment horizontal="center" vertical="center"/>
    </xf>
    <xf numFmtId="9" fontId="10" fillId="9" borderId="16" xfId="6" applyNumberFormat="1" applyBorder="1" applyAlignment="1">
      <alignment horizontal="center" vertical="center"/>
    </xf>
    <xf numFmtId="0" fontId="1" fillId="12" borderId="17" xfId="9" applyBorder="1" applyAlignment="1">
      <alignment horizontal="center" vertical="center"/>
    </xf>
    <xf numFmtId="0" fontId="1" fillId="11" borderId="18" xfId="8" applyBorder="1" applyAlignment="1">
      <alignment horizontal="center" vertical="center"/>
    </xf>
    <xf numFmtId="9" fontId="10" fillId="9" borderId="2" xfId="6" applyNumberFormat="1" applyBorder="1" applyAlignment="1">
      <alignment horizontal="center" vertical="center"/>
    </xf>
    <xf numFmtId="0" fontId="1" fillId="11" borderId="19" xfId="8" applyBorder="1" applyAlignment="1">
      <alignment horizontal="center" vertical="center"/>
    </xf>
    <xf numFmtId="9" fontId="10" fillId="9" borderId="21" xfId="6" applyNumberFormat="1" applyBorder="1" applyAlignment="1">
      <alignment horizontal="center" vertical="center"/>
    </xf>
    <xf numFmtId="0" fontId="1" fillId="11" borderId="20" xfId="8" applyBorder="1" applyAlignment="1">
      <alignment horizontal="center" vertical="center"/>
    </xf>
    <xf numFmtId="0" fontId="1" fillId="11" borderId="22" xfId="8" applyBorder="1" applyAlignment="1">
      <alignment horizontal="center" vertical="center"/>
    </xf>
    <xf numFmtId="0" fontId="11" fillId="10" borderId="0" xfId="7"/>
    <xf numFmtId="0" fontId="9" fillId="5" borderId="23" xfId="2" applyBorder="1"/>
    <xf numFmtId="0" fontId="9" fillId="5" borderId="24" xfId="2" applyBorder="1"/>
    <xf numFmtId="11" fontId="9" fillId="7" borderId="0" xfId="4" applyNumberFormat="1"/>
    <xf numFmtId="2" fontId="9" fillId="7" borderId="0" xfId="4" applyNumberFormat="1"/>
    <xf numFmtId="9" fontId="9" fillId="7" borderId="2" xfId="4" applyNumberFormat="1" applyBorder="1"/>
    <xf numFmtId="9" fontId="11" fillId="10" borderId="2" xfId="7" applyNumberFormat="1" applyBorder="1"/>
    <xf numFmtId="9" fontId="9" fillId="8" borderId="2" xfId="5" applyNumberFormat="1" applyBorder="1"/>
    <xf numFmtId="166" fontId="9" fillId="8" borderId="2" xfId="5" applyNumberFormat="1" applyBorder="1"/>
    <xf numFmtId="166" fontId="9" fillId="7" borderId="2" xfId="4" applyNumberFormat="1" applyBorder="1"/>
    <xf numFmtId="166" fontId="11" fillId="10" borderId="2" xfId="7" applyNumberFormat="1" applyBorder="1"/>
    <xf numFmtId="0" fontId="5" fillId="0" borderId="0" xfId="0" applyFont="1" applyAlignment="1">
      <alignment horizontal="left" vertical="center"/>
    </xf>
    <xf numFmtId="164" fontId="5" fillId="0" borderId="0" xfId="0" applyNumberFormat="1" applyFont="1" applyAlignment="1">
      <alignment horizontal="left" vertical="center"/>
    </xf>
    <xf numFmtId="0" fontId="5" fillId="0" borderId="0" xfId="0" applyFont="1" applyAlignment="1">
      <alignment horizontal="center"/>
    </xf>
    <xf numFmtId="164" fontId="5" fillId="0" borderId="0" xfId="0" applyNumberFormat="1" applyFont="1" applyAlignment="1">
      <alignment horizontal="center" vertical="center"/>
    </xf>
    <xf numFmtId="9" fontId="4" fillId="0" borderId="0" xfId="0" applyNumberFormat="1" applyFont="1" applyBorder="1" applyAlignment="1">
      <alignment horizontal="center" vertical="center"/>
    </xf>
    <xf numFmtId="0" fontId="4" fillId="0" borderId="0" xfId="0" applyFont="1" applyBorder="1" applyAlignment="1">
      <alignment horizontal="center" vertical="center" wrapText="1"/>
    </xf>
    <xf numFmtId="164" fontId="4" fillId="0" borderId="0" xfId="0" applyNumberFormat="1" applyFont="1" applyBorder="1" applyAlignment="1">
      <alignment horizontal="center" vertical="center" wrapText="1"/>
    </xf>
    <xf numFmtId="0" fontId="6" fillId="0" borderId="0" xfId="0" applyFont="1" applyAlignment="1">
      <alignment horizontal="center" vertical="center"/>
    </xf>
    <xf numFmtId="164" fontId="6" fillId="0" borderId="0" xfId="0" applyNumberFormat="1" applyFont="1" applyAlignment="1">
      <alignment horizontal="center" vertical="center"/>
    </xf>
    <xf numFmtId="0" fontId="6" fillId="0" borderId="0" xfId="0" applyFont="1" applyAlignment="1">
      <alignment horizontal="center"/>
    </xf>
    <xf numFmtId="9" fontId="0" fillId="0" borderId="0" xfId="0" applyNumberFormat="1" applyAlignment="1">
      <alignment horizontal="center"/>
    </xf>
    <xf numFmtId="0" fontId="0" fillId="0" borderId="0" xfId="0" applyAlignment="1">
      <alignment horizontal="center"/>
    </xf>
  </cellXfs>
  <cellStyles count="10">
    <cellStyle name="20% - Accent6" xfId="9" builtinId="50"/>
    <cellStyle name="40% - Accent4" xfId="8" builtinId="43"/>
    <cellStyle name="Accent1" xfId="3" builtinId="29"/>
    <cellStyle name="Accent2" xfId="7" builtinId="33"/>
    <cellStyle name="Accent4" xfId="4" builtinId="41"/>
    <cellStyle name="Accent5" xfId="2" builtinId="45"/>
    <cellStyle name="Accent6" xfId="5" builtinId="49"/>
    <cellStyle name="Check Cell" xfId="1" builtinId="23"/>
    <cellStyle name="Input" xfId="6" builtinId="2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externalLink" Target="externalLinks/externalLink6.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sz="1400" b="0" i="0" baseline="0">
                <a:effectLst/>
              </a:rPr>
              <a:t>Carbon footprint (kg CO</a:t>
            </a:r>
            <a:r>
              <a:rPr lang="en-US" sz="1400" b="0" i="0" baseline="-25000">
                <a:effectLst/>
              </a:rPr>
              <a:t>2</a:t>
            </a:r>
            <a:r>
              <a:rPr lang="en-US" sz="1400" b="0" i="0" baseline="0">
                <a:effectLst/>
              </a:rPr>
              <a:t>-eq/m</a:t>
            </a:r>
            <a:r>
              <a:rPr lang="en-US" sz="1400" b="0" i="0" baseline="30000">
                <a:effectLst/>
              </a:rPr>
              <a:t>2 </a:t>
            </a:r>
            <a:r>
              <a:rPr lang="en-US" sz="1400" b="0" i="0" baseline="0">
                <a:effectLst/>
              </a:rPr>
              <a:t>module)</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dLbls>
            <c:dLbl>
              <c:idx val="0"/>
              <c:tx>
                <c:rich>
                  <a:bodyPr/>
                  <a:lstStyle/>
                  <a:p>
                    <a:fld id="{922AA7CE-8F75-4063-A1A2-5476183865E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E76-4F8B-A7A7-EA78A2092D8B}"/>
                </c:ext>
              </c:extLst>
            </c:dLbl>
            <c:dLbl>
              <c:idx val="1"/>
              <c:tx>
                <c:rich>
                  <a:bodyPr/>
                  <a:lstStyle/>
                  <a:p>
                    <a:fld id="{DA0041C7-2803-48F3-87CF-136990FCB97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E76-4F8B-A7A7-EA78A2092D8B}"/>
                </c:ext>
              </c:extLst>
            </c:dLbl>
            <c:dLbl>
              <c:idx val="2"/>
              <c:tx>
                <c:rich>
                  <a:bodyPr/>
                  <a:lstStyle/>
                  <a:p>
                    <a:fld id="{2754A059-D834-4699-AF4A-68653245456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E76-4F8B-A7A7-EA78A2092D8B}"/>
                </c:ext>
              </c:extLst>
            </c:dLbl>
            <c:dLbl>
              <c:idx val="3"/>
              <c:tx>
                <c:rich>
                  <a:bodyPr/>
                  <a:lstStyle/>
                  <a:p>
                    <a:fld id="{169D572A-CFE8-4BAF-837E-511EB47A73E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0E76-4F8B-A7A7-EA78A2092D8B}"/>
                </c:ext>
              </c:extLst>
            </c:dLbl>
            <c:dLbl>
              <c:idx val="4"/>
              <c:tx>
                <c:rich>
                  <a:bodyPr/>
                  <a:lstStyle/>
                  <a:p>
                    <a:fld id="{63254796-130E-487A-B03E-CD4A79E3A02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0E76-4F8B-A7A7-EA78A2092D8B}"/>
                </c:ext>
              </c:extLst>
            </c:dLbl>
            <c:dLbl>
              <c:idx val="5"/>
              <c:tx>
                <c:rich>
                  <a:bodyPr/>
                  <a:lstStyle/>
                  <a:p>
                    <a:fld id="{04228F8F-2DCA-41C7-BF47-FDAC0AA15A6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0E76-4F8B-A7A7-EA78A2092D8B}"/>
                </c:ext>
              </c:extLst>
            </c:dLbl>
            <c:dLbl>
              <c:idx val="6"/>
              <c:tx>
                <c:rich>
                  <a:bodyPr/>
                  <a:lstStyle/>
                  <a:p>
                    <a:fld id="{D13C032D-D78B-49E5-993B-A8468E054E8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0E76-4F8B-A7A7-EA78A2092D8B}"/>
                </c:ext>
              </c:extLst>
            </c:dLbl>
            <c:dLbl>
              <c:idx val="7"/>
              <c:tx>
                <c:rich>
                  <a:bodyPr/>
                  <a:lstStyle/>
                  <a:p>
                    <a:fld id="{7BF4A6BE-E418-4541-8279-4687DEC97D4B}"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0E76-4F8B-A7A7-EA78A2092D8B}"/>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sensitivity!$A$6:$A$13</c:f>
              <c:strCache>
                <c:ptCount val="8"/>
                <c:pt idx="0">
                  <c:v>Recycling level of electrode (95%)</c:v>
                </c:pt>
                <c:pt idx="1">
                  <c:v>Energy consumption of PL 2nd-step slot-die coating, kWh (0.030)</c:v>
                </c:pt>
                <c:pt idx="2">
                  <c:v>Energy consumption of PL annealing, kWh (0.100)</c:v>
                </c:pt>
                <c:pt idx="3">
                  <c:v>Energy consumption of HTL slot-die coating, kWh (0.139)</c:v>
                </c:pt>
                <c:pt idx="4">
                  <c:v>Energy consumption of PL post-annealing, kWh (3.214)</c:v>
                </c:pt>
                <c:pt idx="5">
                  <c:v>Energy consumption of electrode sputtering, kWh (6.333)</c:v>
                </c:pt>
                <c:pt idx="6">
                  <c:v>Energy consumption of ETL annealing, kWh (6.429)</c:v>
                </c:pt>
                <c:pt idx="7">
                  <c:v>Recycling level of substrate (90%)</c:v>
                </c:pt>
              </c:strCache>
            </c:strRef>
          </c:cat>
          <c:val>
            <c:numRef>
              <c:f>sensitivity!$C$6:$C$13</c:f>
              <c:numCache>
                <c:formatCode>General</c:formatCode>
                <c:ptCount val="8"/>
                <c:pt idx="0">
                  <c:v>14.157653794899437</c:v>
                </c:pt>
                <c:pt idx="1">
                  <c:v>14.153319638088744</c:v>
                </c:pt>
                <c:pt idx="2">
                  <c:v>14.14334695236648</c:v>
                </c:pt>
                <c:pt idx="3">
                  <c:v>14.137825352362059</c:v>
                </c:pt>
                <c:pt idx="4">
                  <c:v>13.701168209155592</c:v>
                </c:pt>
                <c:pt idx="5">
                  <c:v>13.258313351658451</c:v>
                </c:pt>
                <c:pt idx="6">
                  <c:v>13.244791065933347</c:v>
                </c:pt>
                <c:pt idx="7">
                  <c:v>15.841331695377837</c:v>
                </c:pt>
              </c:numCache>
            </c:numRef>
          </c:val>
          <c:extLst>
            <c:ext xmlns:c15="http://schemas.microsoft.com/office/drawing/2012/chart" uri="{02D57815-91ED-43cb-92C2-25804820EDAC}">
              <c15:datalabelsRange>
                <c15:f>sensitivity!$B$6:$B$13</c15:f>
                <c15:dlblRangeCache>
                  <c:ptCount val="8"/>
                  <c:pt idx="0">
                    <c:v>90%</c:v>
                  </c:pt>
                  <c:pt idx="1">
                    <c:v>0.024</c:v>
                  </c:pt>
                  <c:pt idx="2">
                    <c:v>0.080</c:v>
                  </c:pt>
                  <c:pt idx="3">
                    <c:v>0.111</c:v>
                  </c:pt>
                  <c:pt idx="4">
                    <c:v>2.571</c:v>
                  </c:pt>
                  <c:pt idx="5">
                    <c:v>5.066</c:v>
                  </c:pt>
                  <c:pt idx="6">
                    <c:v>5.143</c:v>
                  </c:pt>
                  <c:pt idx="7">
                    <c:v>80%</c:v>
                  </c:pt>
                </c15:dlblRangeCache>
              </c15:datalabelsRange>
            </c:ext>
            <c:ext xmlns:c16="http://schemas.microsoft.com/office/drawing/2014/chart" uri="{C3380CC4-5D6E-409C-BE32-E72D297353CC}">
              <c16:uniqueId val="{00000000-0E76-4F8B-A7A7-EA78A2092D8B}"/>
            </c:ext>
          </c:extLst>
        </c:ser>
        <c:ser>
          <c:idx val="1"/>
          <c:order val="1"/>
          <c:spPr>
            <a:solidFill>
              <a:schemeClr val="accent2"/>
            </a:solidFill>
            <a:ln>
              <a:noFill/>
            </a:ln>
            <a:effectLst/>
          </c:spPr>
          <c:invertIfNegative val="0"/>
          <c:dLbls>
            <c:dLbl>
              <c:idx val="0"/>
              <c:tx>
                <c:rich>
                  <a:bodyPr/>
                  <a:lstStyle/>
                  <a:p>
                    <a:fld id="{457CE04A-F1C6-425F-954C-51BB7F9F035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0E76-4F8B-A7A7-EA78A2092D8B}"/>
                </c:ext>
              </c:extLst>
            </c:dLbl>
            <c:dLbl>
              <c:idx val="1"/>
              <c:tx>
                <c:rich>
                  <a:bodyPr/>
                  <a:lstStyle/>
                  <a:p>
                    <a:fld id="{86A0B606-E4F5-40F1-A005-1D8E6A73D02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0E76-4F8B-A7A7-EA78A2092D8B}"/>
                </c:ext>
              </c:extLst>
            </c:dLbl>
            <c:dLbl>
              <c:idx val="2"/>
              <c:tx>
                <c:rich>
                  <a:bodyPr/>
                  <a:lstStyle/>
                  <a:p>
                    <a:fld id="{047F13A3-E468-468E-8053-7BBFC9294D2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0E76-4F8B-A7A7-EA78A2092D8B}"/>
                </c:ext>
              </c:extLst>
            </c:dLbl>
            <c:dLbl>
              <c:idx val="3"/>
              <c:tx>
                <c:rich>
                  <a:bodyPr/>
                  <a:lstStyle/>
                  <a:p>
                    <a:fld id="{A9DB75AE-E1AC-4346-89E7-212F561D8BAB}"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0E76-4F8B-A7A7-EA78A2092D8B}"/>
                </c:ext>
              </c:extLst>
            </c:dLbl>
            <c:dLbl>
              <c:idx val="4"/>
              <c:tx>
                <c:rich>
                  <a:bodyPr/>
                  <a:lstStyle/>
                  <a:p>
                    <a:fld id="{A112EBA0-CEB3-4456-B783-2B4F4DEB663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0E76-4F8B-A7A7-EA78A2092D8B}"/>
                </c:ext>
              </c:extLst>
            </c:dLbl>
            <c:dLbl>
              <c:idx val="5"/>
              <c:tx>
                <c:rich>
                  <a:bodyPr/>
                  <a:lstStyle/>
                  <a:p>
                    <a:fld id="{E13F0478-9DA0-43C0-A7F6-43BA2DA236CB}"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0E76-4F8B-A7A7-EA78A2092D8B}"/>
                </c:ext>
              </c:extLst>
            </c:dLbl>
            <c:dLbl>
              <c:idx val="6"/>
              <c:tx>
                <c:rich>
                  <a:bodyPr/>
                  <a:lstStyle/>
                  <a:p>
                    <a:fld id="{C581543A-9E24-4FD4-BB18-7F75B43733D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0E76-4F8B-A7A7-EA78A2092D8B}"/>
                </c:ext>
              </c:extLst>
            </c:dLbl>
            <c:dLbl>
              <c:idx val="7"/>
              <c:tx>
                <c:rich>
                  <a:bodyPr/>
                  <a:lstStyle/>
                  <a:p>
                    <a:fld id="{8CEAA3DE-3251-4CA3-A57D-E4A46C1F2C4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0E76-4F8B-A7A7-EA78A2092D8B}"/>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sensitivity!$A$6:$A$13</c:f>
              <c:strCache>
                <c:ptCount val="8"/>
                <c:pt idx="0">
                  <c:v>Recycling level of electrode (95%)</c:v>
                </c:pt>
                <c:pt idx="1">
                  <c:v>Energy consumption of PL 2nd-step slot-die coating, kWh (0.030)</c:v>
                </c:pt>
                <c:pt idx="2">
                  <c:v>Energy consumption of PL annealing, kWh (0.100)</c:v>
                </c:pt>
                <c:pt idx="3">
                  <c:v>Energy consumption of HTL slot-die coating, kWh (0.139)</c:v>
                </c:pt>
                <c:pt idx="4">
                  <c:v>Energy consumption of PL post-annealing, kWh (3.214)</c:v>
                </c:pt>
                <c:pt idx="5">
                  <c:v>Energy consumption of electrode sputtering, kWh (6.333)</c:v>
                </c:pt>
                <c:pt idx="6">
                  <c:v>Energy consumption of ETL annealing, kWh (6.429)</c:v>
                </c:pt>
                <c:pt idx="7">
                  <c:v>Recycling level of substrate (90%)</c:v>
                </c:pt>
              </c:strCache>
            </c:strRef>
          </c:cat>
          <c:val>
            <c:numRef>
              <c:f>sensitivity!$G$6:$G$13</c:f>
              <c:numCache>
                <c:formatCode>General</c:formatCode>
                <c:ptCount val="8"/>
                <c:pt idx="0">
                  <c:v>14.157436909856239</c:v>
                </c:pt>
                <c:pt idx="1">
                  <c:v>14.161771066666931</c:v>
                </c:pt>
                <c:pt idx="2">
                  <c:v>14.171743752389196</c:v>
                </c:pt>
                <c:pt idx="3">
                  <c:v>14.177265352393613</c:v>
                </c:pt>
                <c:pt idx="4">
                  <c:v>14.613922495600081</c:v>
                </c:pt>
                <c:pt idx="5">
                  <c:v>15.056777353097223</c:v>
                </c:pt>
                <c:pt idx="6">
                  <c:v>15.070299638822325</c:v>
                </c:pt>
                <c:pt idx="7">
                  <c:v>12.473759009377837</c:v>
                </c:pt>
              </c:numCache>
            </c:numRef>
          </c:val>
          <c:extLst>
            <c:ext xmlns:c15="http://schemas.microsoft.com/office/drawing/2012/chart" uri="{02D57815-91ED-43cb-92C2-25804820EDAC}">
              <c15:datalabelsRange>
                <c15:f>sensitivity!$F$6:$F$13</c15:f>
                <c15:dlblRangeCache>
                  <c:ptCount val="8"/>
                  <c:pt idx="0">
                    <c:v>100%</c:v>
                  </c:pt>
                  <c:pt idx="1">
                    <c:v>0.036</c:v>
                  </c:pt>
                  <c:pt idx="2">
                    <c:v>0.120</c:v>
                  </c:pt>
                  <c:pt idx="3">
                    <c:v>0.167</c:v>
                  </c:pt>
                  <c:pt idx="4">
                    <c:v>3.857</c:v>
                  </c:pt>
                  <c:pt idx="5">
                    <c:v>7.600</c:v>
                  </c:pt>
                  <c:pt idx="6">
                    <c:v>7.715</c:v>
                  </c:pt>
                  <c:pt idx="7">
                    <c:v>100%</c:v>
                  </c:pt>
                </c15:dlblRangeCache>
              </c15:datalabelsRange>
            </c:ext>
            <c:ext xmlns:c16="http://schemas.microsoft.com/office/drawing/2014/chart" uri="{C3380CC4-5D6E-409C-BE32-E72D297353CC}">
              <c16:uniqueId val="{00000002-0E76-4F8B-A7A7-EA78A2092D8B}"/>
            </c:ext>
          </c:extLst>
        </c:ser>
        <c:dLbls>
          <c:dLblPos val="outEnd"/>
          <c:showLegendKey val="0"/>
          <c:showVal val="1"/>
          <c:showCatName val="0"/>
          <c:showSerName val="0"/>
          <c:showPercent val="0"/>
          <c:showBubbleSize val="0"/>
        </c:dLbls>
        <c:gapWidth val="182"/>
        <c:overlap val="100"/>
        <c:axId val="19146863"/>
        <c:axId val="338742815"/>
      </c:barChart>
      <c:catAx>
        <c:axId val="19146863"/>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338742815"/>
        <c:crossesAt val="14.157545350000001"/>
        <c:auto val="1"/>
        <c:lblAlgn val="ctr"/>
        <c:lblOffset val="100"/>
        <c:noMultiLvlLbl val="0"/>
      </c:catAx>
      <c:valAx>
        <c:axId val="338742815"/>
        <c:scaling>
          <c:orientation val="minMax"/>
          <c:max val="16"/>
          <c:min val="12"/>
        </c:scaling>
        <c:delete val="0"/>
        <c:axPos val="b"/>
        <c:majorGridlines>
          <c:spPr>
            <a:ln w="9525" cap="flat" cmpd="sng" algn="ctr">
              <a:solidFill>
                <a:schemeClr val="tx1">
                  <a:lumMod val="15000"/>
                  <a:lumOff val="85000"/>
                </a:schemeClr>
              </a:solidFill>
              <a:round/>
            </a:ln>
            <a:effectLst/>
          </c:spPr>
        </c:majorGridlines>
        <c:numFmt formatCode="General" sourceLinked="1"/>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914686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2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sz="1400" b="0" i="0" baseline="0">
                <a:effectLst/>
              </a:rPr>
              <a:t>Primary energy consumption (MJ/m</a:t>
            </a:r>
            <a:r>
              <a:rPr lang="en-US" sz="1400" b="0" i="0" baseline="30000">
                <a:effectLst/>
              </a:rPr>
              <a:t>2</a:t>
            </a:r>
            <a:r>
              <a:rPr lang="en-US" sz="1400" b="0" i="0" baseline="0">
                <a:effectLst/>
              </a:rPr>
              <a:t> module)</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dLbls>
            <c:dLbl>
              <c:idx val="0"/>
              <c:tx>
                <c:rich>
                  <a:bodyPr/>
                  <a:lstStyle/>
                  <a:p>
                    <a:fld id="{BE4A405B-7F67-4DE7-86D9-322CC09A88B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BD3-4530-A7DB-87279AED1372}"/>
                </c:ext>
              </c:extLst>
            </c:dLbl>
            <c:dLbl>
              <c:idx val="1"/>
              <c:tx>
                <c:rich>
                  <a:bodyPr/>
                  <a:lstStyle/>
                  <a:p>
                    <a:fld id="{92FE3FFA-DC34-4675-99E3-EEAAAB32D92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BD3-4530-A7DB-87279AED1372}"/>
                </c:ext>
              </c:extLst>
            </c:dLbl>
            <c:dLbl>
              <c:idx val="2"/>
              <c:tx>
                <c:rich>
                  <a:bodyPr/>
                  <a:lstStyle/>
                  <a:p>
                    <a:fld id="{27E556BE-AF82-4299-A93D-80819F70DDA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CBD3-4530-A7DB-87279AED1372}"/>
                </c:ext>
              </c:extLst>
            </c:dLbl>
            <c:dLbl>
              <c:idx val="3"/>
              <c:tx>
                <c:rich>
                  <a:bodyPr/>
                  <a:lstStyle/>
                  <a:p>
                    <a:fld id="{2B0A45E0-F3C6-4289-9965-FA94EF0C55C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CBD3-4530-A7DB-87279AED1372}"/>
                </c:ext>
              </c:extLst>
            </c:dLbl>
            <c:dLbl>
              <c:idx val="4"/>
              <c:tx>
                <c:rich>
                  <a:bodyPr/>
                  <a:lstStyle/>
                  <a:p>
                    <a:fld id="{ACCF0F38-A064-4FD0-9206-6BCEF7DCEB0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CBD3-4530-A7DB-87279AED1372}"/>
                </c:ext>
              </c:extLst>
            </c:dLbl>
            <c:dLbl>
              <c:idx val="5"/>
              <c:tx>
                <c:rich>
                  <a:bodyPr/>
                  <a:lstStyle/>
                  <a:p>
                    <a:fld id="{14FF9742-4145-43F8-8FAA-275C915FD89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CBD3-4530-A7DB-87279AED1372}"/>
                </c:ext>
              </c:extLst>
            </c:dLbl>
            <c:dLbl>
              <c:idx val="6"/>
              <c:tx>
                <c:rich>
                  <a:bodyPr/>
                  <a:lstStyle/>
                  <a:p>
                    <a:fld id="{760895D3-C7DF-4083-8E28-B2D9449E666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CBD3-4530-A7DB-87279AED1372}"/>
                </c:ext>
              </c:extLst>
            </c:dLbl>
            <c:dLbl>
              <c:idx val="7"/>
              <c:tx>
                <c:rich>
                  <a:bodyPr/>
                  <a:lstStyle/>
                  <a:p>
                    <a:fld id="{4975B115-2D5F-4B85-B775-420B9265F77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CBD3-4530-A7DB-87279AED137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sensitivity!$A$17:$A$24</c:f>
              <c:strCache>
                <c:ptCount val="8"/>
                <c:pt idx="0">
                  <c:v>Recycling level of electrode (95%)</c:v>
                </c:pt>
                <c:pt idx="1">
                  <c:v>Energy consumption of PL 2nd-step slot-die coating, kWh (0.030)</c:v>
                </c:pt>
                <c:pt idx="2">
                  <c:v>Energy consumption of PL annealing, kWh (0.100)</c:v>
                </c:pt>
                <c:pt idx="3">
                  <c:v>Energy consumption of HTL slot-die coating, kWh (0.139)</c:v>
                </c:pt>
                <c:pt idx="4">
                  <c:v>Energy consumption of PL post-annealing, kWh (3.214)</c:v>
                </c:pt>
                <c:pt idx="5">
                  <c:v>Energy consumption of electrode sputtering, kWh (6.333)</c:v>
                </c:pt>
                <c:pt idx="6">
                  <c:v>Energy consumption of ETL annealing, kWh (6.429)</c:v>
                </c:pt>
                <c:pt idx="7">
                  <c:v>Recycling level of substrate (90%)</c:v>
                </c:pt>
              </c:strCache>
            </c:strRef>
          </c:cat>
          <c:val>
            <c:numRef>
              <c:f>sensitivity!$C$17:$C$24</c:f>
              <c:numCache>
                <c:formatCode>General</c:formatCode>
                <c:ptCount val="8"/>
                <c:pt idx="0">
                  <c:v>251.40889429380508</c:v>
                </c:pt>
                <c:pt idx="1">
                  <c:v>251.33298011355112</c:v>
                </c:pt>
                <c:pt idx="2">
                  <c:v>251.15750283704696</c:v>
                </c:pt>
                <c:pt idx="3">
                  <c:v>251.06034592689213</c:v>
                </c:pt>
                <c:pt idx="4">
                  <c:v>243.37701884832086</c:v>
                </c:pt>
                <c:pt idx="5">
                  <c:v>235.58463809508604</c:v>
                </c:pt>
                <c:pt idx="6">
                  <c:v>235.3467028049109</c:v>
                </c:pt>
                <c:pt idx="7">
                  <c:v>280.63020530061897</c:v>
                </c:pt>
              </c:numCache>
            </c:numRef>
          </c:val>
          <c:extLst>
            <c:ext xmlns:c15="http://schemas.microsoft.com/office/drawing/2012/chart" uri="{02D57815-91ED-43cb-92C2-25804820EDAC}">
              <c15:datalabelsRange>
                <c15:f>sensitivity!$B$6:$B$13</c15:f>
                <c15:dlblRangeCache>
                  <c:ptCount val="8"/>
                  <c:pt idx="0">
                    <c:v>90%</c:v>
                  </c:pt>
                  <c:pt idx="1">
                    <c:v>0.024</c:v>
                  </c:pt>
                  <c:pt idx="2">
                    <c:v>0.080</c:v>
                  </c:pt>
                  <c:pt idx="3">
                    <c:v>0.111</c:v>
                  </c:pt>
                  <c:pt idx="4">
                    <c:v>2.571</c:v>
                  </c:pt>
                  <c:pt idx="5">
                    <c:v>5.066</c:v>
                  </c:pt>
                  <c:pt idx="6">
                    <c:v>5.143</c:v>
                  </c:pt>
                  <c:pt idx="7">
                    <c:v>80%</c:v>
                  </c:pt>
                </c15:dlblRangeCache>
              </c15:datalabelsRange>
            </c:ext>
            <c:ext xmlns:c16="http://schemas.microsoft.com/office/drawing/2014/chart" uri="{C3380CC4-5D6E-409C-BE32-E72D297353CC}">
              <c16:uniqueId val="{00000000-CBD3-4530-A7DB-87279AED1372}"/>
            </c:ext>
          </c:extLst>
        </c:ser>
        <c:ser>
          <c:idx val="1"/>
          <c:order val="1"/>
          <c:spPr>
            <a:solidFill>
              <a:schemeClr val="accent2"/>
            </a:solidFill>
            <a:ln>
              <a:noFill/>
            </a:ln>
            <a:effectLst/>
          </c:spPr>
          <c:invertIfNegative val="0"/>
          <c:dLbls>
            <c:dLbl>
              <c:idx val="0"/>
              <c:tx>
                <c:rich>
                  <a:bodyPr/>
                  <a:lstStyle/>
                  <a:p>
                    <a:fld id="{8770AC49-A6E7-4091-802A-177DCC3C48E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CBD3-4530-A7DB-87279AED1372}"/>
                </c:ext>
              </c:extLst>
            </c:dLbl>
            <c:dLbl>
              <c:idx val="1"/>
              <c:tx>
                <c:rich>
                  <a:bodyPr/>
                  <a:lstStyle/>
                  <a:p>
                    <a:fld id="{2CABE759-E1A3-4CC6-968A-065708DEAF2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BD3-4530-A7DB-87279AED1372}"/>
                </c:ext>
              </c:extLst>
            </c:dLbl>
            <c:dLbl>
              <c:idx val="2"/>
              <c:tx>
                <c:rich>
                  <a:bodyPr/>
                  <a:lstStyle/>
                  <a:p>
                    <a:fld id="{E4F01CDF-F577-4BE6-9EC0-2A314B498B8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BD3-4530-A7DB-87279AED1372}"/>
                </c:ext>
              </c:extLst>
            </c:dLbl>
            <c:dLbl>
              <c:idx val="3"/>
              <c:tx>
                <c:rich>
                  <a:bodyPr/>
                  <a:lstStyle/>
                  <a:p>
                    <a:fld id="{5153A264-0ADF-4AB6-A11C-5C4964C9C2D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BD3-4530-A7DB-87279AED1372}"/>
                </c:ext>
              </c:extLst>
            </c:dLbl>
            <c:dLbl>
              <c:idx val="4"/>
              <c:tx>
                <c:rich>
                  <a:bodyPr/>
                  <a:lstStyle/>
                  <a:p>
                    <a:fld id="{8D2E1D21-1EB9-4B70-B590-28054CE7BFA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BD3-4530-A7DB-87279AED1372}"/>
                </c:ext>
              </c:extLst>
            </c:dLbl>
            <c:dLbl>
              <c:idx val="5"/>
              <c:tx>
                <c:rich>
                  <a:bodyPr/>
                  <a:lstStyle/>
                  <a:p>
                    <a:fld id="{2CD8B8A0-7815-498A-B864-453E27BF5DB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BD3-4530-A7DB-87279AED1372}"/>
                </c:ext>
              </c:extLst>
            </c:dLbl>
            <c:dLbl>
              <c:idx val="6"/>
              <c:tx>
                <c:rich>
                  <a:bodyPr/>
                  <a:lstStyle/>
                  <a:p>
                    <a:fld id="{4B941FF5-FC4B-46F8-BD8D-F6F806FABAE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BD3-4530-A7DB-87279AED1372}"/>
                </c:ext>
              </c:extLst>
            </c:dLbl>
            <c:dLbl>
              <c:idx val="7"/>
              <c:tx>
                <c:rich>
                  <a:bodyPr/>
                  <a:lstStyle/>
                  <a:p>
                    <a:fld id="{57FA6D26-CBAD-4DBA-A9F0-4BD1C909079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BD3-4530-A7DB-87279AED137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sensitivity!$A$17:$A$24</c:f>
              <c:strCache>
                <c:ptCount val="8"/>
                <c:pt idx="0">
                  <c:v>Recycling level of electrode (95%)</c:v>
                </c:pt>
                <c:pt idx="1">
                  <c:v>Energy consumption of PL 2nd-step slot-die coating, kWh (0.030)</c:v>
                </c:pt>
                <c:pt idx="2">
                  <c:v>Energy consumption of PL annealing, kWh (0.100)</c:v>
                </c:pt>
                <c:pt idx="3">
                  <c:v>Energy consumption of HTL slot-die coating, kWh (0.139)</c:v>
                </c:pt>
                <c:pt idx="4">
                  <c:v>Energy consumption of PL post-annealing, kWh (3.214)</c:v>
                </c:pt>
                <c:pt idx="5">
                  <c:v>Energy consumption of electrode sputtering, kWh (6.333)</c:v>
                </c:pt>
                <c:pt idx="6">
                  <c:v>Energy consumption of ETL annealing, kWh (6.429)</c:v>
                </c:pt>
                <c:pt idx="7">
                  <c:v>Recycling level of substrate (90%)</c:v>
                </c:pt>
              </c:strCache>
            </c:strRef>
          </c:cat>
          <c:val>
            <c:numRef>
              <c:f>sensitivity!$G$17:$G$24</c:f>
              <c:numCache>
                <c:formatCode>General</c:formatCode>
                <c:ptCount val="8"/>
                <c:pt idx="0">
                  <c:v>251.40577548965661</c:v>
                </c:pt>
                <c:pt idx="1">
                  <c:v>251.48168966991057</c:v>
                </c:pt>
                <c:pt idx="2">
                  <c:v>251.65716694641469</c:v>
                </c:pt>
                <c:pt idx="3">
                  <c:v>251.75432385656953</c:v>
                </c:pt>
                <c:pt idx="4">
                  <c:v>259.43765093514082</c:v>
                </c:pt>
                <c:pt idx="5">
                  <c:v>267.23003168837568</c:v>
                </c:pt>
                <c:pt idx="6">
                  <c:v>267.46796697855081</c:v>
                </c:pt>
                <c:pt idx="7">
                  <c:v>222.18446448284274</c:v>
                </c:pt>
              </c:numCache>
            </c:numRef>
          </c:val>
          <c:extLst>
            <c:ext xmlns:c15="http://schemas.microsoft.com/office/drawing/2012/chart" uri="{02D57815-91ED-43cb-92C2-25804820EDAC}">
              <c15:datalabelsRange>
                <c15:f>sensitivity!$F$6:$F$13</c15:f>
                <c15:dlblRangeCache>
                  <c:ptCount val="8"/>
                  <c:pt idx="0">
                    <c:v>100%</c:v>
                  </c:pt>
                  <c:pt idx="1">
                    <c:v>0.036</c:v>
                  </c:pt>
                  <c:pt idx="2">
                    <c:v>0.120</c:v>
                  </c:pt>
                  <c:pt idx="3">
                    <c:v>0.167</c:v>
                  </c:pt>
                  <c:pt idx="4">
                    <c:v>3.857</c:v>
                  </c:pt>
                  <c:pt idx="5">
                    <c:v>7.600</c:v>
                  </c:pt>
                  <c:pt idx="6">
                    <c:v>7.715</c:v>
                  </c:pt>
                  <c:pt idx="7">
                    <c:v>100%</c:v>
                  </c:pt>
                </c15:dlblRangeCache>
              </c15:datalabelsRange>
            </c:ext>
            <c:ext xmlns:c16="http://schemas.microsoft.com/office/drawing/2014/chart" uri="{C3380CC4-5D6E-409C-BE32-E72D297353CC}">
              <c16:uniqueId val="{00000002-CBD3-4530-A7DB-87279AED1372}"/>
            </c:ext>
          </c:extLst>
        </c:ser>
        <c:dLbls>
          <c:dLblPos val="outEnd"/>
          <c:showLegendKey val="0"/>
          <c:showVal val="1"/>
          <c:showCatName val="0"/>
          <c:showSerName val="0"/>
          <c:showPercent val="0"/>
          <c:showBubbleSize val="0"/>
        </c:dLbls>
        <c:gapWidth val="182"/>
        <c:overlap val="100"/>
        <c:axId val="226197807"/>
        <c:axId val="1519138671"/>
      </c:barChart>
      <c:catAx>
        <c:axId val="226197807"/>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519138671"/>
        <c:crossesAt val="251.40733490000002"/>
        <c:auto val="1"/>
        <c:lblAlgn val="ctr"/>
        <c:lblOffset val="100"/>
        <c:noMultiLvlLbl val="0"/>
      </c:catAx>
      <c:valAx>
        <c:axId val="1519138671"/>
        <c:scaling>
          <c:orientation val="minMax"/>
          <c:max val="285"/>
          <c:min val="215"/>
        </c:scaling>
        <c:delete val="0"/>
        <c:axPos val="b"/>
        <c:majorGridlines>
          <c:spPr>
            <a:ln w="9525" cap="flat" cmpd="sng" algn="ctr">
              <a:solidFill>
                <a:schemeClr val="tx1">
                  <a:lumMod val="15000"/>
                  <a:lumOff val="85000"/>
                </a:schemeClr>
              </a:solidFill>
              <a:round/>
            </a:ln>
            <a:effectLst/>
          </c:spPr>
        </c:majorGridlines>
        <c:numFmt formatCode="General" sourceLinked="1"/>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226197807"/>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2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percentStacked"/>
        <c:varyColors val="0"/>
        <c:ser>
          <c:idx val="0"/>
          <c:order val="0"/>
          <c:tx>
            <c:strRef>
              <c:f>results!$A$2</c:f>
              <c:strCache>
                <c:ptCount val="1"/>
                <c:pt idx="0">
                  <c:v>ITO glass</c:v>
                </c:pt>
              </c:strCache>
            </c:strRef>
          </c:tx>
          <c:spPr>
            <a:solidFill>
              <a:schemeClr val="accent1"/>
            </a:solidFill>
            <a:ln>
              <a:noFill/>
            </a:ln>
            <a:effectLst/>
          </c:spPr>
          <c:invertIfNegative val="0"/>
          <c:cat>
            <c:strRef>
              <c:f>results!$D$1:$X$1</c:f>
              <c:strCache>
                <c:ptCount val="5"/>
                <c:pt idx="3">
                  <c:v>Carbon footprint</c:v>
                </c:pt>
                <c:pt idx="4">
                  <c:v>Primary energy consumption</c:v>
                </c:pt>
              </c:strCache>
            </c:strRef>
          </c:cat>
          <c:val>
            <c:numRef>
              <c:f>results!$D$2:$X$2</c:f>
              <c:numCache>
                <c:formatCode>0.00E+00</c:formatCode>
                <c:ptCount val="21"/>
                <c:pt idx="3">
                  <c:v>1.6837863429999995</c:v>
                </c:pt>
                <c:pt idx="4">
                  <c:v>29.222870408888099</c:v>
                </c:pt>
              </c:numCache>
            </c:numRef>
          </c:val>
          <c:extLst>
            <c:ext xmlns:c16="http://schemas.microsoft.com/office/drawing/2014/chart" uri="{C3380CC4-5D6E-409C-BE32-E72D297353CC}">
              <c16:uniqueId val="{00000000-9432-4D24-BBBE-99189207490D}"/>
            </c:ext>
          </c:extLst>
        </c:ser>
        <c:ser>
          <c:idx val="1"/>
          <c:order val="1"/>
          <c:tx>
            <c:strRef>
              <c:f>results!$A$3</c:f>
              <c:strCache>
                <c:ptCount val="1"/>
                <c:pt idx="0">
                  <c:v>SnO₂</c:v>
                </c:pt>
              </c:strCache>
            </c:strRef>
          </c:tx>
          <c:spPr>
            <a:solidFill>
              <a:schemeClr val="accent2"/>
            </a:solidFill>
            <a:ln>
              <a:noFill/>
            </a:ln>
            <a:effectLst/>
          </c:spPr>
          <c:invertIfNegative val="0"/>
          <c:cat>
            <c:strRef>
              <c:f>results!$D$1:$X$1</c:f>
              <c:strCache>
                <c:ptCount val="5"/>
                <c:pt idx="3">
                  <c:v>Carbon footprint</c:v>
                </c:pt>
                <c:pt idx="4">
                  <c:v>Primary energy consumption</c:v>
                </c:pt>
              </c:strCache>
            </c:strRef>
          </c:cat>
          <c:val>
            <c:numRef>
              <c:f>results!$D$3:$X$3</c:f>
              <c:numCache>
                <c:formatCode>General</c:formatCode>
                <c:ptCount val="21"/>
                <c:pt idx="3" formatCode="0.00E+00">
                  <c:v>2.4568249999999997E-3</c:v>
                </c:pt>
                <c:pt idx="4" formatCode="0.00E+00">
                  <c:v>3.7774549302499995E-2</c:v>
                </c:pt>
              </c:numCache>
            </c:numRef>
          </c:val>
          <c:extLst>
            <c:ext xmlns:c16="http://schemas.microsoft.com/office/drawing/2014/chart" uri="{C3380CC4-5D6E-409C-BE32-E72D297353CC}">
              <c16:uniqueId val="{00000001-9432-4D24-BBBE-99189207490D}"/>
            </c:ext>
          </c:extLst>
        </c:ser>
        <c:ser>
          <c:idx val="2"/>
          <c:order val="2"/>
          <c:tx>
            <c:strRef>
              <c:f>results!$A$4</c:f>
              <c:strCache>
                <c:ptCount val="1"/>
                <c:pt idx="0">
                  <c:v>H₂O</c:v>
                </c:pt>
              </c:strCache>
            </c:strRef>
          </c:tx>
          <c:spPr>
            <a:solidFill>
              <a:schemeClr val="accent3"/>
            </a:solidFill>
            <a:ln>
              <a:noFill/>
            </a:ln>
            <a:effectLst/>
          </c:spPr>
          <c:invertIfNegative val="0"/>
          <c:cat>
            <c:strRef>
              <c:f>results!$D$1:$X$1</c:f>
              <c:strCache>
                <c:ptCount val="5"/>
                <c:pt idx="3">
                  <c:v>Carbon footprint</c:v>
                </c:pt>
                <c:pt idx="4">
                  <c:v>Primary energy consumption</c:v>
                </c:pt>
              </c:strCache>
            </c:strRef>
          </c:cat>
          <c:val>
            <c:numRef>
              <c:f>results!$D$4:$X$4</c:f>
              <c:numCache>
                <c:formatCode>General</c:formatCode>
                <c:ptCount val="21"/>
                <c:pt idx="3" formatCode="0.00E+00">
                  <c:v>8.8302478460674152E-6</c:v>
                </c:pt>
                <c:pt idx="4" formatCode="0.00E+00">
                  <c:v>1.2149445721202592E-4</c:v>
                </c:pt>
              </c:numCache>
            </c:numRef>
          </c:val>
          <c:extLst>
            <c:ext xmlns:c16="http://schemas.microsoft.com/office/drawing/2014/chart" uri="{C3380CC4-5D6E-409C-BE32-E72D297353CC}">
              <c16:uniqueId val="{00000002-9432-4D24-BBBE-99189207490D}"/>
            </c:ext>
          </c:extLst>
        </c:ser>
        <c:ser>
          <c:idx val="3"/>
          <c:order val="3"/>
          <c:tx>
            <c:strRef>
              <c:f>results!$A$5</c:f>
              <c:strCache>
                <c:ptCount val="1"/>
                <c:pt idx="0">
                  <c:v>PbI₂</c:v>
                </c:pt>
              </c:strCache>
            </c:strRef>
          </c:tx>
          <c:spPr>
            <a:solidFill>
              <a:schemeClr val="accent4"/>
            </a:solidFill>
            <a:ln>
              <a:noFill/>
            </a:ln>
            <a:effectLst/>
          </c:spPr>
          <c:invertIfNegative val="0"/>
          <c:cat>
            <c:strRef>
              <c:f>results!$D$1:$X$1</c:f>
              <c:strCache>
                <c:ptCount val="5"/>
                <c:pt idx="3">
                  <c:v>Carbon footprint</c:v>
                </c:pt>
                <c:pt idx="4">
                  <c:v>Primary energy consumption</c:v>
                </c:pt>
              </c:strCache>
            </c:strRef>
          </c:cat>
          <c:val>
            <c:numRef>
              <c:f>results!$D$5:$X$5</c:f>
              <c:numCache>
                <c:formatCode>General</c:formatCode>
                <c:ptCount val="21"/>
                <c:pt idx="3" formatCode="0.00E+00">
                  <c:v>5.0422090564514258E-3</c:v>
                </c:pt>
                <c:pt idx="4" formatCode="0.00E+00">
                  <c:v>5.9957782482828542E-2</c:v>
                </c:pt>
              </c:numCache>
            </c:numRef>
          </c:val>
          <c:extLst>
            <c:ext xmlns:c16="http://schemas.microsoft.com/office/drawing/2014/chart" uri="{C3380CC4-5D6E-409C-BE32-E72D297353CC}">
              <c16:uniqueId val="{00000003-9432-4D24-BBBE-99189207490D}"/>
            </c:ext>
          </c:extLst>
        </c:ser>
        <c:ser>
          <c:idx val="4"/>
          <c:order val="4"/>
          <c:tx>
            <c:strRef>
              <c:f>results!$A$6</c:f>
              <c:strCache>
                <c:ptCount val="1"/>
                <c:pt idx="0">
                  <c:v>DMF</c:v>
                </c:pt>
              </c:strCache>
            </c:strRef>
          </c:tx>
          <c:spPr>
            <a:solidFill>
              <a:schemeClr val="accent5"/>
            </a:solidFill>
            <a:ln>
              <a:noFill/>
            </a:ln>
            <a:effectLst/>
          </c:spPr>
          <c:invertIfNegative val="0"/>
          <c:cat>
            <c:strRef>
              <c:f>results!$D$1:$X$1</c:f>
              <c:strCache>
                <c:ptCount val="5"/>
                <c:pt idx="3">
                  <c:v>Carbon footprint</c:v>
                </c:pt>
                <c:pt idx="4">
                  <c:v>Primary energy consumption</c:v>
                </c:pt>
              </c:strCache>
            </c:strRef>
          </c:cat>
          <c:val>
            <c:numRef>
              <c:f>results!$D$6:$X$6</c:f>
              <c:numCache>
                <c:formatCode>General</c:formatCode>
                <c:ptCount val="21"/>
                <c:pt idx="3" formatCode="0.00E+00">
                  <c:v>4.7500373710823293E-3</c:v>
                </c:pt>
                <c:pt idx="4" formatCode="0.00E+00">
                  <c:v>0.12919759675539927</c:v>
                </c:pt>
              </c:numCache>
            </c:numRef>
          </c:val>
          <c:extLst>
            <c:ext xmlns:c16="http://schemas.microsoft.com/office/drawing/2014/chart" uri="{C3380CC4-5D6E-409C-BE32-E72D297353CC}">
              <c16:uniqueId val="{00000004-9432-4D24-BBBE-99189207490D}"/>
            </c:ext>
          </c:extLst>
        </c:ser>
        <c:ser>
          <c:idx val="5"/>
          <c:order val="5"/>
          <c:tx>
            <c:strRef>
              <c:f>results!$A$7</c:f>
              <c:strCache>
                <c:ptCount val="1"/>
                <c:pt idx="0">
                  <c:v>DMSO</c:v>
                </c:pt>
              </c:strCache>
            </c:strRef>
          </c:tx>
          <c:spPr>
            <a:solidFill>
              <a:schemeClr val="accent6"/>
            </a:solidFill>
            <a:ln>
              <a:noFill/>
            </a:ln>
            <a:effectLst/>
          </c:spPr>
          <c:invertIfNegative val="0"/>
          <c:cat>
            <c:strRef>
              <c:f>results!$D$1:$X$1</c:f>
              <c:strCache>
                <c:ptCount val="5"/>
                <c:pt idx="3">
                  <c:v>Carbon footprint</c:v>
                </c:pt>
                <c:pt idx="4">
                  <c:v>Primary energy consumption</c:v>
                </c:pt>
              </c:strCache>
            </c:strRef>
          </c:cat>
          <c:val>
            <c:numRef>
              <c:f>results!$D$7:$X$7</c:f>
              <c:numCache>
                <c:formatCode>General</c:formatCode>
                <c:ptCount val="21"/>
                <c:pt idx="3" formatCode="0.00E+00">
                  <c:v>1.2872013029725408E-4</c:v>
                </c:pt>
                <c:pt idx="4" formatCode="0.00E+00">
                  <c:v>5.9398302219234068E-3</c:v>
                </c:pt>
              </c:numCache>
            </c:numRef>
          </c:val>
          <c:extLst>
            <c:ext xmlns:c16="http://schemas.microsoft.com/office/drawing/2014/chart" uri="{C3380CC4-5D6E-409C-BE32-E72D297353CC}">
              <c16:uniqueId val="{00000005-9432-4D24-BBBE-99189207490D}"/>
            </c:ext>
          </c:extLst>
        </c:ser>
        <c:ser>
          <c:idx val="6"/>
          <c:order val="6"/>
          <c:tx>
            <c:strRef>
              <c:f>results!$A$8</c:f>
              <c:strCache>
                <c:ptCount val="1"/>
                <c:pt idx="0">
                  <c:v>FAI</c:v>
                </c:pt>
              </c:strCache>
            </c:strRef>
          </c:tx>
          <c:spPr>
            <a:solidFill>
              <a:schemeClr val="accent1">
                <a:lumMod val="60000"/>
              </a:schemeClr>
            </a:solidFill>
            <a:ln>
              <a:noFill/>
            </a:ln>
            <a:effectLst/>
          </c:spPr>
          <c:invertIfNegative val="0"/>
          <c:cat>
            <c:strRef>
              <c:f>results!$D$1:$X$1</c:f>
              <c:strCache>
                <c:ptCount val="5"/>
                <c:pt idx="3">
                  <c:v>Carbon footprint</c:v>
                </c:pt>
                <c:pt idx="4">
                  <c:v>Primary energy consumption</c:v>
                </c:pt>
              </c:strCache>
            </c:strRef>
          </c:cat>
          <c:val>
            <c:numRef>
              <c:f>results!$D$8:$X$8</c:f>
              <c:numCache>
                <c:formatCode>General</c:formatCode>
                <c:ptCount val="21"/>
                <c:pt idx="3" formatCode="0.00E+00">
                  <c:v>2.3900391307546311E-2</c:v>
                </c:pt>
                <c:pt idx="4" formatCode="0.00E+00">
                  <c:v>0.42337780030357741</c:v>
                </c:pt>
              </c:numCache>
            </c:numRef>
          </c:val>
          <c:extLst>
            <c:ext xmlns:c16="http://schemas.microsoft.com/office/drawing/2014/chart" uri="{C3380CC4-5D6E-409C-BE32-E72D297353CC}">
              <c16:uniqueId val="{00000006-9432-4D24-BBBE-99189207490D}"/>
            </c:ext>
          </c:extLst>
        </c:ser>
        <c:ser>
          <c:idx val="7"/>
          <c:order val="7"/>
          <c:tx>
            <c:strRef>
              <c:f>results!$A$9</c:f>
              <c:strCache>
                <c:ptCount val="1"/>
                <c:pt idx="0">
                  <c:v>MABr</c:v>
                </c:pt>
              </c:strCache>
            </c:strRef>
          </c:tx>
          <c:spPr>
            <a:solidFill>
              <a:schemeClr val="accent2">
                <a:lumMod val="60000"/>
              </a:schemeClr>
            </a:solidFill>
            <a:ln>
              <a:noFill/>
            </a:ln>
            <a:effectLst/>
          </c:spPr>
          <c:invertIfNegative val="0"/>
          <c:cat>
            <c:strRef>
              <c:f>results!$D$1:$X$1</c:f>
              <c:strCache>
                <c:ptCount val="5"/>
                <c:pt idx="3">
                  <c:v>Carbon footprint</c:v>
                </c:pt>
                <c:pt idx="4">
                  <c:v>Primary energy consumption</c:v>
                </c:pt>
              </c:strCache>
            </c:strRef>
          </c:cat>
          <c:val>
            <c:numRef>
              <c:f>results!$D$9:$X$9</c:f>
              <c:numCache>
                <c:formatCode>General</c:formatCode>
                <c:ptCount val="21"/>
                <c:pt idx="3" formatCode="0.00E+00">
                  <c:v>0.10592670348814012</c:v>
                </c:pt>
                <c:pt idx="4" formatCode="0.00E+00">
                  <c:v>1.865990772517371</c:v>
                </c:pt>
              </c:numCache>
            </c:numRef>
          </c:val>
          <c:extLst>
            <c:ext xmlns:c16="http://schemas.microsoft.com/office/drawing/2014/chart" uri="{C3380CC4-5D6E-409C-BE32-E72D297353CC}">
              <c16:uniqueId val="{00000007-9432-4D24-BBBE-99189207490D}"/>
            </c:ext>
          </c:extLst>
        </c:ser>
        <c:ser>
          <c:idx val="8"/>
          <c:order val="8"/>
          <c:tx>
            <c:strRef>
              <c:f>results!$A$10</c:f>
              <c:strCache>
                <c:ptCount val="1"/>
                <c:pt idx="0">
                  <c:v>MACl</c:v>
                </c:pt>
              </c:strCache>
            </c:strRef>
          </c:tx>
          <c:spPr>
            <a:solidFill>
              <a:schemeClr val="accent3">
                <a:lumMod val="60000"/>
              </a:schemeClr>
            </a:solidFill>
            <a:ln>
              <a:noFill/>
            </a:ln>
            <a:effectLst/>
          </c:spPr>
          <c:invertIfNegative val="0"/>
          <c:cat>
            <c:strRef>
              <c:f>results!$D$1:$X$1</c:f>
              <c:strCache>
                <c:ptCount val="5"/>
                <c:pt idx="3">
                  <c:v>Carbon footprint</c:v>
                </c:pt>
                <c:pt idx="4">
                  <c:v>Primary energy consumption</c:v>
                </c:pt>
              </c:strCache>
            </c:strRef>
          </c:cat>
          <c:val>
            <c:numRef>
              <c:f>results!$D$10:$X$10</c:f>
              <c:numCache>
                <c:formatCode>General</c:formatCode>
                <c:ptCount val="21"/>
                <c:pt idx="3" formatCode="0.00E+00">
                  <c:v>1.5715091537824337E-7</c:v>
                </c:pt>
                <c:pt idx="4" formatCode="0.00E+00">
                  <c:v>2.8340510885295118E-6</c:v>
                </c:pt>
              </c:numCache>
            </c:numRef>
          </c:val>
          <c:extLst>
            <c:ext xmlns:c16="http://schemas.microsoft.com/office/drawing/2014/chart" uri="{C3380CC4-5D6E-409C-BE32-E72D297353CC}">
              <c16:uniqueId val="{00000008-9432-4D24-BBBE-99189207490D}"/>
            </c:ext>
          </c:extLst>
        </c:ser>
        <c:ser>
          <c:idx val="9"/>
          <c:order val="9"/>
          <c:tx>
            <c:strRef>
              <c:f>results!$A$11</c:f>
              <c:strCache>
                <c:ptCount val="1"/>
                <c:pt idx="0">
                  <c:v>Isopropanol</c:v>
                </c:pt>
              </c:strCache>
            </c:strRef>
          </c:tx>
          <c:spPr>
            <a:solidFill>
              <a:schemeClr val="accent4">
                <a:lumMod val="60000"/>
              </a:schemeClr>
            </a:solidFill>
            <a:ln>
              <a:noFill/>
            </a:ln>
            <a:effectLst/>
          </c:spPr>
          <c:invertIfNegative val="0"/>
          <c:cat>
            <c:strRef>
              <c:f>results!$D$1:$X$1</c:f>
              <c:strCache>
                <c:ptCount val="5"/>
                <c:pt idx="3">
                  <c:v>Carbon footprint</c:v>
                </c:pt>
                <c:pt idx="4">
                  <c:v>Primary energy consumption</c:v>
                </c:pt>
              </c:strCache>
            </c:strRef>
          </c:cat>
          <c:val>
            <c:numRef>
              <c:f>results!$D$11:$X$11</c:f>
              <c:numCache>
                <c:formatCode>General</c:formatCode>
                <c:ptCount val="21"/>
                <c:pt idx="3" formatCode="0.00E+00">
                  <c:v>0.10111823698954497</c:v>
                </c:pt>
                <c:pt idx="4" formatCode="0.00E+00">
                  <c:v>3.3424294376453116</c:v>
                </c:pt>
              </c:numCache>
            </c:numRef>
          </c:val>
          <c:extLst>
            <c:ext xmlns:c16="http://schemas.microsoft.com/office/drawing/2014/chart" uri="{C3380CC4-5D6E-409C-BE32-E72D297353CC}">
              <c16:uniqueId val="{00000009-9432-4D24-BBBE-99189207490D}"/>
            </c:ext>
          </c:extLst>
        </c:ser>
        <c:ser>
          <c:idx val="10"/>
          <c:order val="10"/>
          <c:tx>
            <c:strRef>
              <c:f>results!$A$12</c:f>
              <c:strCache>
                <c:ptCount val="1"/>
                <c:pt idx="0">
                  <c:v>Spiro-OMeTAD</c:v>
                </c:pt>
              </c:strCache>
            </c:strRef>
          </c:tx>
          <c:spPr>
            <a:solidFill>
              <a:schemeClr val="accent5">
                <a:lumMod val="60000"/>
              </a:schemeClr>
            </a:solidFill>
            <a:ln>
              <a:noFill/>
            </a:ln>
            <a:effectLst/>
          </c:spPr>
          <c:invertIfNegative val="0"/>
          <c:cat>
            <c:strRef>
              <c:f>results!$D$1:$X$1</c:f>
              <c:strCache>
                <c:ptCount val="5"/>
                <c:pt idx="3">
                  <c:v>Carbon footprint</c:v>
                </c:pt>
                <c:pt idx="4">
                  <c:v>Primary energy consumption</c:v>
                </c:pt>
              </c:strCache>
            </c:strRef>
          </c:cat>
          <c:val>
            <c:numRef>
              <c:f>results!$D$12:$X$12</c:f>
              <c:numCache>
                <c:formatCode>General</c:formatCode>
                <c:ptCount val="21"/>
                <c:pt idx="3" formatCode="0.00E+00">
                  <c:v>3.1854997688690531E-2</c:v>
                </c:pt>
                <c:pt idx="4" formatCode="0.00E+00">
                  <c:v>0.51315829357722298</c:v>
                </c:pt>
              </c:numCache>
            </c:numRef>
          </c:val>
          <c:extLst>
            <c:ext xmlns:c16="http://schemas.microsoft.com/office/drawing/2014/chart" uri="{C3380CC4-5D6E-409C-BE32-E72D297353CC}">
              <c16:uniqueId val="{0000000A-9432-4D24-BBBE-99189207490D}"/>
            </c:ext>
          </c:extLst>
        </c:ser>
        <c:ser>
          <c:idx val="11"/>
          <c:order val="11"/>
          <c:tx>
            <c:strRef>
              <c:f>results!$A$13</c:f>
              <c:strCache>
                <c:ptCount val="1"/>
                <c:pt idx="0">
                  <c:v>LiTFSI</c:v>
                </c:pt>
              </c:strCache>
            </c:strRef>
          </c:tx>
          <c:spPr>
            <a:solidFill>
              <a:schemeClr val="accent6">
                <a:lumMod val="60000"/>
              </a:schemeClr>
            </a:solidFill>
            <a:ln>
              <a:noFill/>
            </a:ln>
            <a:effectLst/>
          </c:spPr>
          <c:invertIfNegative val="0"/>
          <c:cat>
            <c:strRef>
              <c:f>results!$D$1:$X$1</c:f>
              <c:strCache>
                <c:ptCount val="5"/>
                <c:pt idx="3">
                  <c:v>Carbon footprint</c:v>
                </c:pt>
                <c:pt idx="4">
                  <c:v>Primary energy consumption</c:v>
                </c:pt>
              </c:strCache>
            </c:strRef>
          </c:cat>
          <c:val>
            <c:numRef>
              <c:f>results!$D$13:$X$13</c:f>
              <c:numCache>
                <c:formatCode>General</c:formatCode>
                <c:ptCount val="21"/>
                <c:pt idx="3" formatCode="0.00E+00">
                  <c:v>1.4649900522011319E-3</c:v>
                </c:pt>
                <c:pt idx="4" formatCode="0.00E+00">
                  <c:v>2.2981147890881671E-2</c:v>
                </c:pt>
              </c:numCache>
            </c:numRef>
          </c:val>
          <c:extLst>
            <c:ext xmlns:c16="http://schemas.microsoft.com/office/drawing/2014/chart" uri="{C3380CC4-5D6E-409C-BE32-E72D297353CC}">
              <c16:uniqueId val="{0000000B-9432-4D24-BBBE-99189207490D}"/>
            </c:ext>
          </c:extLst>
        </c:ser>
        <c:ser>
          <c:idx val="12"/>
          <c:order val="12"/>
          <c:tx>
            <c:strRef>
              <c:f>results!$A$14</c:f>
              <c:strCache>
                <c:ptCount val="1"/>
                <c:pt idx="0">
                  <c:v>Acetonitrile</c:v>
                </c:pt>
              </c:strCache>
            </c:strRef>
          </c:tx>
          <c:spPr>
            <a:solidFill>
              <a:schemeClr val="accent1">
                <a:lumMod val="80000"/>
                <a:lumOff val="20000"/>
              </a:schemeClr>
            </a:solidFill>
            <a:ln>
              <a:noFill/>
            </a:ln>
            <a:effectLst/>
          </c:spPr>
          <c:invertIfNegative val="0"/>
          <c:cat>
            <c:strRef>
              <c:f>results!$D$1:$X$1</c:f>
              <c:strCache>
                <c:ptCount val="5"/>
                <c:pt idx="3">
                  <c:v>Carbon footprint</c:v>
                </c:pt>
                <c:pt idx="4">
                  <c:v>Primary energy consumption</c:v>
                </c:pt>
              </c:strCache>
            </c:strRef>
          </c:cat>
          <c:val>
            <c:numRef>
              <c:f>results!$D$14:$X$14</c:f>
              <c:numCache>
                <c:formatCode>General</c:formatCode>
                <c:ptCount val="21"/>
                <c:pt idx="3" formatCode="0.00E+00">
                  <c:v>4.0681139631535285E-4</c:v>
                </c:pt>
                <c:pt idx="4" formatCode="0.00E+00">
                  <c:v>1.1011636458905816E-2</c:v>
                </c:pt>
              </c:numCache>
            </c:numRef>
          </c:val>
          <c:extLst>
            <c:ext xmlns:c16="http://schemas.microsoft.com/office/drawing/2014/chart" uri="{C3380CC4-5D6E-409C-BE32-E72D297353CC}">
              <c16:uniqueId val="{0000000C-9432-4D24-BBBE-99189207490D}"/>
            </c:ext>
          </c:extLst>
        </c:ser>
        <c:ser>
          <c:idx val="13"/>
          <c:order val="13"/>
          <c:tx>
            <c:strRef>
              <c:f>results!$A$15</c:f>
              <c:strCache>
                <c:ptCount val="1"/>
                <c:pt idx="0">
                  <c:v>4-tert Butylpyridine</c:v>
                </c:pt>
              </c:strCache>
            </c:strRef>
          </c:tx>
          <c:spPr>
            <a:solidFill>
              <a:schemeClr val="accent2">
                <a:lumMod val="80000"/>
                <a:lumOff val="20000"/>
              </a:schemeClr>
            </a:solidFill>
            <a:ln>
              <a:noFill/>
            </a:ln>
            <a:effectLst/>
          </c:spPr>
          <c:invertIfNegative val="0"/>
          <c:cat>
            <c:strRef>
              <c:f>results!$D$1:$X$1</c:f>
              <c:strCache>
                <c:ptCount val="5"/>
                <c:pt idx="3">
                  <c:v>Carbon footprint</c:v>
                </c:pt>
                <c:pt idx="4">
                  <c:v>Primary energy consumption</c:v>
                </c:pt>
              </c:strCache>
            </c:strRef>
          </c:cat>
          <c:val>
            <c:numRef>
              <c:f>results!$D$15:$X$15</c:f>
              <c:numCache>
                <c:formatCode>General</c:formatCode>
                <c:ptCount val="21"/>
                <c:pt idx="3" formatCode="0.00E+00">
                  <c:v>1.1128396373775934E-3</c:v>
                </c:pt>
                <c:pt idx="4" formatCode="0.00E+00">
                  <c:v>1.8248398073474791E-2</c:v>
                </c:pt>
              </c:numCache>
            </c:numRef>
          </c:val>
          <c:extLst>
            <c:ext xmlns:c16="http://schemas.microsoft.com/office/drawing/2014/chart" uri="{C3380CC4-5D6E-409C-BE32-E72D297353CC}">
              <c16:uniqueId val="{0000000D-9432-4D24-BBBE-99189207490D}"/>
            </c:ext>
          </c:extLst>
        </c:ser>
        <c:ser>
          <c:idx val="14"/>
          <c:order val="14"/>
          <c:tx>
            <c:strRef>
              <c:f>results!$A$16</c:f>
              <c:strCache>
                <c:ptCount val="1"/>
                <c:pt idx="0">
                  <c:v>Chlorobenzene</c:v>
                </c:pt>
              </c:strCache>
            </c:strRef>
          </c:tx>
          <c:spPr>
            <a:solidFill>
              <a:schemeClr val="accent3">
                <a:lumMod val="80000"/>
                <a:lumOff val="20000"/>
              </a:schemeClr>
            </a:solidFill>
            <a:ln>
              <a:noFill/>
            </a:ln>
            <a:effectLst/>
          </c:spPr>
          <c:invertIfNegative val="0"/>
          <c:cat>
            <c:strRef>
              <c:f>results!$D$1:$X$1</c:f>
              <c:strCache>
                <c:ptCount val="5"/>
                <c:pt idx="3">
                  <c:v>Carbon footprint</c:v>
                </c:pt>
                <c:pt idx="4">
                  <c:v>Primary energy consumption</c:v>
                </c:pt>
              </c:strCache>
            </c:strRef>
          </c:cat>
          <c:val>
            <c:numRef>
              <c:f>results!$D$16:$X$16</c:f>
              <c:numCache>
                <c:formatCode>General</c:formatCode>
                <c:ptCount val="21"/>
                <c:pt idx="3" formatCode="0.00E+00">
                  <c:v>1.3047440743568469E-2</c:v>
                </c:pt>
                <c:pt idx="4" formatCode="0.00E+00">
                  <c:v>0.3158692872487171</c:v>
                </c:pt>
              </c:numCache>
            </c:numRef>
          </c:val>
          <c:extLst>
            <c:ext xmlns:c16="http://schemas.microsoft.com/office/drawing/2014/chart" uri="{C3380CC4-5D6E-409C-BE32-E72D297353CC}">
              <c16:uniqueId val="{0000000E-9432-4D24-BBBE-99189207490D}"/>
            </c:ext>
          </c:extLst>
        </c:ser>
        <c:ser>
          <c:idx val="15"/>
          <c:order val="15"/>
          <c:tx>
            <c:strRef>
              <c:f>results!$A$17</c:f>
              <c:strCache>
                <c:ptCount val="1"/>
                <c:pt idx="0">
                  <c:v>Cu</c:v>
                </c:pt>
              </c:strCache>
            </c:strRef>
          </c:tx>
          <c:spPr>
            <a:solidFill>
              <a:schemeClr val="accent4">
                <a:lumMod val="80000"/>
                <a:lumOff val="20000"/>
              </a:schemeClr>
            </a:solidFill>
            <a:ln>
              <a:noFill/>
            </a:ln>
            <a:effectLst/>
          </c:spPr>
          <c:invertIfNegative val="0"/>
          <c:cat>
            <c:strRef>
              <c:f>results!$D$1:$X$1</c:f>
              <c:strCache>
                <c:ptCount val="5"/>
                <c:pt idx="3">
                  <c:v>Carbon footprint</c:v>
                </c:pt>
                <c:pt idx="4">
                  <c:v>Primary energy consumption</c:v>
                </c:pt>
              </c:strCache>
            </c:strRef>
          </c:cat>
          <c:val>
            <c:numRef>
              <c:f>results!$D$17:$X$17</c:f>
              <c:numCache>
                <c:formatCode>General</c:formatCode>
                <c:ptCount val="21"/>
                <c:pt idx="3" formatCode="0.00E+00">
                  <c:v>2.2772929536000004E-3</c:v>
                </c:pt>
                <c:pt idx="4" formatCode="0.00E+00">
                  <c:v>3.2747443559147528E-2</c:v>
                </c:pt>
              </c:numCache>
            </c:numRef>
          </c:val>
          <c:extLst>
            <c:ext xmlns:c16="http://schemas.microsoft.com/office/drawing/2014/chart" uri="{C3380CC4-5D6E-409C-BE32-E72D297353CC}">
              <c16:uniqueId val="{0000000F-9432-4D24-BBBE-99189207490D}"/>
            </c:ext>
          </c:extLst>
        </c:ser>
        <c:ser>
          <c:idx val="16"/>
          <c:order val="16"/>
          <c:tx>
            <c:strRef>
              <c:f>results!$A$18</c:f>
              <c:strCache>
                <c:ptCount val="1"/>
                <c:pt idx="0">
                  <c:v>Ar</c:v>
                </c:pt>
              </c:strCache>
            </c:strRef>
          </c:tx>
          <c:spPr>
            <a:solidFill>
              <a:schemeClr val="accent5">
                <a:lumMod val="80000"/>
                <a:lumOff val="20000"/>
              </a:schemeClr>
            </a:solidFill>
            <a:ln>
              <a:noFill/>
            </a:ln>
            <a:effectLst/>
          </c:spPr>
          <c:invertIfNegative val="0"/>
          <c:cat>
            <c:strRef>
              <c:f>results!$D$1:$X$1</c:f>
              <c:strCache>
                <c:ptCount val="5"/>
                <c:pt idx="3">
                  <c:v>Carbon footprint</c:v>
                </c:pt>
                <c:pt idx="4">
                  <c:v>Primary energy consumption</c:v>
                </c:pt>
              </c:strCache>
            </c:strRef>
          </c:cat>
          <c:val>
            <c:numRef>
              <c:f>results!$D$18:$X$18</c:f>
              <c:numCache>
                <c:formatCode>General</c:formatCode>
                <c:ptCount val="21"/>
                <c:pt idx="3" formatCode="0.00E+00">
                  <c:v>0.17435194181818181</c:v>
                </c:pt>
                <c:pt idx="4" formatCode="0.00E+00">
                  <c:v>2.6195734909818178</c:v>
                </c:pt>
              </c:numCache>
            </c:numRef>
          </c:val>
          <c:extLst>
            <c:ext xmlns:c16="http://schemas.microsoft.com/office/drawing/2014/chart" uri="{C3380CC4-5D6E-409C-BE32-E72D297353CC}">
              <c16:uniqueId val="{00000010-9432-4D24-BBBE-99189207490D}"/>
            </c:ext>
          </c:extLst>
        </c:ser>
        <c:ser>
          <c:idx val="17"/>
          <c:order val="17"/>
          <c:tx>
            <c:strRef>
              <c:f>results!$A$19</c:f>
              <c:strCache>
                <c:ptCount val="1"/>
                <c:pt idx="0">
                  <c:v>O₂</c:v>
                </c:pt>
              </c:strCache>
            </c:strRef>
          </c:tx>
          <c:spPr>
            <a:solidFill>
              <a:schemeClr val="accent6">
                <a:lumMod val="80000"/>
                <a:lumOff val="20000"/>
              </a:schemeClr>
            </a:solidFill>
            <a:ln>
              <a:noFill/>
            </a:ln>
            <a:effectLst/>
          </c:spPr>
          <c:invertIfNegative val="0"/>
          <c:cat>
            <c:strRef>
              <c:f>results!$D$1:$X$1</c:f>
              <c:strCache>
                <c:ptCount val="5"/>
                <c:pt idx="3">
                  <c:v>Carbon footprint</c:v>
                </c:pt>
                <c:pt idx="4">
                  <c:v>Primary energy consumption</c:v>
                </c:pt>
              </c:strCache>
            </c:strRef>
          </c:cat>
          <c:val>
            <c:numRef>
              <c:f>results!$D$19:$X$19</c:f>
              <c:numCache>
                <c:formatCode>General</c:formatCode>
                <c:ptCount val="21"/>
                <c:pt idx="3" formatCode="0.00E+00">
                  <c:v>7.6841745454545455E-5</c:v>
                </c:pt>
                <c:pt idx="4" formatCode="0.00E+00">
                  <c:v>1.0469033187490908E-3</c:v>
                </c:pt>
              </c:numCache>
            </c:numRef>
          </c:val>
          <c:extLst>
            <c:ext xmlns:c16="http://schemas.microsoft.com/office/drawing/2014/chart" uri="{C3380CC4-5D6E-409C-BE32-E72D297353CC}">
              <c16:uniqueId val="{00000011-9432-4D24-BBBE-99189207490D}"/>
            </c:ext>
          </c:extLst>
        </c:ser>
        <c:ser>
          <c:idx val="18"/>
          <c:order val="18"/>
          <c:tx>
            <c:strRef>
              <c:f>results!$A$20</c:f>
              <c:strCache>
                <c:ptCount val="1"/>
                <c:pt idx="0">
                  <c:v>Adhesive</c:v>
                </c:pt>
              </c:strCache>
            </c:strRef>
          </c:tx>
          <c:spPr>
            <a:solidFill>
              <a:schemeClr val="accent1">
                <a:lumMod val="80000"/>
              </a:schemeClr>
            </a:solidFill>
            <a:ln>
              <a:noFill/>
            </a:ln>
            <a:effectLst/>
          </c:spPr>
          <c:invertIfNegative val="0"/>
          <c:cat>
            <c:strRef>
              <c:f>results!$D$1:$X$1</c:f>
              <c:strCache>
                <c:ptCount val="5"/>
                <c:pt idx="3">
                  <c:v>Carbon footprint</c:v>
                </c:pt>
                <c:pt idx="4">
                  <c:v>Primary energy consumption</c:v>
                </c:pt>
              </c:strCache>
            </c:strRef>
          </c:cat>
          <c:val>
            <c:numRef>
              <c:f>results!$D$20:$X$20</c:f>
              <c:numCache>
                <c:formatCode>General</c:formatCode>
                <c:ptCount val="21"/>
                <c:pt idx="3" formatCode="0.00E+00">
                  <c:v>5.8513339999999997E-2</c:v>
                </c:pt>
                <c:pt idx="4" formatCode="0.00E+00">
                  <c:v>1.121768096012</c:v>
                </c:pt>
              </c:numCache>
            </c:numRef>
          </c:val>
          <c:extLst>
            <c:ext xmlns:c16="http://schemas.microsoft.com/office/drawing/2014/chart" uri="{C3380CC4-5D6E-409C-BE32-E72D297353CC}">
              <c16:uniqueId val="{00000012-9432-4D24-BBBE-99189207490D}"/>
            </c:ext>
          </c:extLst>
        </c:ser>
        <c:ser>
          <c:idx val="19"/>
          <c:order val="19"/>
          <c:tx>
            <c:strRef>
              <c:f>results!$A$21</c:f>
              <c:strCache>
                <c:ptCount val="1"/>
                <c:pt idx="0">
                  <c:v>PET</c:v>
                </c:pt>
              </c:strCache>
            </c:strRef>
          </c:tx>
          <c:spPr>
            <a:solidFill>
              <a:schemeClr val="accent2">
                <a:lumMod val="80000"/>
              </a:schemeClr>
            </a:solidFill>
            <a:ln>
              <a:noFill/>
            </a:ln>
            <a:effectLst/>
          </c:spPr>
          <c:invertIfNegative val="0"/>
          <c:cat>
            <c:strRef>
              <c:f>results!$D$1:$X$1</c:f>
              <c:strCache>
                <c:ptCount val="5"/>
                <c:pt idx="3">
                  <c:v>Carbon footprint</c:v>
                </c:pt>
                <c:pt idx="4">
                  <c:v>Primary energy consumption</c:v>
                </c:pt>
              </c:strCache>
            </c:strRef>
          </c:cat>
          <c:val>
            <c:numRef>
              <c:f>results!$D$21:$X$21</c:f>
              <c:numCache>
                <c:formatCode>General</c:formatCode>
                <c:ptCount val="21"/>
                <c:pt idx="3" formatCode="0.00E+00">
                  <c:v>0.19433649</c:v>
                </c:pt>
                <c:pt idx="4" formatCode="0.00E+00">
                  <c:v>4.876431431436</c:v>
                </c:pt>
              </c:numCache>
            </c:numRef>
          </c:val>
          <c:extLst>
            <c:ext xmlns:c16="http://schemas.microsoft.com/office/drawing/2014/chart" uri="{C3380CC4-5D6E-409C-BE32-E72D297353CC}">
              <c16:uniqueId val="{00000013-9432-4D24-BBBE-99189207490D}"/>
            </c:ext>
          </c:extLst>
        </c:ser>
        <c:ser>
          <c:idx val="20"/>
          <c:order val="20"/>
          <c:tx>
            <c:strRef>
              <c:f>results!$A$22</c:f>
              <c:strCache>
                <c:ptCount val="1"/>
                <c:pt idx="0">
                  <c:v>UV/O₃ cleaning</c:v>
                </c:pt>
              </c:strCache>
            </c:strRef>
          </c:tx>
          <c:spPr>
            <a:solidFill>
              <a:schemeClr val="accent3">
                <a:lumMod val="80000"/>
              </a:schemeClr>
            </a:solidFill>
            <a:ln>
              <a:noFill/>
            </a:ln>
            <a:effectLst/>
          </c:spPr>
          <c:invertIfNegative val="0"/>
          <c:cat>
            <c:strRef>
              <c:f>results!$D$1:$X$1</c:f>
              <c:strCache>
                <c:ptCount val="5"/>
                <c:pt idx="3">
                  <c:v>Carbon footprint</c:v>
                </c:pt>
                <c:pt idx="4">
                  <c:v>Primary energy consumption</c:v>
                </c:pt>
              </c:strCache>
            </c:strRef>
          </c:cat>
          <c:val>
            <c:numRef>
              <c:f>results!$D$22:$X$22</c:f>
              <c:numCache>
                <c:formatCode>General</c:formatCode>
                <c:ptCount val="21"/>
                <c:pt idx="3" formatCode="0.00E+00">
                  <c:v>1.6328160013062525E-2</c:v>
                </c:pt>
                <c:pt idx="4" formatCode="0.00E+00">
                  <c:v>0.28730686288644547</c:v>
                </c:pt>
              </c:numCache>
            </c:numRef>
          </c:val>
          <c:extLst>
            <c:ext xmlns:c16="http://schemas.microsoft.com/office/drawing/2014/chart" uri="{C3380CC4-5D6E-409C-BE32-E72D297353CC}">
              <c16:uniqueId val="{00000014-9432-4D24-BBBE-99189207490D}"/>
            </c:ext>
          </c:extLst>
        </c:ser>
        <c:ser>
          <c:idx val="21"/>
          <c:order val="21"/>
          <c:tx>
            <c:strRef>
              <c:f>results!$A$23</c:f>
              <c:strCache>
                <c:ptCount val="1"/>
                <c:pt idx="0">
                  <c:v>ETL slot-die coating</c:v>
                </c:pt>
              </c:strCache>
            </c:strRef>
          </c:tx>
          <c:spPr>
            <a:solidFill>
              <a:schemeClr val="accent4">
                <a:lumMod val="80000"/>
              </a:schemeClr>
            </a:solidFill>
            <a:ln>
              <a:noFill/>
            </a:ln>
            <a:effectLst/>
          </c:spPr>
          <c:invertIfNegative val="0"/>
          <c:cat>
            <c:strRef>
              <c:f>results!$D$1:$X$1</c:f>
              <c:strCache>
                <c:ptCount val="5"/>
                <c:pt idx="3">
                  <c:v>Carbon footprint</c:v>
                </c:pt>
                <c:pt idx="4">
                  <c:v>Primary energy consumption</c:v>
                </c:pt>
              </c:strCache>
            </c:strRef>
          </c:cat>
          <c:val>
            <c:numRef>
              <c:f>results!$D$23:$X$23</c:f>
              <c:numCache>
                <c:formatCode>General</c:formatCode>
                <c:ptCount val="21"/>
                <c:pt idx="3" formatCode="0.00E+00">
                  <c:v>1.4790000011831998E-2</c:v>
                </c:pt>
                <c:pt idx="4" formatCode="0.00E+00">
                  <c:v>0.2602417236290267</c:v>
                </c:pt>
              </c:numCache>
            </c:numRef>
          </c:val>
          <c:extLst>
            <c:ext xmlns:c16="http://schemas.microsoft.com/office/drawing/2014/chart" uri="{C3380CC4-5D6E-409C-BE32-E72D297353CC}">
              <c16:uniqueId val="{00000015-9432-4D24-BBBE-99189207490D}"/>
            </c:ext>
          </c:extLst>
        </c:ser>
        <c:ser>
          <c:idx val="22"/>
          <c:order val="22"/>
          <c:tx>
            <c:strRef>
              <c:f>results!$A$24</c:f>
              <c:strCache>
                <c:ptCount val="1"/>
                <c:pt idx="0">
                  <c:v>ETL annealing</c:v>
                </c:pt>
              </c:strCache>
            </c:strRef>
          </c:tx>
          <c:spPr>
            <a:solidFill>
              <a:schemeClr val="accent5">
                <a:lumMod val="80000"/>
              </a:schemeClr>
            </a:solidFill>
            <a:ln>
              <a:noFill/>
            </a:ln>
            <a:effectLst/>
          </c:spPr>
          <c:invertIfNegative val="0"/>
          <c:cat>
            <c:strRef>
              <c:f>results!$D$1:$X$1</c:f>
              <c:strCache>
                <c:ptCount val="5"/>
                <c:pt idx="3">
                  <c:v>Carbon footprint</c:v>
                </c:pt>
                <c:pt idx="4">
                  <c:v>Primary energy consumption</c:v>
                </c:pt>
              </c:strCache>
            </c:strRef>
          </c:cat>
          <c:val>
            <c:numRef>
              <c:f>results!$D$24:$X$24</c:f>
              <c:numCache>
                <c:formatCode>General</c:formatCode>
                <c:ptCount val="21"/>
                <c:pt idx="3" formatCode="0.00E+00">
                  <c:v>4.5637714322224454</c:v>
                </c:pt>
                <c:pt idx="4" formatCode="0.00E+00">
                  <c:v>80.303160434099667</c:v>
                </c:pt>
              </c:numCache>
            </c:numRef>
          </c:val>
          <c:extLst>
            <c:ext xmlns:c16="http://schemas.microsoft.com/office/drawing/2014/chart" uri="{C3380CC4-5D6E-409C-BE32-E72D297353CC}">
              <c16:uniqueId val="{00000016-9432-4D24-BBBE-99189207490D}"/>
            </c:ext>
          </c:extLst>
        </c:ser>
        <c:ser>
          <c:idx val="23"/>
          <c:order val="23"/>
          <c:tx>
            <c:strRef>
              <c:f>results!$A$25</c:f>
              <c:strCache>
                <c:ptCount val="1"/>
                <c:pt idx="0">
                  <c:v>PL 1st-step slot-die coating</c:v>
                </c:pt>
              </c:strCache>
            </c:strRef>
          </c:tx>
          <c:spPr>
            <a:solidFill>
              <a:schemeClr val="accent6">
                <a:lumMod val="80000"/>
              </a:schemeClr>
            </a:solidFill>
            <a:ln>
              <a:noFill/>
            </a:ln>
            <a:effectLst/>
          </c:spPr>
          <c:invertIfNegative val="0"/>
          <c:cat>
            <c:strRef>
              <c:f>results!$D$1:$X$1</c:f>
              <c:strCache>
                <c:ptCount val="5"/>
                <c:pt idx="3">
                  <c:v>Carbon footprint</c:v>
                </c:pt>
                <c:pt idx="4">
                  <c:v>Primary energy consumption</c:v>
                </c:pt>
              </c:strCache>
            </c:strRef>
          </c:cat>
          <c:val>
            <c:numRef>
              <c:f>results!$D$25:$X$25</c:f>
              <c:numCache>
                <c:formatCode>General</c:formatCode>
                <c:ptCount val="21"/>
                <c:pt idx="3" formatCode="0.00E+00">
                  <c:v>2.1128571445474281E-2</c:v>
                </c:pt>
                <c:pt idx="4" formatCode="0.00E+00">
                  <c:v>0.37177389089860957</c:v>
                </c:pt>
              </c:numCache>
            </c:numRef>
          </c:val>
          <c:extLst>
            <c:ext xmlns:c16="http://schemas.microsoft.com/office/drawing/2014/chart" uri="{C3380CC4-5D6E-409C-BE32-E72D297353CC}">
              <c16:uniqueId val="{00000017-9432-4D24-BBBE-99189207490D}"/>
            </c:ext>
          </c:extLst>
        </c:ser>
        <c:ser>
          <c:idx val="24"/>
          <c:order val="24"/>
          <c:tx>
            <c:strRef>
              <c:f>results!$A$26</c:f>
              <c:strCache>
                <c:ptCount val="1"/>
                <c:pt idx="0">
                  <c:v>PL annealing</c:v>
                </c:pt>
              </c:strCache>
            </c:strRef>
          </c:tx>
          <c:spPr>
            <a:solidFill>
              <a:schemeClr val="accent1">
                <a:lumMod val="60000"/>
                <a:lumOff val="40000"/>
              </a:schemeClr>
            </a:solidFill>
            <a:ln>
              <a:noFill/>
            </a:ln>
            <a:effectLst/>
          </c:spPr>
          <c:invertIfNegative val="0"/>
          <c:cat>
            <c:strRef>
              <c:f>results!$D$1:$X$1</c:f>
              <c:strCache>
                <c:ptCount val="5"/>
                <c:pt idx="3">
                  <c:v>Carbon footprint</c:v>
                </c:pt>
                <c:pt idx="4">
                  <c:v>Primary energy consumption</c:v>
                </c:pt>
              </c:strCache>
            </c:strRef>
          </c:cat>
          <c:val>
            <c:numRef>
              <c:f>results!$D$26:$X$26</c:f>
              <c:numCache>
                <c:formatCode>General</c:formatCode>
                <c:ptCount val="21"/>
                <c:pt idx="3" formatCode="0.00E+00">
                  <c:v>7.0992000056793583E-2</c:v>
                </c:pt>
                <c:pt idx="4" formatCode="0.00E+00">
                  <c:v>1.2491602734193281</c:v>
                </c:pt>
              </c:numCache>
            </c:numRef>
          </c:val>
          <c:extLst>
            <c:ext xmlns:c16="http://schemas.microsoft.com/office/drawing/2014/chart" uri="{C3380CC4-5D6E-409C-BE32-E72D297353CC}">
              <c16:uniqueId val="{00000018-9432-4D24-BBBE-99189207490D}"/>
            </c:ext>
          </c:extLst>
        </c:ser>
        <c:ser>
          <c:idx val="25"/>
          <c:order val="25"/>
          <c:tx>
            <c:strRef>
              <c:f>results!$A$27</c:f>
              <c:strCache>
                <c:ptCount val="1"/>
                <c:pt idx="0">
                  <c:v>PL 2nd-step slot-die coating</c:v>
                </c:pt>
              </c:strCache>
            </c:strRef>
          </c:tx>
          <c:spPr>
            <a:solidFill>
              <a:schemeClr val="accent2">
                <a:lumMod val="60000"/>
                <a:lumOff val="40000"/>
              </a:schemeClr>
            </a:solidFill>
            <a:ln>
              <a:noFill/>
            </a:ln>
            <a:effectLst/>
          </c:spPr>
          <c:invertIfNegative val="0"/>
          <c:cat>
            <c:strRef>
              <c:f>results!$D$1:$X$1</c:f>
              <c:strCache>
                <c:ptCount val="5"/>
                <c:pt idx="3">
                  <c:v>Carbon footprint</c:v>
                </c:pt>
                <c:pt idx="4">
                  <c:v>Primary energy consumption</c:v>
                </c:pt>
              </c:strCache>
            </c:strRef>
          </c:cat>
          <c:val>
            <c:numRef>
              <c:f>results!$D$27:$X$27</c:f>
              <c:numCache>
                <c:formatCode>General</c:formatCode>
                <c:ptCount val="21"/>
                <c:pt idx="3" formatCode="0.00E+00">
                  <c:v>2.1128571445474281E-2</c:v>
                </c:pt>
                <c:pt idx="4" formatCode="0.00E+00">
                  <c:v>0.37177389089860957</c:v>
                </c:pt>
              </c:numCache>
            </c:numRef>
          </c:val>
          <c:extLst>
            <c:ext xmlns:c16="http://schemas.microsoft.com/office/drawing/2014/chart" uri="{C3380CC4-5D6E-409C-BE32-E72D297353CC}">
              <c16:uniqueId val="{00000019-9432-4D24-BBBE-99189207490D}"/>
            </c:ext>
          </c:extLst>
        </c:ser>
        <c:ser>
          <c:idx val="26"/>
          <c:order val="26"/>
          <c:tx>
            <c:strRef>
              <c:f>results!$A$28</c:f>
              <c:strCache>
                <c:ptCount val="1"/>
                <c:pt idx="0">
                  <c:v>PL post-annealing</c:v>
                </c:pt>
              </c:strCache>
            </c:strRef>
          </c:tx>
          <c:spPr>
            <a:solidFill>
              <a:schemeClr val="accent3">
                <a:lumMod val="60000"/>
                <a:lumOff val="40000"/>
              </a:schemeClr>
            </a:solidFill>
            <a:ln>
              <a:noFill/>
            </a:ln>
            <a:effectLst/>
          </c:spPr>
          <c:invertIfNegative val="0"/>
          <c:cat>
            <c:strRef>
              <c:f>results!$D$1:$X$1</c:f>
              <c:strCache>
                <c:ptCount val="5"/>
                <c:pt idx="3">
                  <c:v>Carbon footprint</c:v>
                </c:pt>
                <c:pt idx="4">
                  <c:v>Primary energy consumption</c:v>
                </c:pt>
              </c:strCache>
            </c:strRef>
          </c:cat>
          <c:val>
            <c:numRef>
              <c:f>results!$D$28:$X$28</c:f>
              <c:numCache>
                <c:formatCode>General</c:formatCode>
                <c:ptCount val="21"/>
                <c:pt idx="3" formatCode="0.00E+00">
                  <c:v>2.2818857161112227</c:v>
                </c:pt>
                <c:pt idx="4" formatCode="0.00E+00">
                  <c:v>40.151580217049833</c:v>
                </c:pt>
              </c:numCache>
            </c:numRef>
          </c:val>
          <c:extLst>
            <c:ext xmlns:c16="http://schemas.microsoft.com/office/drawing/2014/chart" uri="{C3380CC4-5D6E-409C-BE32-E72D297353CC}">
              <c16:uniqueId val="{0000001A-9432-4D24-BBBE-99189207490D}"/>
            </c:ext>
          </c:extLst>
        </c:ser>
        <c:ser>
          <c:idx val="27"/>
          <c:order val="27"/>
          <c:tx>
            <c:strRef>
              <c:f>results!$A$29</c:f>
              <c:strCache>
                <c:ptCount val="1"/>
                <c:pt idx="0">
                  <c:v>HTL slot-die coating</c:v>
                </c:pt>
              </c:strCache>
            </c:strRef>
          </c:tx>
          <c:spPr>
            <a:solidFill>
              <a:schemeClr val="accent4">
                <a:lumMod val="60000"/>
                <a:lumOff val="40000"/>
              </a:schemeClr>
            </a:solidFill>
            <a:ln>
              <a:noFill/>
            </a:ln>
            <a:effectLst/>
          </c:spPr>
          <c:invertIfNegative val="0"/>
          <c:cat>
            <c:strRef>
              <c:f>results!$D$1:$X$1</c:f>
              <c:strCache>
                <c:ptCount val="5"/>
                <c:pt idx="3">
                  <c:v>Carbon footprint</c:v>
                </c:pt>
                <c:pt idx="4">
                  <c:v>Primary energy consumption</c:v>
                </c:pt>
              </c:strCache>
            </c:strRef>
          </c:cat>
          <c:val>
            <c:numRef>
              <c:f>results!$D$29:$X$29</c:f>
              <c:numCache>
                <c:formatCode>General</c:formatCode>
                <c:ptCount val="21"/>
                <c:pt idx="3" formatCode="0.00E+00">
                  <c:v>9.8600000078879993E-2</c:v>
                </c:pt>
                <c:pt idx="4" formatCode="0.00E+00">
                  <c:v>1.7349448241935115</c:v>
                </c:pt>
              </c:numCache>
            </c:numRef>
          </c:val>
          <c:extLst>
            <c:ext xmlns:c16="http://schemas.microsoft.com/office/drawing/2014/chart" uri="{C3380CC4-5D6E-409C-BE32-E72D297353CC}">
              <c16:uniqueId val="{0000001B-9432-4D24-BBBE-99189207490D}"/>
            </c:ext>
          </c:extLst>
        </c:ser>
        <c:ser>
          <c:idx val="28"/>
          <c:order val="28"/>
          <c:tx>
            <c:strRef>
              <c:f>results!$A$30</c:f>
              <c:strCache>
                <c:ptCount val="1"/>
                <c:pt idx="0">
                  <c:v>Electrode sputtering</c:v>
                </c:pt>
              </c:strCache>
            </c:strRef>
          </c:tx>
          <c:spPr>
            <a:solidFill>
              <a:schemeClr val="accent5">
                <a:lumMod val="60000"/>
                <a:lumOff val="40000"/>
              </a:schemeClr>
            </a:solidFill>
            <a:ln>
              <a:noFill/>
            </a:ln>
            <a:effectLst/>
          </c:spPr>
          <c:invertIfNegative val="0"/>
          <c:cat>
            <c:strRef>
              <c:f>results!$D$1:$X$1</c:f>
              <c:strCache>
                <c:ptCount val="5"/>
                <c:pt idx="3">
                  <c:v>Carbon footprint</c:v>
                </c:pt>
                <c:pt idx="4">
                  <c:v>Primary energy consumption</c:v>
                </c:pt>
              </c:strCache>
            </c:strRef>
          </c:cat>
          <c:val>
            <c:numRef>
              <c:f>results!$D$30:$X$30</c:f>
              <c:numCache>
                <c:formatCode>General</c:formatCode>
                <c:ptCount val="21"/>
                <c:pt idx="3" formatCode="0.00E+00">
                  <c:v>4.4961600035969278</c:v>
                </c:pt>
                <c:pt idx="4" formatCode="0.00E+00">
                  <c:v>79.113483983224114</c:v>
                </c:pt>
              </c:numCache>
            </c:numRef>
          </c:val>
          <c:extLst>
            <c:ext xmlns:c16="http://schemas.microsoft.com/office/drawing/2014/chart" uri="{C3380CC4-5D6E-409C-BE32-E72D297353CC}">
              <c16:uniqueId val="{00000000-76BE-4A15-848D-643AC76E4FE2}"/>
            </c:ext>
          </c:extLst>
        </c:ser>
        <c:ser>
          <c:idx val="29"/>
          <c:order val="29"/>
          <c:tx>
            <c:strRef>
              <c:f>results!$A$31</c:f>
              <c:strCache>
                <c:ptCount val="1"/>
                <c:pt idx="0">
                  <c:v>Lamination</c:v>
                </c:pt>
              </c:strCache>
            </c:strRef>
          </c:tx>
          <c:spPr>
            <a:solidFill>
              <a:schemeClr val="accent6">
                <a:lumMod val="60000"/>
                <a:lumOff val="40000"/>
              </a:schemeClr>
            </a:solidFill>
            <a:ln>
              <a:noFill/>
            </a:ln>
            <a:effectLst/>
          </c:spPr>
          <c:invertIfNegative val="0"/>
          <c:cat>
            <c:strRef>
              <c:f>results!$D$1:$X$1</c:f>
              <c:strCache>
                <c:ptCount val="5"/>
                <c:pt idx="3">
                  <c:v>Carbon footprint</c:v>
                </c:pt>
                <c:pt idx="4">
                  <c:v>Primary energy consumption</c:v>
                </c:pt>
              </c:strCache>
            </c:strRef>
          </c:cat>
          <c:val>
            <c:numRef>
              <c:f>results!$D$31:$X$31</c:f>
              <c:numCache>
                <c:formatCode>General</c:formatCode>
                <c:ptCount val="21"/>
                <c:pt idx="3" formatCode="0.00E+00">
                  <c:v>8.8740000070991979E-3</c:v>
                </c:pt>
                <c:pt idx="4" formatCode="0.00E+00">
                  <c:v>0.15614503417741601</c:v>
                </c:pt>
              </c:numCache>
            </c:numRef>
          </c:val>
          <c:extLst>
            <c:ext xmlns:c16="http://schemas.microsoft.com/office/drawing/2014/chart" uri="{C3380CC4-5D6E-409C-BE32-E72D297353CC}">
              <c16:uniqueId val="{00000001-76BE-4A15-848D-643AC76E4FE2}"/>
            </c:ext>
          </c:extLst>
        </c:ser>
        <c:ser>
          <c:idx val="30"/>
          <c:order val="30"/>
          <c:tx>
            <c:strRef>
              <c:f>results!$A$32</c:f>
              <c:strCache>
                <c:ptCount val="1"/>
                <c:pt idx="0">
                  <c:v>Direct emissions</c:v>
                </c:pt>
              </c:strCache>
            </c:strRef>
          </c:tx>
          <c:spPr>
            <a:solidFill>
              <a:schemeClr val="accent1">
                <a:lumMod val="50000"/>
              </a:schemeClr>
            </a:solidFill>
            <a:ln>
              <a:noFill/>
            </a:ln>
            <a:effectLst/>
          </c:spPr>
          <c:invertIfNegative val="0"/>
          <c:cat>
            <c:strRef>
              <c:f>results!$D$1:$X$1</c:f>
              <c:strCache>
                <c:ptCount val="5"/>
                <c:pt idx="3">
                  <c:v>Carbon footprint</c:v>
                </c:pt>
                <c:pt idx="4">
                  <c:v>Primary energy consumption</c:v>
                </c:pt>
              </c:strCache>
            </c:strRef>
          </c:cat>
          <c:val>
            <c:numRef>
              <c:f>results!$D$32:$X$32</c:f>
              <c:numCache>
                <c:formatCode>0.00E+00</c:formatCode>
                <c:ptCount val="21"/>
                <c:pt idx="3">
                  <c:v>0</c:v>
                </c:pt>
                <c:pt idx="4">
                  <c:v>0</c:v>
                </c:pt>
              </c:numCache>
            </c:numRef>
          </c:val>
          <c:extLst>
            <c:ext xmlns:c16="http://schemas.microsoft.com/office/drawing/2014/chart" uri="{C3380CC4-5D6E-409C-BE32-E72D297353CC}">
              <c16:uniqueId val="{00000002-76BE-4A15-848D-643AC76E4FE2}"/>
            </c:ext>
          </c:extLst>
        </c:ser>
        <c:ser>
          <c:idx val="31"/>
          <c:order val="31"/>
          <c:tx>
            <c:strRef>
              <c:f>results!$A$33</c:f>
              <c:strCache>
                <c:ptCount val="1"/>
                <c:pt idx="0">
                  <c:v>Treatment</c:v>
                </c:pt>
              </c:strCache>
            </c:strRef>
          </c:tx>
          <c:spPr>
            <a:solidFill>
              <a:schemeClr val="accent2">
                <a:lumMod val="50000"/>
              </a:schemeClr>
            </a:solidFill>
            <a:ln>
              <a:noFill/>
            </a:ln>
            <a:effectLst/>
          </c:spPr>
          <c:invertIfNegative val="0"/>
          <c:cat>
            <c:strRef>
              <c:f>results!$D$1:$X$1</c:f>
              <c:strCache>
                <c:ptCount val="5"/>
                <c:pt idx="3">
                  <c:v>Carbon footprint</c:v>
                </c:pt>
                <c:pt idx="4">
                  <c:v>Primary energy consumption</c:v>
                </c:pt>
              </c:strCache>
            </c:strRef>
          </c:cat>
          <c:val>
            <c:numRef>
              <c:f>results!$D$33:$X$33</c:f>
              <c:numCache>
                <c:formatCode>0.00E+00</c:formatCode>
                <c:ptCount val="21"/>
                <c:pt idx="3">
                  <c:v>1.2757696199999999E-4</c:v>
                </c:pt>
                <c:pt idx="4">
                  <c:v>1.0661210680980003E-3</c:v>
                </c:pt>
              </c:numCache>
            </c:numRef>
          </c:val>
          <c:extLst>
            <c:ext xmlns:c16="http://schemas.microsoft.com/office/drawing/2014/chart" uri="{C3380CC4-5D6E-409C-BE32-E72D297353CC}">
              <c16:uniqueId val="{00000003-76BE-4A15-848D-643AC76E4FE2}"/>
            </c:ext>
          </c:extLst>
        </c:ser>
        <c:ser>
          <c:idx val="32"/>
          <c:order val="32"/>
          <c:tx>
            <c:strRef>
              <c:f>results!$A$34</c:f>
              <c:strCache>
                <c:ptCount val="1"/>
                <c:pt idx="0">
                  <c:v>End of life</c:v>
                </c:pt>
              </c:strCache>
            </c:strRef>
          </c:tx>
          <c:spPr>
            <a:solidFill>
              <a:schemeClr val="accent3">
                <a:lumMod val="50000"/>
              </a:schemeClr>
            </a:solidFill>
            <a:ln>
              <a:noFill/>
            </a:ln>
            <a:effectLst/>
          </c:spPr>
          <c:invertIfNegative val="0"/>
          <c:cat>
            <c:strRef>
              <c:f>results!$D$1:$X$1</c:f>
              <c:strCache>
                <c:ptCount val="5"/>
                <c:pt idx="3">
                  <c:v>Carbon footprint</c:v>
                </c:pt>
                <c:pt idx="4">
                  <c:v>Primary energy consumption</c:v>
                </c:pt>
              </c:strCache>
            </c:strRef>
          </c:cat>
          <c:val>
            <c:numRef>
              <c:f>results!$D$34:$X$34</c:f>
              <c:numCache>
                <c:formatCode>0.00</c:formatCode>
                <c:ptCount val="21"/>
                <c:pt idx="3">
                  <c:v>0.15919788064941176</c:v>
                </c:pt>
                <c:pt idx="4">
                  <c:v>2.7861990010039213</c:v>
                </c:pt>
              </c:numCache>
            </c:numRef>
          </c:val>
          <c:extLst>
            <c:ext xmlns:c16="http://schemas.microsoft.com/office/drawing/2014/chart" uri="{C3380CC4-5D6E-409C-BE32-E72D297353CC}">
              <c16:uniqueId val="{00000004-76BE-4A15-848D-643AC76E4FE2}"/>
            </c:ext>
          </c:extLst>
        </c:ser>
        <c:dLbls>
          <c:showLegendKey val="0"/>
          <c:showVal val="0"/>
          <c:showCatName val="0"/>
          <c:showSerName val="0"/>
          <c:showPercent val="0"/>
          <c:showBubbleSize val="0"/>
        </c:dLbls>
        <c:gapWidth val="150"/>
        <c:overlap val="100"/>
        <c:axId val="1899062895"/>
        <c:axId val="1909776639"/>
      </c:barChart>
      <c:catAx>
        <c:axId val="18990628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9776639"/>
        <c:crosses val="autoZero"/>
        <c:auto val="1"/>
        <c:lblAlgn val="ctr"/>
        <c:lblOffset val="100"/>
        <c:noMultiLvlLbl val="0"/>
      </c:catAx>
      <c:valAx>
        <c:axId val="1909776639"/>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90628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2D6-46C7-86F6-9E895E6FC76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2D6-46C7-86F6-9E895E6FC76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2D6-46C7-86F6-9E895E6FC76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2D6-46C7-86F6-9E895E6FC76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2D6-46C7-86F6-9E895E6FC76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2D6-46C7-86F6-9E895E6FC76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B2D6-46C7-86F6-9E895E6FC767}"/>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B2D6-46C7-86F6-9E895E6FC76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B2D6-46C7-86F6-9E895E6FC76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B2D6-46C7-86F6-9E895E6FC767}"/>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B2D6-46C7-86F6-9E895E6FC767}"/>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B2D6-46C7-86F6-9E895E6FC767}"/>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B2D6-46C7-86F6-9E895E6FC767}"/>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B2D6-46C7-86F6-9E895E6FC767}"/>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B2D6-46C7-86F6-9E895E6FC767}"/>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B2D6-46C7-86F6-9E895E6FC767}"/>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B2D6-46C7-86F6-9E895E6FC767}"/>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B2D6-46C7-86F6-9E895E6FC767}"/>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FB6C-436E-89E8-437783A44901}"/>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FB6C-436E-89E8-437783A44901}"/>
              </c:ext>
            </c:extLst>
          </c:dPt>
          <c:cat>
            <c:strRef>
              <c:f>results!$A$2:$A$21</c:f>
              <c:strCache>
                <c:ptCount val="20"/>
                <c:pt idx="0">
                  <c:v>ITO glass</c:v>
                </c:pt>
                <c:pt idx="1">
                  <c:v>SnO₂</c:v>
                </c:pt>
                <c:pt idx="2">
                  <c:v>H₂O</c:v>
                </c:pt>
                <c:pt idx="3">
                  <c:v>PbI₂</c:v>
                </c:pt>
                <c:pt idx="4">
                  <c:v>DMF</c:v>
                </c:pt>
                <c:pt idx="5">
                  <c:v>DMSO</c:v>
                </c:pt>
                <c:pt idx="6">
                  <c:v>FAI</c:v>
                </c:pt>
                <c:pt idx="7">
                  <c:v>MABr</c:v>
                </c:pt>
                <c:pt idx="8">
                  <c:v>MACl</c:v>
                </c:pt>
                <c:pt idx="9">
                  <c:v>Isopropanol</c:v>
                </c:pt>
                <c:pt idx="10">
                  <c:v>Spiro-OMeTAD</c:v>
                </c:pt>
                <c:pt idx="11">
                  <c:v>LiTFSI</c:v>
                </c:pt>
                <c:pt idx="12">
                  <c:v>Acetonitrile</c:v>
                </c:pt>
                <c:pt idx="13">
                  <c:v>4-tert Butylpyridine</c:v>
                </c:pt>
                <c:pt idx="14">
                  <c:v>Chlorobenzene</c:v>
                </c:pt>
                <c:pt idx="15">
                  <c:v>Cu</c:v>
                </c:pt>
                <c:pt idx="16">
                  <c:v>Ar</c:v>
                </c:pt>
                <c:pt idx="17">
                  <c:v>O₂</c:v>
                </c:pt>
                <c:pt idx="18">
                  <c:v>Adhesive</c:v>
                </c:pt>
                <c:pt idx="19">
                  <c:v>PET</c:v>
                </c:pt>
              </c:strCache>
            </c:strRef>
          </c:cat>
          <c:val>
            <c:numRef>
              <c:f>results!$C$2:$C$21</c:f>
              <c:numCache>
                <c:formatCode>General</c:formatCode>
                <c:ptCount val="20"/>
                <c:pt idx="0">
                  <c:v>29.222870408888099</c:v>
                </c:pt>
                <c:pt idx="1">
                  <c:v>3.7774549302499995E-2</c:v>
                </c:pt>
                <c:pt idx="2">
                  <c:v>1.2149445721202592E-4</c:v>
                </c:pt>
                <c:pt idx="3">
                  <c:v>5.9957782482828542E-2</c:v>
                </c:pt>
                <c:pt idx="4">
                  <c:v>0.12919759675539927</c:v>
                </c:pt>
                <c:pt idx="5">
                  <c:v>5.9398302219234068E-3</c:v>
                </c:pt>
                <c:pt idx="6">
                  <c:v>0.42337780030357741</c:v>
                </c:pt>
                <c:pt idx="7">
                  <c:v>1.865990772517371</c:v>
                </c:pt>
                <c:pt idx="8">
                  <c:v>2.8340510885295118E-6</c:v>
                </c:pt>
                <c:pt idx="9">
                  <c:v>3.3424294376453116</c:v>
                </c:pt>
                <c:pt idx="10">
                  <c:v>0.51315829357722298</c:v>
                </c:pt>
                <c:pt idx="11">
                  <c:v>2.2981147890881671E-2</c:v>
                </c:pt>
                <c:pt idx="12">
                  <c:v>1.1011636458905816E-2</c:v>
                </c:pt>
                <c:pt idx="13">
                  <c:v>1.8248398073474791E-2</c:v>
                </c:pt>
                <c:pt idx="14">
                  <c:v>0.3158692872487171</c:v>
                </c:pt>
                <c:pt idx="15">
                  <c:v>3.2747443559147528E-2</c:v>
                </c:pt>
                <c:pt idx="16">
                  <c:v>2.6195734909818178</c:v>
                </c:pt>
                <c:pt idx="17">
                  <c:v>1.0469033187490908E-3</c:v>
                </c:pt>
                <c:pt idx="18">
                  <c:v>1.121768096012</c:v>
                </c:pt>
                <c:pt idx="19">
                  <c:v>4.876431431436</c:v>
                </c:pt>
              </c:numCache>
            </c:numRef>
          </c:val>
          <c:extLst>
            <c:ext xmlns:c16="http://schemas.microsoft.com/office/drawing/2014/chart" uri="{C3380CC4-5D6E-409C-BE32-E72D297353CC}">
              <c16:uniqueId val="{00000000-30C0-4DC7-AEF7-8C325808D65F}"/>
            </c:ext>
          </c:extLst>
        </c:ser>
        <c:dLbls>
          <c:showLegendKey val="0"/>
          <c:showVal val="0"/>
          <c:showCatName val="0"/>
          <c:showSerName val="0"/>
          <c:showPercent val="0"/>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C4F-40CD-8682-BC5ED0A0315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C4F-40CD-8682-BC5ED0A0315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C4F-40CD-8682-BC5ED0A0315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C4F-40CD-8682-BC5ED0A0315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C4F-40CD-8682-BC5ED0A0315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C4F-40CD-8682-BC5ED0A0315F}"/>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C4F-40CD-8682-BC5ED0A0315F}"/>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C4F-40CD-8682-BC5ED0A0315F}"/>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C4F-40CD-8682-BC5ED0A0315F}"/>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C4F-40CD-8682-BC5ED0A0315F}"/>
              </c:ext>
            </c:extLst>
          </c:dPt>
          <c:cat>
            <c:strRef>
              <c:f>results!$A$22:$A$31</c:f>
              <c:strCache>
                <c:ptCount val="10"/>
                <c:pt idx="0">
                  <c:v>UV/O₃ cleaning</c:v>
                </c:pt>
                <c:pt idx="1">
                  <c:v>ETL slot-die coating</c:v>
                </c:pt>
                <c:pt idx="2">
                  <c:v>ETL annealing</c:v>
                </c:pt>
                <c:pt idx="3">
                  <c:v>PL 1st-step slot-die coating</c:v>
                </c:pt>
                <c:pt idx="4">
                  <c:v>PL annealing</c:v>
                </c:pt>
                <c:pt idx="5">
                  <c:v>PL 2nd-step slot-die coating</c:v>
                </c:pt>
                <c:pt idx="6">
                  <c:v>PL post-annealing</c:v>
                </c:pt>
                <c:pt idx="7">
                  <c:v>HTL slot-die coating</c:v>
                </c:pt>
                <c:pt idx="8">
                  <c:v>Electrode sputtering</c:v>
                </c:pt>
                <c:pt idx="9">
                  <c:v>Lamination</c:v>
                </c:pt>
              </c:strCache>
            </c:strRef>
          </c:cat>
          <c:val>
            <c:numRef>
              <c:f>results!$C$22:$C$31</c:f>
              <c:numCache>
                <c:formatCode>General</c:formatCode>
                <c:ptCount val="10"/>
                <c:pt idx="0">
                  <c:v>0.28730686288644547</c:v>
                </c:pt>
                <c:pt idx="1">
                  <c:v>0.2602417236290267</c:v>
                </c:pt>
                <c:pt idx="2">
                  <c:v>80.303160434099667</c:v>
                </c:pt>
                <c:pt idx="3">
                  <c:v>0.37177389089860957</c:v>
                </c:pt>
                <c:pt idx="4">
                  <c:v>1.2491602734193281</c:v>
                </c:pt>
                <c:pt idx="5">
                  <c:v>0.37177389089860957</c:v>
                </c:pt>
                <c:pt idx="6">
                  <c:v>40.151580217049833</c:v>
                </c:pt>
                <c:pt idx="7">
                  <c:v>1.7349448241935115</c:v>
                </c:pt>
                <c:pt idx="8">
                  <c:v>79.113483983224114</c:v>
                </c:pt>
                <c:pt idx="9">
                  <c:v>0.15614503417741601</c:v>
                </c:pt>
              </c:numCache>
            </c:numRef>
          </c:val>
          <c:extLst>
            <c:ext xmlns:c16="http://schemas.microsoft.com/office/drawing/2014/chart" uri="{C3380CC4-5D6E-409C-BE32-E72D297353CC}">
              <c16:uniqueId val="{00000000-BF90-43F5-9496-825A84BFD08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A62-47EC-A8A1-862016F9BB0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A62-47EC-A8A1-862016F9BB0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A62-47EC-A8A1-862016F9BB0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A62-47EC-A8A1-862016F9BB0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A62-47EC-A8A1-862016F9BB0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A62-47EC-A8A1-862016F9BB0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A62-47EC-A8A1-862016F9BB03}"/>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A62-47EC-A8A1-862016F9BB03}"/>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A62-47EC-A8A1-862016F9BB03}"/>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A62-47EC-A8A1-862016F9BB03}"/>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1A62-47EC-A8A1-862016F9BB03}"/>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1A62-47EC-A8A1-862016F9BB03}"/>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1A62-47EC-A8A1-862016F9BB03}"/>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1A62-47EC-A8A1-862016F9BB03}"/>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1A62-47EC-A8A1-862016F9BB03}"/>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1A62-47EC-A8A1-862016F9BB03}"/>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1A62-47EC-A8A1-862016F9BB03}"/>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1A62-47EC-A8A1-862016F9BB03}"/>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03DF-40A3-BB8C-E7E20CECFA75}"/>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03DF-40A3-BB8C-E7E20CECFA75}"/>
              </c:ext>
            </c:extLst>
          </c:dPt>
          <c:cat>
            <c:strRef>
              <c:f>results!$A$2:$A$21</c:f>
              <c:strCache>
                <c:ptCount val="20"/>
                <c:pt idx="0">
                  <c:v>ITO glass</c:v>
                </c:pt>
                <c:pt idx="1">
                  <c:v>SnO₂</c:v>
                </c:pt>
                <c:pt idx="2">
                  <c:v>H₂O</c:v>
                </c:pt>
                <c:pt idx="3">
                  <c:v>PbI₂</c:v>
                </c:pt>
                <c:pt idx="4">
                  <c:v>DMF</c:v>
                </c:pt>
                <c:pt idx="5">
                  <c:v>DMSO</c:v>
                </c:pt>
                <c:pt idx="6">
                  <c:v>FAI</c:v>
                </c:pt>
                <c:pt idx="7">
                  <c:v>MABr</c:v>
                </c:pt>
                <c:pt idx="8">
                  <c:v>MACl</c:v>
                </c:pt>
                <c:pt idx="9">
                  <c:v>Isopropanol</c:v>
                </c:pt>
                <c:pt idx="10">
                  <c:v>Spiro-OMeTAD</c:v>
                </c:pt>
                <c:pt idx="11">
                  <c:v>LiTFSI</c:v>
                </c:pt>
                <c:pt idx="12">
                  <c:v>Acetonitrile</c:v>
                </c:pt>
                <c:pt idx="13">
                  <c:v>4-tert Butylpyridine</c:v>
                </c:pt>
                <c:pt idx="14">
                  <c:v>Chlorobenzene</c:v>
                </c:pt>
                <c:pt idx="15">
                  <c:v>Cu</c:v>
                </c:pt>
                <c:pt idx="16">
                  <c:v>Ar</c:v>
                </c:pt>
                <c:pt idx="17">
                  <c:v>O₂</c:v>
                </c:pt>
                <c:pt idx="18">
                  <c:v>Adhesive</c:v>
                </c:pt>
                <c:pt idx="19">
                  <c:v>PET</c:v>
                </c:pt>
              </c:strCache>
            </c:strRef>
          </c:cat>
          <c:val>
            <c:numRef>
              <c:f>results!$B$2:$B$21</c:f>
              <c:numCache>
                <c:formatCode>General</c:formatCode>
                <c:ptCount val="20"/>
                <c:pt idx="0">
                  <c:v>1.6837863429999995</c:v>
                </c:pt>
                <c:pt idx="1">
                  <c:v>2.4568249999999997E-3</c:v>
                </c:pt>
                <c:pt idx="2">
                  <c:v>8.8302478460674152E-6</c:v>
                </c:pt>
                <c:pt idx="3">
                  <c:v>5.0422090564514258E-3</c:v>
                </c:pt>
                <c:pt idx="4">
                  <c:v>4.7500373710823293E-3</c:v>
                </c:pt>
                <c:pt idx="5">
                  <c:v>1.2872013029725408E-4</c:v>
                </c:pt>
                <c:pt idx="6">
                  <c:v>2.3900391307546311E-2</c:v>
                </c:pt>
                <c:pt idx="7">
                  <c:v>0.10592670348814012</c:v>
                </c:pt>
                <c:pt idx="8">
                  <c:v>1.5715091537824337E-7</c:v>
                </c:pt>
                <c:pt idx="9">
                  <c:v>0.10111823698954497</c:v>
                </c:pt>
                <c:pt idx="10">
                  <c:v>3.1854997688690531E-2</c:v>
                </c:pt>
                <c:pt idx="11">
                  <c:v>1.4649900522011319E-3</c:v>
                </c:pt>
                <c:pt idx="12">
                  <c:v>4.0681139631535285E-4</c:v>
                </c:pt>
                <c:pt idx="13">
                  <c:v>1.1128396373775934E-3</c:v>
                </c:pt>
                <c:pt idx="14">
                  <c:v>1.3047440743568469E-2</c:v>
                </c:pt>
                <c:pt idx="15">
                  <c:v>2.2772929536000004E-3</c:v>
                </c:pt>
                <c:pt idx="16">
                  <c:v>0.17435194181818181</c:v>
                </c:pt>
                <c:pt idx="17">
                  <c:v>7.6841745454545455E-5</c:v>
                </c:pt>
                <c:pt idx="18">
                  <c:v>5.8513339999999997E-2</c:v>
                </c:pt>
                <c:pt idx="19">
                  <c:v>0.19433649</c:v>
                </c:pt>
              </c:numCache>
            </c:numRef>
          </c:val>
          <c:extLst>
            <c:ext xmlns:c16="http://schemas.microsoft.com/office/drawing/2014/chart" uri="{C3380CC4-5D6E-409C-BE32-E72D297353CC}">
              <c16:uniqueId val="{00000000-F6B3-4960-9D50-346C9CB0D0CB}"/>
            </c:ext>
          </c:extLst>
        </c:ser>
        <c:dLbls>
          <c:showLegendKey val="0"/>
          <c:showVal val="0"/>
          <c:showCatName val="0"/>
          <c:showSerName val="0"/>
          <c:showPercent val="0"/>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19050</xdr:colOff>
          <xdr:row>6</xdr:row>
          <xdr:rowOff>161925</xdr:rowOff>
        </xdr:from>
        <xdr:to>
          <xdr:col>4</xdr:col>
          <xdr:colOff>876300</xdr:colOff>
          <xdr:row>9</xdr:row>
          <xdr:rowOff>9525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Ideal recycling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0</xdr:row>
          <xdr:rowOff>161925</xdr:rowOff>
        </xdr:from>
        <xdr:to>
          <xdr:col>4</xdr:col>
          <xdr:colOff>866775</xdr:colOff>
          <xdr:row>3</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No recycling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171450</xdr:rowOff>
        </xdr:from>
        <xdr:to>
          <xdr:col>4</xdr:col>
          <xdr:colOff>866775</xdr:colOff>
          <xdr:row>6</xdr:row>
          <xdr:rowOff>38100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Norminal recycling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85725</xdr:colOff>
      <xdr:row>1</xdr:row>
      <xdr:rowOff>190500</xdr:rowOff>
    </xdr:from>
    <xdr:to>
      <xdr:col>23</xdr:col>
      <xdr:colOff>558117</xdr:colOff>
      <xdr:row>16</xdr:row>
      <xdr:rowOff>0</xdr:rowOff>
    </xdr:to>
    <xdr:graphicFrame macro="">
      <xdr:nvGraphicFramePr>
        <xdr:cNvPr id="2" name="Chart 38">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66675</xdr:colOff>
      <xdr:row>16</xdr:row>
      <xdr:rowOff>180975</xdr:rowOff>
    </xdr:from>
    <xdr:to>
      <xdr:col>23</xdr:col>
      <xdr:colOff>539067</xdr:colOff>
      <xdr:row>31</xdr:row>
      <xdr:rowOff>57150</xdr:rowOff>
    </xdr:to>
    <xdr:graphicFrame macro="">
      <xdr:nvGraphicFramePr>
        <xdr:cNvPr id="3" name="Chart 43">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171450</xdr:colOff>
      <xdr:row>43</xdr:row>
      <xdr:rowOff>95250</xdr:rowOff>
    </xdr:from>
    <xdr:to>
      <xdr:col>13</xdr:col>
      <xdr:colOff>381000</xdr:colOff>
      <xdr:row>73</xdr:row>
      <xdr:rowOff>57150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581025</xdr:colOff>
      <xdr:row>38</xdr:row>
      <xdr:rowOff>104775</xdr:rowOff>
    </xdr:from>
    <xdr:to>
      <xdr:col>18</xdr:col>
      <xdr:colOff>228600</xdr:colOff>
      <xdr:row>49</xdr:row>
      <xdr:rowOff>147637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666750</xdr:colOff>
      <xdr:row>50</xdr:row>
      <xdr:rowOff>152400</xdr:rowOff>
    </xdr:from>
    <xdr:to>
      <xdr:col>18</xdr:col>
      <xdr:colOff>314325</xdr:colOff>
      <xdr:row>62</xdr:row>
      <xdr:rowOff>4762</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457200</xdr:colOff>
      <xdr:row>38</xdr:row>
      <xdr:rowOff>171450</xdr:rowOff>
    </xdr:from>
    <xdr:to>
      <xdr:col>22</xdr:col>
      <xdr:colOff>285750</xdr:colOff>
      <xdr:row>50</xdr:row>
      <xdr:rowOff>23812</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anabi/Desktop/1_Perovskite_20180226/LCI%20for%20key%20components/Recycling/Other%20inventory.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Hanabi/Desktop/1_Perovskite_20180226/LCI%20for%20key%20components/Recycling/0_Raw%20materials.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Hanabi/Desktop/1_Perovskite_20180226/LCI%20for%20key%20components/Recycling/6_FAI%20pro.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Hanabi/Desktop/1_Perovskite_20180226/LCI%20for%20key%20components/Recycling/7_MABr.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Hanabi/Desktop/1_Perovskite_20180226/LCI%20for%20key%20components/Recycling/0_Raw%20materials-updated.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Hanabi/Desktop/1_Perovskite_20180226/LCI%20for%20key%20components/Recycling/2_LiTFSI.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bI2"/>
      <sheetName val="CH3NH3I"/>
      <sheetName val="FTO glass"/>
      <sheetName val="ITO glass"/>
      <sheetName val="BL-TiO2 ink"/>
      <sheetName val="spiro-OMeTAD"/>
      <sheetName val="C60"/>
      <sheetName val="PCBM_old"/>
      <sheetName val="PCBM_new"/>
      <sheetName val="PCBM"/>
      <sheetName val="Thiophene"/>
      <sheetName val="PEDOT PSS"/>
    </sheetNames>
    <sheetDataSet>
      <sheetData sheetId="0">
        <row r="18">
          <cell r="D18">
            <v>4.5641478346943822</v>
          </cell>
          <cell r="E18">
            <v>0</v>
          </cell>
          <cell r="F18">
            <v>0</v>
          </cell>
          <cell r="G18">
            <v>0</v>
          </cell>
          <cell r="H18">
            <v>0</v>
          </cell>
          <cell r="I18">
            <v>0</v>
          </cell>
          <cell r="J18">
            <v>0</v>
          </cell>
          <cell r="K18">
            <v>0</v>
          </cell>
          <cell r="L18">
            <v>0</v>
          </cell>
          <cell r="M18">
            <v>54.273073573167295</v>
          </cell>
          <cell r="N18">
            <v>1.0468647769178421</v>
          </cell>
          <cell r="O18">
            <v>3.8979307535263539</v>
          </cell>
          <cell r="P18">
            <v>1.0346162212323682</v>
          </cell>
          <cell r="Q18">
            <v>7.1263336550358825E-2</v>
          </cell>
          <cell r="R18">
            <v>1.9784839253897545E-3</v>
          </cell>
          <cell r="S18">
            <v>155.93446269487751</v>
          </cell>
          <cell r="T18">
            <v>0.19160131588715665</v>
          </cell>
          <cell r="U18">
            <v>78.202403056174219</v>
          </cell>
          <cell r="V18">
            <v>5.15849037985647E-3</v>
          </cell>
          <cell r="W18">
            <v>0.63220118225686706</v>
          </cell>
          <cell r="X18">
            <v>6.6310885300668149E-4</v>
          </cell>
          <cell r="Y18">
            <v>4.462579856471171E-7</v>
          </cell>
          <cell r="Z18">
            <v>1.1047205555555552E-2</v>
          </cell>
          <cell r="AA18">
            <v>1.554942625587726E-2</v>
          </cell>
          <cell r="AB18">
            <v>3.125296795347686E-2</v>
          </cell>
          <cell r="AC18">
            <v>5.3766239785944065E-3</v>
          </cell>
          <cell r="AD18">
            <v>4.0204006328878987E-2</v>
          </cell>
          <cell r="AE18">
            <v>1.1739803605543183E-2</v>
          </cell>
          <cell r="AF18">
            <v>0.19118482430091563</v>
          </cell>
          <cell r="AG18">
            <v>1.2205381316505814</v>
          </cell>
          <cell r="AH18">
            <v>0.15340474263796092</v>
          </cell>
        </row>
      </sheetData>
      <sheetData sheetId="1">
        <row r="17">
          <cell r="D17">
            <v>161.5361359123435</v>
          </cell>
        </row>
      </sheetData>
      <sheetData sheetId="2">
        <row r="41">
          <cell r="D41">
            <v>0.6900927939999999</v>
          </cell>
        </row>
      </sheetData>
      <sheetData sheetId="3">
        <row r="14">
          <cell r="D14">
            <v>16.837863429999999</v>
          </cell>
          <cell r="E14">
            <v>0</v>
          </cell>
          <cell r="F14">
            <v>0</v>
          </cell>
          <cell r="G14">
            <v>0</v>
          </cell>
          <cell r="H14">
            <v>0</v>
          </cell>
          <cell r="I14">
            <v>0</v>
          </cell>
          <cell r="J14">
            <v>0</v>
          </cell>
          <cell r="K14">
            <v>0</v>
          </cell>
          <cell r="L14">
            <v>0</v>
          </cell>
          <cell r="M14">
            <v>292.22870408888105</v>
          </cell>
          <cell r="N14">
            <v>5.4035999599999995E-2</v>
          </cell>
          <cell r="O14">
            <v>15.863857979999999</v>
          </cell>
          <cell r="P14">
            <v>6.8711502629999996</v>
          </cell>
          <cell r="Q14">
            <v>8.2522552700000001E-2</v>
          </cell>
          <cell r="R14">
            <v>1.0550032339999998E-3</v>
          </cell>
          <cell r="S14">
            <v>165.51815009999999</v>
          </cell>
          <cell r="T14">
            <v>0.16734019</v>
          </cell>
          <cell r="U14">
            <v>66.525372399999995</v>
          </cell>
          <cell r="V14">
            <v>1.5045233709999998E-2</v>
          </cell>
          <cell r="W14">
            <v>0.64124742970000004</v>
          </cell>
          <cell r="X14">
            <v>2.6055490222000001E-3</v>
          </cell>
          <cell r="Y14">
            <v>1.3754312987000001E-6</v>
          </cell>
          <cell r="Z14">
            <v>1.994535221E-2</v>
          </cell>
          <cell r="AA14">
            <v>4.8864307230000001E-2</v>
          </cell>
          <cell r="AB14">
            <v>7.2168691110000002E-2</v>
          </cell>
          <cell r="AC14">
            <v>7.877002793E-3</v>
          </cell>
          <cell r="AD14">
            <v>1.5844954200000001E-2</v>
          </cell>
          <cell r="AE14">
            <v>1.0150023860000001E-2</v>
          </cell>
          <cell r="AF14">
            <v>0.48907124690000003</v>
          </cell>
          <cell r="AG14">
            <v>1.723918898</v>
          </cell>
          <cell r="AH14">
            <v>0.8537033906</v>
          </cell>
        </row>
      </sheetData>
      <sheetData sheetId="4">
        <row r="14">
          <cell r="D14">
            <v>1.816623717028</v>
          </cell>
        </row>
      </sheetData>
      <sheetData sheetId="5">
        <row r="33">
          <cell r="D33">
            <v>121.5468471027569</v>
          </cell>
          <cell r="E33">
            <v>0</v>
          </cell>
          <cell r="F33">
            <v>0</v>
          </cell>
          <cell r="G33">
            <v>0</v>
          </cell>
          <cell r="H33">
            <v>0</v>
          </cell>
          <cell r="I33">
            <v>0</v>
          </cell>
          <cell r="J33">
            <v>0</v>
          </cell>
          <cell r="K33">
            <v>0</v>
          </cell>
          <cell r="L33">
            <v>0</v>
          </cell>
          <cell r="M33">
            <v>1958.021571952163</v>
          </cell>
          <cell r="N33">
            <v>29.767093973383464</v>
          </cell>
          <cell r="O33">
            <v>109.87499824561404</v>
          </cell>
          <cell r="P33">
            <v>35.465421288220554</v>
          </cell>
          <cell r="Q33">
            <v>7.4221536900250635</v>
          </cell>
          <cell r="R33">
            <v>0.12792126052481204</v>
          </cell>
          <cell r="S33">
            <v>6548.1155303258156</v>
          </cell>
          <cell r="T33">
            <v>11.179426375939849</v>
          </cell>
          <cell r="U33">
            <v>5537.7356836591489</v>
          </cell>
          <cell r="V33">
            <v>0.12301502522305767</v>
          </cell>
          <cell r="W33">
            <v>5.0502886230576465</v>
          </cell>
          <cell r="X33">
            <v>9.585345859649123E-3</v>
          </cell>
          <cell r="Y33">
            <v>1.0339000486716796E-5</v>
          </cell>
          <cell r="Z33">
            <v>0.62014124886215527</v>
          </cell>
          <cell r="AA33">
            <v>0.43767035669172932</v>
          </cell>
          <cell r="AB33">
            <v>0.59866097528822071</v>
          </cell>
          <cell r="AC33">
            <v>0.12409401888220552</v>
          </cell>
          <cell r="AD33">
            <v>1.6249439223558895</v>
          </cell>
          <cell r="AE33">
            <v>0.36095372982456142</v>
          </cell>
          <cell r="AF33">
            <v>6.3790381538847116</v>
          </cell>
          <cell r="AG33">
            <v>49.986884340350883</v>
          </cell>
          <cell r="AH33">
            <v>4.4870217719298244</v>
          </cell>
        </row>
      </sheetData>
      <sheetData sheetId="6"/>
      <sheetData sheetId="7"/>
      <sheetData sheetId="8">
        <row r="16">
          <cell r="D16">
            <v>681.91697298744145</v>
          </cell>
        </row>
      </sheetData>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duction"/>
      <sheetName val="production-alphabetical"/>
      <sheetName val="production-alphabetical (2)"/>
      <sheetName val="production-alphabetical (3)"/>
      <sheetName val="direct emissions"/>
      <sheetName val="Jian's"/>
    </sheetNames>
    <sheetDataSet>
      <sheetData sheetId="0">
        <row r="3">
          <cell r="D3">
            <v>2.4752999999999998</v>
          </cell>
        </row>
        <row r="7">
          <cell r="D7">
            <v>0.70992</v>
          </cell>
          <cell r="E7">
            <v>5.7651999999999998E-3</v>
          </cell>
          <cell r="F7">
            <v>12.423999999999999</v>
          </cell>
          <cell r="G7">
            <v>4.0747E-4</v>
          </cell>
          <cell r="H7">
            <v>4.2870999999999999E-2</v>
          </cell>
          <cell r="I7">
            <v>4.6647999999999998E-5</v>
          </cell>
          <cell r="J7">
            <v>2.8061999999999999E-6</v>
          </cell>
          <cell r="K7">
            <v>1.6684999999999998E-2</v>
          </cell>
          <cell r="L7">
            <v>1.8246E-3</v>
          </cell>
          <cell r="M7">
            <v>12.491602724200002</v>
          </cell>
          <cell r="N7">
            <v>8.1276999999999999E-4</v>
          </cell>
          <cell r="O7">
            <v>0.66998999999999997</v>
          </cell>
          <cell r="P7">
            <v>0.2959</v>
          </cell>
          <cell r="Q7">
            <v>2.5509999999999999E-3</v>
          </cell>
          <cell r="R7">
            <v>1.2449000000000001E-5</v>
          </cell>
          <cell r="S7">
            <v>5.2184999999999997</v>
          </cell>
          <cell r="T7">
            <v>4.2230000000000002E-3</v>
          </cell>
          <cell r="U7">
            <v>1.5693999999999999</v>
          </cell>
          <cell r="V7">
            <v>6.1474999999999995E-4</v>
          </cell>
          <cell r="W7">
            <v>2.9989999999999999E-3</v>
          </cell>
          <cell r="X7">
            <v>1.1035E-4</v>
          </cell>
          <cell r="Y7">
            <v>5.9294000000000001E-8</v>
          </cell>
          <cell r="Z7">
            <v>7.4861999999999997E-4</v>
          </cell>
          <cell r="AA7">
            <v>2.0135999999999999E-3</v>
          </cell>
          <cell r="AB7">
            <v>2.8999999999999998E-3</v>
          </cell>
          <cell r="AC7">
            <v>5.1903000000000001E-5</v>
          </cell>
          <cell r="AD7">
            <v>3.2011000000000002E-4</v>
          </cell>
          <cell r="AE7">
            <v>8.0185999999999994E-5</v>
          </cell>
          <cell r="AF7">
            <v>1.9613999999999999E-2</v>
          </cell>
          <cell r="AG7">
            <v>6.0482000000000001E-2</v>
          </cell>
          <cell r="AH7">
            <v>3.5621E-2</v>
          </cell>
        </row>
        <row r="34">
          <cell r="D34">
            <v>3.2427000000000001</v>
          </cell>
          <cell r="E34">
            <v>0.82776000000000005</v>
          </cell>
          <cell r="F34">
            <v>72.725999999999999</v>
          </cell>
          <cell r="G34">
            <v>3.2899999999999999E-2</v>
          </cell>
          <cell r="H34">
            <v>3.5541</v>
          </cell>
          <cell r="I34">
            <v>3.4236000000000002E-3</v>
          </cell>
          <cell r="J34">
            <v>8.2370000000000002E-4</v>
          </cell>
          <cell r="K34">
            <v>1.2222</v>
          </cell>
          <cell r="L34">
            <v>0.13625999999999999</v>
          </cell>
          <cell r="M34">
            <v>78.503467299999997</v>
          </cell>
          <cell r="N34">
            <v>0.11455</v>
          </cell>
          <cell r="O34">
            <v>2.7587000000000002</v>
          </cell>
          <cell r="P34">
            <v>1.7338</v>
          </cell>
          <cell r="Q34">
            <v>0.10091</v>
          </cell>
          <cell r="R34">
            <v>1.325E-3</v>
          </cell>
          <cell r="S34">
            <v>50.4</v>
          </cell>
          <cell r="T34">
            <v>0.1552</v>
          </cell>
          <cell r="U34">
            <v>41.045000000000002</v>
          </cell>
          <cell r="V34">
            <v>2.7309999999999999E-3</v>
          </cell>
          <cell r="W34">
            <v>0.13256000000000001</v>
          </cell>
          <cell r="X34">
            <v>2.5385000000000002E-4</v>
          </cell>
          <cell r="Y34">
            <v>7.1116999999999998E-7</v>
          </cell>
          <cell r="Z34">
            <v>8.2673999999999994E-3</v>
          </cell>
          <cell r="AA34">
            <v>2.1946E-2</v>
          </cell>
          <cell r="AB34">
            <v>1.4785E-2</v>
          </cell>
          <cell r="AC34">
            <v>1.9043E-3</v>
          </cell>
          <cell r="AD34">
            <v>2.7025E-2</v>
          </cell>
          <cell r="AE34">
            <v>8.4682999999999998E-3</v>
          </cell>
          <cell r="AF34">
            <v>0.12331</v>
          </cell>
          <cell r="AG34">
            <v>0.46032000000000001</v>
          </cell>
          <cell r="AH34">
            <v>0.21404999999999999</v>
          </cell>
        </row>
        <row r="71">
          <cell r="D71">
            <v>4.0795000000000003</v>
          </cell>
          <cell r="E71">
            <v>0.53337999999999997</v>
          </cell>
          <cell r="F71">
            <v>106.55</v>
          </cell>
          <cell r="G71">
            <v>1.0839E-2</v>
          </cell>
          <cell r="H71">
            <v>2.7650999999999999</v>
          </cell>
          <cell r="I71">
            <v>1.3423E-3</v>
          </cell>
          <cell r="J71">
            <v>1.4137000000000001E-4</v>
          </cell>
          <cell r="K71">
            <v>0.52132000000000001</v>
          </cell>
          <cell r="L71">
            <v>4.2441E-2</v>
          </cell>
          <cell r="M71">
            <v>110.42456367</v>
          </cell>
          <cell r="N71">
            <v>6.1492999999999999E-2</v>
          </cell>
          <cell r="O71">
            <v>3.6772999999999998</v>
          </cell>
          <cell r="P71">
            <v>2.5369000000000002</v>
          </cell>
          <cell r="Q71">
            <v>1.7544000000000001E-2</v>
          </cell>
          <cell r="R71">
            <v>4.2855999999999998E-4</v>
          </cell>
          <cell r="S71">
            <v>28.675000000000001</v>
          </cell>
          <cell r="T71">
            <v>8.8314000000000004E-2</v>
          </cell>
          <cell r="U71">
            <v>22.437999999999999</v>
          </cell>
          <cell r="V71">
            <v>1.6815E-2</v>
          </cell>
          <cell r="W71">
            <v>0.10779</v>
          </cell>
          <cell r="X71">
            <v>4.1534999999999999E-4</v>
          </cell>
          <cell r="Y71">
            <v>1.9926E-7</v>
          </cell>
          <cell r="Z71">
            <v>6.2411000000000003E-3</v>
          </cell>
          <cell r="AA71">
            <v>9.4280000000000006E-3</v>
          </cell>
          <cell r="AB71">
            <v>2.6443999999999999E-2</v>
          </cell>
          <cell r="AC71">
            <v>2.4615000000000001E-3</v>
          </cell>
          <cell r="AD71">
            <v>9.8277999999999994E-3</v>
          </cell>
          <cell r="AE71">
            <v>9.4646999999999995E-3</v>
          </cell>
          <cell r="AF71">
            <v>0.12259</v>
          </cell>
          <cell r="AG71">
            <v>0.33853</v>
          </cell>
          <cell r="AH71">
            <v>0.30918000000000001</v>
          </cell>
        </row>
        <row r="72">
          <cell r="D72">
            <v>11.087</v>
          </cell>
          <cell r="E72">
            <v>4.1803999999999997</v>
          </cell>
          <cell r="F72">
            <v>156.47</v>
          </cell>
          <cell r="G72">
            <v>0.18246000000000001</v>
          </cell>
          <cell r="H72">
            <v>13.781000000000001</v>
          </cell>
          <cell r="I72">
            <v>1.8915999999999999E-2</v>
          </cell>
          <cell r="J72">
            <v>1.505E-3</v>
          </cell>
          <cell r="K72">
            <v>6.4127999999999998</v>
          </cell>
          <cell r="L72">
            <v>0.75807999999999998</v>
          </cell>
          <cell r="M72">
            <v>181.805161</v>
          </cell>
          <cell r="N72">
            <v>0.61707999999999996</v>
          </cell>
          <cell r="O72">
            <v>10.166</v>
          </cell>
          <cell r="P72">
            <v>3.73</v>
          </cell>
          <cell r="Q72">
            <v>0.14452999999999999</v>
          </cell>
          <cell r="R72">
            <v>4.7632000000000004E-3</v>
          </cell>
          <cell r="S72">
            <v>215.25</v>
          </cell>
          <cell r="T72">
            <v>0.89961000000000002</v>
          </cell>
          <cell r="U72">
            <v>169.91</v>
          </cell>
          <cell r="V72">
            <v>1.2493000000000001E-2</v>
          </cell>
          <cell r="W72">
            <v>0.67508000000000001</v>
          </cell>
          <cell r="X72">
            <v>1.4947000000000001E-3</v>
          </cell>
          <cell r="Y72">
            <v>2.8059999999999999E-6</v>
          </cell>
          <cell r="Z72">
            <v>2.8736000000000001E-2</v>
          </cell>
          <cell r="AA72">
            <v>3.1737000000000001E-2</v>
          </cell>
          <cell r="AB72">
            <v>5.6224999999999997E-2</v>
          </cell>
          <cell r="AC72">
            <v>1.0362E-2</v>
          </cell>
          <cell r="AD72">
            <v>9.0798000000000004E-2</v>
          </cell>
          <cell r="AE72">
            <v>3.2612000000000002E-2</v>
          </cell>
          <cell r="AF72">
            <v>0.45911000000000002</v>
          </cell>
          <cell r="AG72">
            <v>1.8869</v>
          </cell>
          <cell r="AH72">
            <v>0.47855999999999999</v>
          </cell>
        </row>
        <row r="74">
          <cell r="D74">
            <v>1.7427E-3</v>
          </cell>
          <cell r="E74">
            <v>5.5787999999999996E-4</v>
          </cell>
          <cell r="F74">
            <v>1.9323E-2</v>
          </cell>
          <cell r="G74">
            <v>4.1117E-5</v>
          </cell>
          <cell r="H74">
            <v>2.5214E-3</v>
          </cell>
          <cell r="I74">
            <v>4.0446999999999996E-6</v>
          </cell>
          <cell r="J74">
            <v>8.8545999999999999E-7</v>
          </cell>
          <cell r="K74">
            <v>1.3761999999999999E-3</v>
          </cell>
          <cell r="L74">
            <v>1.5310000000000001E-4</v>
          </cell>
          <cell r="M74">
            <v>2.3977627160000001E-2</v>
          </cell>
          <cell r="N74">
            <v>8.0226000000000001E-5</v>
          </cell>
          <cell r="O74">
            <v>1.603E-3</v>
          </cell>
          <cell r="P74">
            <v>4.6108999999999999E-4</v>
          </cell>
          <cell r="Q74">
            <v>2.4029E-5</v>
          </cell>
          <cell r="R74">
            <v>8.5155000000000003E-7</v>
          </cell>
          <cell r="S74">
            <v>3.1862000000000001E-2</v>
          </cell>
          <cell r="T74">
            <v>1.739E-4</v>
          </cell>
          <cell r="U74">
            <v>2.7362999999999998E-2</v>
          </cell>
          <cell r="V74">
            <v>1.7167E-6</v>
          </cell>
          <cell r="W74">
            <v>1.1456E-4</v>
          </cell>
          <cell r="X74">
            <v>2.2113E-7</v>
          </cell>
          <cell r="Y74">
            <v>7.3037000000000003E-10</v>
          </cell>
          <cell r="Z74">
            <v>5.7030000000000003E-6</v>
          </cell>
          <cell r="AA74">
            <v>4.9044E-6</v>
          </cell>
          <cell r="AB74">
            <v>8.8248000000000006E-6</v>
          </cell>
          <cell r="AC74">
            <v>1.4250999999999999E-6</v>
          </cell>
          <cell r="AD74">
            <v>1.5262000000000001E-5</v>
          </cell>
          <cell r="AE74">
            <v>1.3097E-3</v>
          </cell>
          <cell r="AF74">
            <v>7.5106999999999998E-5</v>
          </cell>
          <cell r="AG74">
            <v>2.8687E-4</v>
          </cell>
          <cell r="AH74">
            <v>6.0606000000000002E-5</v>
          </cell>
        </row>
        <row r="75">
          <cell r="D75">
            <v>2.8612000000000002</v>
          </cell>
          <cell r="E75">
            <v>0.77027999999999996</v>
          </cell>
          <cell r="F75">
            <v>73.102999999999994</v>
          </cell>
          <cell r="G75">
            <v>3.4793999999999999E-2</v>
          </cell>
          <cell r="H75">
            <v>2.5186999999999999</v>
          </cell>
          <cell r="I75">
            <v>3.7307999999999998E-3</v>
          </cell>
          <cell r="J75">
            <v>3.5531000000000001E-4</v>
          </cell>
          <cell r="K75">
            <v>1.2466999999999999</v>
          </cell>
          <cell r="L75">
            <v>0.14502000000000001</v>
          </cell>
          <cell r="M75">
            <v>77.822580110000004</v>
          </cell>
          <cell r="N75">
            <v>0.11645</v>
          </cell>
          <cell r="O75">
            <v>2.5897999999999999</v>
          </cell>
          <cell r="P75">
            <v>1.7415</v>
          </cell>
          <cell r="Q75">
            <v>3.6441000000000001E-2</v>
          </cell>
          <cell r="R75">
            <v>9.8305000000000007E-4</v>
          </cell>
          <cell r="S75">
            <v>59.360999999999997</v>
          </cell>
          <cell r="T75">
            <v>0.25631999999999999</v>
          </cell>
          <cell r="U75">
            <v>38.563000000000002</v>
          </cell>
          <cell r="V75">
            <v>1.2496999999999999E-2</v>
          </cell>
          <cell r="W75">
            <v>0.16675999999999999</v>
          </cell>
          <cell r="X75">
            <v>1.0935000000000001E-3</v>
          </cell>
          <cell r="Y75">
            <v>5.2045000000000003E-7</v>
          </cell>
          <cell r="Z75">
            <v>7.2179000000000002E-3</v>
          </cell>
          <cell r="AA75">
            <v>8.7553000000000006E-3</v>
          </cell>
          <cell r="AB75">
            <v>1.839E-2</v>
          </cell>
          <cell r="AC75">
            <v>1.839E-2</v>
          </cell>
          <cell r="AD75">
            <v>2.2100999999999999E-2</v>
          </cell>
          <cell r="AE75">
            <v>7.7352999999999996E-3</v>
          </cell>
          <cell r="AF75">
            <v>0.11523</v>
          </cell>
          <cell r="AG75">
            <v>0.51175000000000004</v>
          </cell>
          <cell r="AH75">
            <v>0.21654000000000001</v>
          </cell>
        </row>
        <row r="104">
          <cell r="D104">
            <v>1.2696000000000001</v>
          </cell>
          <cell r="E104">
            <v>0.35569000000000001</v>
          </cell>
          <cell r="F104">
            <v>54.732999999999997</v>
          </cell>
          <cell r="G104">
            <v>1.5937E-2</v>
          </cell>
          <cell r="H104">
            <v>2.7120000000000002</v>
          </cell>
          <cell r="I104">
            <v>6.4032E-4</v>
          </cell>
          <cell r="J104">
            <v>6.8732999999999999E-4</v>
          </cell>
          <cell r="K104">
            <v>0.57882999999999996</v>
          </cell>
          <cell r="L104">
            <v>0.1893</v>
          </cell>
          <cell r="M104">
            <v>58.586084650000004</v>
          </cell>
          <cell r="N104">
            <v>5.4158999999999999E-2</v>
          </cell>
          <cell r="O104">
            <v>1.0815999999999999</v>
          </cell>
          <cell r="P104">
            <v>1.3033999999999999</v>
          </cell>
          <cell r="Q104">
            <v>2.2741000000000001E-2</v>
          </cell>
          <cell r="R104">
            <v>5.0582999999999997E-4</v>
          </cell>
          <cell r="S104">
            <v>33.625</v>
          </cell>
          <cell r="T104">
            <v>0.18521000000000001</v>
          </cell>
          <cell r="U104">
            <v>19.648</v>
          </cell>
          <cell r="V104">
            <v>9.9444000000000008E-4</v>
          </cell>
          <cell r="W104">
            <v>0.10894</v>
          </cell>
          <cell r="X104">
            <v>5.6817E-4</v>
          </cell>
          <cell r="Y104">
            <v>3.1627000000000001E-7</v>
          </cell>
          <cell r="Z104">
            <v>1.7206000000000001E-3</v>
          </cell>
          <cell r="AA104">
            <v>3.9411999999999997E-3</v>
          </cell>
          <cell r="AB104">
            <v>5.1390999999999997E-3</v>
          </cell>
          <cell r="AC104">
            <v>9.7420000000000004E-4</v>
          </cell>
          <cell r="AD104">
            <v>9.5762E-3</v>
          </cell>
          <cell r="AE104">
            <v>3.8428999999999998E-3</v>
          </cell>
          <cell r="AF104">
            <v>4.9723000000000003E-2</v>
          </cell>
          <cell r="AG104">
            <v>0.27034000000000002</v>
          </cell>
          <cell r="AH104">
            <v>0.16134000000000001</v>
          </cell>
        </row>
        <row r="105">
          <cell r="D105">
            <v>17.675000000000001</v>
          </cell>
          <cell r="E105">
            <v>4.3173000000000004</v>
          </cell>
          <cell r="F105">
            <v>210.01</v>
          </cell>
          <cell r="G105">
            <v>0.42392000000000002</v>
          </cell>
          <cell r="H105">
            <v>40.491999999999997</v>
          </cell>
          <cell r="I105">
            <v>1.4853999999999999E-2</v>
          </cell>
          <cell r="J105">
            <v>2.1735000000000001E-3</v>
          </cell>
          <cell r="K105">
            <v>13.398999999999999</v>
          </cell>
          <cell r="L105">
            <v>3.1000999999999999</v>
          </cell>
          <cell r="M105">
            <v>271.75934749999999</v>
          </cell>
          <cell r="N105">
            <v>0.60296000000000005</v>
          </cell>
          <cell r="O105">
            <v>16.562000000000001</v>
          </cell>
          <cell r="P105">
            <v>5.0073999999999996</v>
          </cell>
          <cell r="Q105">
            <v>0.21548</v>
          </cell>
          <cell r="R105">
            <v>8.2880000000000002E-3</v>
          </cell>
          <cell r="S105">
            <v>299.39999999999998</v>
          </cell>
          <cell r="T105">
            <v>2.7065000000000001</v>
          </cell>
          <cell r="U105">
            <v>249.1</v>
          </cell>
          <cell r="V105">
            <v>4.9102E-2</v>
          </cell>
          <cell r="W105">
            <v>1233.7</v>
          </cell>
          <cell r="X105">
            <v>7.1390999999999996E-2</v>
          </cell>
          <cell r="Y105">
            <v>1.3421E-6</v>
          </cell>
          <cell r="Z105">
            <v>0.25572</v>
          </cell>
          <cell r="AA105">
            <v>0.15961</v>
          </cell>
          <cell r="AB105">
            <v>0.38733000000000001</v>
          </cell>
          <cell r="AC105">
            <v>8.9911000000000001E-3</v>
          </cell>
          <cell r="AD105">
            <v>1.0895999999999999</v>
          </cell>
          <cell r="AE105">
            <v>5.8762000000000002E-2</v>
          </cell>
          <cell r="AF105">
            <v>6.0895999999999999</v>
          </cell>
          <cell r="AG105">
            <v>3.2263999999999999</v>
          </cell>
          <cell r="AH105">
            <v>57.878999999999998</v>
          </cell>
        </row>
        <row r="112">
          <cell r="D112">
            <v>3.1497000000000002</v>
          </cell>
          <cell r="E112">
            <v>0.75241999999999998</v>
          </cell>
          <cell r="F112">
            <v>73.204999999999998</v>
          </cell>
          <cell r="G112">
            <v>3.0286E-2</v>
          </cell>
          <cell r="H112">
            <v>3.8195000000000001</v>
          </cell>
          <cell r="I112">
            <v>8.0902999999999997E-4</v>
          </cell>
          <cell r="J112">
            <v>6.2005000000000003E-4</v>
          </cell>
          <cell r="K112">
            <v>1.0359</v>
          </cell>
          <cell r="L112">
            <v>0.19001000000000001</v>
          </cell>
          <cell r="M112">
            <v>79.034545080000001</v>
          </cell>
          <cell r="N112">
            <v>0.10041</v>
          </cell>
          <cell r="O112">
            <v>2.8180999999999998</v>
          </cell>
          <cell r="P112">
            <v>1.7437</v>
          </cell>
          <cell r="Q112">
            <v>2.7425000000000001E-2</v>
          </cell>
          <cell r="R112">
            <v>8.6828000000000003E-4</v>
          </cell>
          <cell r="S112">
            <v>42.161999999999999</v>
          </cell>
          <cell r="T112">
            <v>0.17729</v>
          </cell>
          <cell r="U112">
            <v>33.457999999999998</v>
          </cell>
          <cell r="V112">
            <v>2.5214999999999999E-3</v>
          </cell>
          <cell r="W112">
            <v>0.14166999999999999</v>
          </cell>
          <cell r="X112">
            <v>3.0549E-4</v>
          </cell>
          <cell r="Y112">
            <v>1.4420999999999999E-7</v>
          </cell>
          <cell r="Z112">
            <v>5.0603999999999996E-3</v>
          </cell>
          <cell r="AA112">
            <v>9.4725999999999994E-3</v>
          </cell>
          <cell r="AB112">
            <v>1.1995E-2</v>
          </cell>
          <cell r="AC112">
            <v>3.0942999999999999E-3</v>
          </cell>
          <cell r="AD112">
            <v>2.1552999999999999E-2</v>
          </cell>
          <cell r="AE112">
            <v>5.7200999999999997E-3</v>
          </cell>
          <cell r="AF112">
            <v>0.11194</v>
          </cell>
          <cell r="AG112">
            <v>0.39295000000000002</v>
          </cell>
          <cell r="AH112">
            <v>0.21565999999999999</v>
          </cell>
        </row>
        <row r="113">
          <cell r="D113">
            <v>2.8967000000000001</v>
          </cell>
          <cell r="E113">
            <v>0.63032999999999995</v>
          </cell>
          <cell r="F113">
            <v>50.231000000000002</v>
          </cell>
          <cell r="G113">
            <v>3.0981000000000002E-2</v>
          </cell>
          <cell r="H113">
            <v>3.3083</v>
          </cell>
          <cell r="I113">
            <v>8.5800000000000004E-4</v>
          </cell>
          <cell r="J113">
            <v>7.9505999999999999E-4</v>
          </cell>
          <cell r="K113">
            <v>1.1404000000000001</v>
          </cell>
          <cell r="L113">
            <v>0.19041</v>
          </cell>
          <cell r="M113">
            <v>55.533074060000004</v>
          </cell>
          <cell r="N113">
            <v>9.6782000000000007E-2</v>
          </cell>
          <cell r="O113">
            <v>2.637</v>
          </cell>
          <cell r="P113">
            <v>1.1969000000000001</v>
          </cell>
          <cell r="Q113">
            <v>2.9916999999999999E-2</v>
          </cell>
          <cell r="R113">
            <v>9.6234999999999995E-4</v>
          </cell>
          <cell r="S113">
            <v>44.603000000000002</v>
          </cell>
          <cell r="T113">
            <v>0.17635999999999999</v>
          </cell>
          <cell r="U113">
            <v>34.201000000000001</v>
          </cell>
          <cell r="V113">
            <v>2.3305999999999999E-3</v>
          </cell>
          <cell r="W113">
            <v>0.17008999999999999</v>
          </cell>
          <cell r="X113">
            <v>3.0334999999999997E-4</v>
          </cell>
          <cell r="Y113">
            <v>2.8648000000000001E-7</v>
          </cell>
          <cell r="Z113">
            <v>5.0324000000000002E-3</v>
          </cell>
          <cell r="AA113">
            <v>1.0166E-2</v>
          </cell>
          <cell r="AB113">
            <v>1.0345E-2</v>
          </cell>
          <cell r="AC113">
            <v>2.421E-3</v>
          </cell>
          <cell r="AD113">
            <v>2.5739000000000001E-2</v>
          </cell>
          <cell r="AE113">
            <v>8.3884000000000007E-3</v>
          </cell>
          <cell r="AF113">
            <v>0.11176</v>
          </cell>
          <cell r="AG113">
            <v>0.40386</v>
          </cell>
          <cell r="AH113">
            <v>0.15140999999999999</v>
          </cell>
        </row>
        <row r="114">
          <cell r="D114">
            <v>5.3696999999999998E-3</v>
          </cell>
          <cell r="E114">
            <v>2.9020000000000001E-3</v>
          </cell>
          <cell r="F114">
            <v>8.2667000000000004E-2</v>
          </cell>
          <cell r="G114">
            <v>6.8054999999999998E-5</v>
          </cell>
          <cell r="H114">
            <v>7.4021E-3</v>
          </cell>
          <cell r="I114">
            <v>1.8044E-6</v>
          </cell>
          <cell r="J114">
            <v>1.3793000000000001E-6</v>
          </cell>
          <cell r="K114">
            <v>3.3205999999999999E-3</v>
          </cell>
          <cell r="L114">
            <v>4.7394000000000001E-4</v>
          </cell>
          <cell r="M114">
            <v>9.6836878700000018E-2</v>
          </cell>
          <cell r="N114">
            <v>4.0443E-4</v>
          </cell>
          <cell r="O114">
            <v>4.9018000000000004E-3</v>
          </cell>
          <cell r="P114">
            <v>1.9697999999999998E-3</v>
          </cell>
          <cell r="Q114">
            <v>5.5868000000000001E-5</v>
          </cell>
          <cell r="R114">
            <v>1.6809000000000001E-6</v>
          </cell>
          <cell r="S114">
            <v>7.5234999999999996E-2</v>
          </cell>
          <cell r="T114">
            <v>4.0692000000000001E-4</v>
          </cell>
          <cell r="U114">
            <v>7.1874999999999994E-2</v>
          </cell>
          <cell r="V114">
            <v>1.0933E-5</v>
          </cell>
          <cell r="W114">
            <v>3.4812999999999999E-4</v>
          </cell>
          <cell r="X114">
            <v>7.5572000000000005E-7</v>
          </cell>
          <cell r="Y114">
            <v>3.6745000000000001E-9</v>
          </cell>
          <cell r="Z114">
            <v>1.0411000000000001E-5</v>
          </cell>
          <cell r="AA114">
            <v>1.5994999999999998E-5</v>
          </cell>
          <cell r="AB114">
            <v>2.4057999999999999E-5</v>
          </cell>
          <cell r="AC114">
            <v>6.8387000000000003E-6</v>
          </cell>
          <cell r="AD114">
            <v>4.6765999999999999E-5</v>
          </cell>
          <cell r="AE114">
            <v>1.5444999999999999E-5</v>
          </cell>
          <cell r="AF114">
            <v>2.0976999999999999E-4</v>
          </cell>
          <cell r="AG114">
            <v>7.0273999999999998E-4</v>
          </cell>
          <cell r="AH114">
            <v>2.5232999999999999E-4</v>
          </cell>
        </row>
      </sheetData>
      <sheetData sheetId="1"/>
      <sheetData sheetId="2"/>
      <sheetData sheetId="3"/>
      <sheetData sheetId="4">
        <row r="15">
          <cell r="D15">
            <v>0</v>
          </cell>
        </row>
        <row r="24">
          <cell r="D24">
            <v>0</v>
          </cell>
          <cell r="E24"/>
          <cell r="F24"/>
          <cell r="G24"/>
          <cell r="H24"/>
          <cell r="I24"/>
          <cell r="J24"/>
          <cell r="K24"/>
          <cell r="L24"/>
          <cell r="M24">
            <v>0</v>
          </cell>
          <cell r="N24"/>
          <cell r="O24"/>
          <cell r="P24"/>
          <cell r="Q24"/>
          <cell r="R24"/>
          <cell r="S24"/>
          <cell r="T24"/>
          <cell r="U24"/>
          <cell r="V24"/>
          <cell r="W24"/>
          <cell r="X24"/>
          <cell r="Y24"/>
          <cell r="Z24"/>
          <cell r="AA24">
            <v>0.3175675675675676</v>
          </cell>
          <cell r="AB24"/>
          <cell r="AC24"/>
          <cell r="AD24"/>
          <cell r="AE24"/>
          <cell r="AF24"/>
          <cell r="AG24">
            <v>1.20830586684E-4</v>
          </cell>
          <cell r="AH24"/>
        </row>
        <row r="28">
          <cell r="D28">
            <v>0</v>
          </cell>
          <cell r="E28"/>
          <cell r="F28"/>
          <cell r="G28"/>
          <cell r="H28"/>
          <cell r="I28"/>
          <cell r="J28"/>
          <cell r="K28"/>
          <cell r="L28"/>
          <cell r="M28">
            <v>0</v>
          </cell>
          <cell r="N28"/>
          <cell r="O28"/>
          <cell r="P28"/>
          <cell r="Q28"/>
          <cell r="R28"/>
          <cell r="S28"/>
          <cell r="T28"/>
          <cell r="U28"/>
          <cell r="V28"/>
          <cell r="W28"/>
          <cell r="X28"/>
          <cell r="Y28"/>
          <cell r="Z28"/>
          <cell r="AA28"/>
          <cell r="AB28"/>
          <cell r="AC28"/>
          <cell r="AD28"/>
          <cell r="AE28"/>
          <cell r="AF28"/>
          <cell r="AG28"/>
          <cell r="AH28"/>
        </row>
        <row r="30">
          <cell r="D30">
            <v>0</v>
          </cell>
          <cell r="E30"/>
          <cell r="F30"/>
          <cell r="G30"/>
          <cell r="H30"/>
          <cell r="I30"/>
          <cell r="J30"/>
          <cell r="K30"/>
          <cell r="L30"/>
          <cell r="M30">
            <v>0</v>
          </cell>
          <cell r="N30"/>
          <cell r="O30"/>
          <cell r="P30"/>
          <cell r="Q30">
            <v>1.7003303175320737E-4</v>
          </cell>
          <cell r="R30"/>
          <cell r="S30">
            <v>0.47081152258220021</v>
          </cell>
          <cell r="T30"/>
          <cell r="U30">
            <v>1.7402003843569559E-3</v>
          </cell>
          <cell r="V30"/>
          <cell r="W30"/>
          <cell r="X30"/>
          <cell r="Y30"/>
          <cell r="Z30"/>
          <cell r="AA30"/>
          <cell r="AB30"/>
          <cell r="AC30">
            <v>3.7040677832114982E-4</v>
          </cell>
          <cell r="AD30"/>
          <cell r="AE30"/>
          <cell r="AF30">
            <v>8.1790920700099996E-5</v>
          </cell>
          <cell r="AG30">
            <v>3.2152982030000002E-3</v>
          </cell>
          <cell r="AH30"/>
        </row>
        <row r="35">
          <cell r="D35">
            <v>0</v>
          </cell>
          <cell r="E35"/>
          <cell r="F35"/>
          <cell r="G35"/>
          <cell r="H35"/>
          <cell r="I35"/>
          <cell r="J35"/>
          <cell r="K35"/>
          <cell r="L35"/>
          <cell r="M35">
            <v>0</v>
          </cell>
          <cell r="N35"/>
          <cell r="O35"/>
          <cell r="P35"/>
          <cell r="Q35">
            <v>4.4887017216547792E-4</v>
          </cell>
          <cell r="R35"/>
          <cell r="S35">
            <v>1.8847523912927164</v>
          </cell>
          <cell r="T35"/>
          <cell r="U35">
            <v>3.9361598549663111E-2</v>
          </cell>
          <cell r="V35"/>
          <cell r="W35"/>
          <cell r="X35"/>
          <cell r="Y35"/>
          <cell r="Z35"/>
          <cell r="AA35"/>
          <cell r="AB35"/>
          <cell r="AC35">
            <v>1.1297585628802071E-3</v>
          </cell>
          <cell r="AD35"/>
          <cell r="AE35"/>
          <cell r="AF35"/>
          <cell r="AG35"/>
          <cell r="AH35"/>
        </row>
        <row r="38">
          <cell r="D38">
            <v>0</v>
          </cell>
          <cell r="E38"/>
          <cell r="F38"/>
          <cell r="G38"/>
          <cell r="H38"/>
          <cell r="I38"/>
          <cell r="J38"/>
          <cell r="K38"/>
          <cell r="L38"/>
          <cell r="M38">
            <v>0</v>
          </cell>
          <cell r="N38"/>
          <cell r="O38"/>
          <cell r="P38"/>
          <cell r="Q38"/>
          <cell r="R38"/>
          <cell r="S38"/>
          <cell r="T38"/>
          <cell r="U38"/>
          <cell r="V38"/>
          <cell r="W38"/>
          <cell r="X38"/>
          <cell r="Y38"/>
          <cell r="Z38"/>
          <cell r="AA38"/>
          <cell r="AB38"/>
          <cell r="AC38"/>
          <cell r="AD38"/>
          <cell r="AE38"/>
          <cell r="AF38"/>
          <cell r="AG38"/>
          <cell r="AH38"/>
        </row>
      </sheetData>
      <sheetData sheetId="5">
        <row r="4">
          <cell r="D4">
            <v>4.5641478346943822</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26">
          <cell r="P26">
            <v>81.665404808643643</v>
          </cell>
          <cell r="Q26">
            <v>27.676817037128387</v>
          </cell>
          <cell r="R26">
            <v>1409.1351837066718</v>
          </cell>
          <cell r="S26">
            <v>6.9524411510408293E-2</v>
          </cell>
          <cell r="T26">
            <v>6.7844299377899553</v>
          </cell>
          <cell r="U26">
            <v>5.1293538309712824E-2</v>
          </cell>
          <cell r="V26">
            <v>3.4618425290784483E-3</v>
          </cell>
          <cell r="W26">
            <v>2.6059575292966133</v>
          </cell>
          <cell r="X26">
            <v>0.31573227695970851</v>
          </cell>
          <cell r="Y26">
            <v>1446.6424002801964</v>
          </cell>
          <cell r="Z26">
            <v>1.3692179816810384</v>
          </cell>
          <cell r="AA26">
            <v>76.707040101384948</v>
          </cell>
          <cell r="AB26">
            <v>33.561721051357537</v>
          </cell>
          <cell r="AC26">
            <v>0.35568752372530332</v>
          </cell>
          <cell r="AD26">
            <v>2.704475601813779E-3</v>
          </cell>
          <cell r="AE26">
            <v>639.67448101392915</v>
          </cell>
          <cell r="AF26">
            <v>0.62446710490474078</v>
          </cell>
          <cell r="AG26">
            <v>219.82436527476648</v>
          </cell>
          <cell r="AH26">
            <v>7.5598486052884772E-2</v>
          </cell>
          <cell r="AI26">
            <v>0.43165765893700175</v>
          </cell>
          <cell r="AJ26">
            <v>1.3488754734245786E-2</v>
          </cell>
          <cell r="AK26">
            <v>1.4781877491518088E-4</v>
          </cell>
          <cell r="AL26">
            <v>8.9622580502144666E-2</v>
          </cell>
          <cell r="AM26">
            <v>0.28199200856559198</v>
          </cell>
          <cell r="AN26">
            <v>0.34025771519464187</v>
          </cell>
          <cell r="AO26">
            <v>1.5191694739669524E-2</v>
          </cell>
          <cell r="AP26">
            <v>0.10671875893842762</v>
          </cell>
          <cell r="AQ26">
            <v>0.38963274453124486</v>
          </cell>
          <cell r="AR26">
            <v>2.5744651778326957</v>
          </cell>
          <cell r="AS26">
            <v>7.2256215288857444</v>
          </cell>
          <cell r="AT26">
            <v>4.0444655893107164</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20">
          <cell r="K20">
            <v>3619.4165229724927</v>
          </cell>
          <cell r="L20">
            <v>232.00593925280981</v>
          </cell>
          <cell r="M20">
            <v>63184.777411237141</v>
          </cell>
          <cell r="N20">
            <v>2.3119233446328034</v>
          </cell>
          <cell r="O20">
            <v>235.84742475612452</v>
          </cell>
          <cell r="P20">
            <v>0.28563261225655856</v>
          </cell>
          <cell r="Q20">
            <v>2.6562966700206178E-2</v>
          </cell>
          <cell r="R20">
            <v>93.54976128235684</v>
          </cell>
          <cell r="S20">
            <v>10.357211789066135</v>
          </cell>
          <cell r="T20">
            <v>63759.161867241099</v>
          </cell>
          <cell r="U20">
            <v>31.840377212503398</v>
          </cell>
          <cell r="V20">
            <v>3415.5341252106105</v>
          </cell>
          <cell r="W20">
            <v>1504.8676850939303</v>
          </cell>
          <cell r="X20">
            <v>14.971837215344118</v>
          </cell>
          <cell r="Y20">
            <v>9.9188951698497854E-2</v>
          </cell>
          <cell r="Z20">
            <v>28479.24452442132</v>
          </cell>
          <cell r="AA20">
            <v>23.242815202118681</v>
          </cell>
          <cell r="AB20">
            <v>9591.6896222264804</v>
          </cell>
          <cell r="AC20">
            <v>3.1379267584118589</v>
          </cell>
          <cell r="AD20">
            <v>16.202766300404043</v>
          </cell>
          <cell r="AE20">
            <v>0.56292328992403973</v>
          </cell>
          <cell r="AF20">
            <v>3.0438648131477213E-4</v>
          </cell>
          <cell r="AG20">
            <v>3.851403574106639</v>
          </cell>
          <cell r="AH20">
            <v>10.26482617192319</v>
          </cell>
          <cell r="AI20">
            <v>14.816150072128218</v>
          </cell>
          <cell r="AJ20">
            <v>0.32738281630246646</v>
          </cell>
          <cell r="AK20">
            <v>2.1808609132535546</v>
          </cell>
          <cell r="AL20">
            <v>0.49193378894652123</v>
          </cell>
          <cell r="AM20">
            <v>101.31825938616946</v>
          </cell>
          <cell r="AN20">
            <v>321.15289678402326</v>
          </cell>
          <cell r="AO20">
            <v>181.20280974080879</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duction"/>
      <sheetName val="production-alphabetical"/>
      <sheetName val="production-alphabetical (2)"/>
      <sheetName val="production-alphabetical (3)"/>
      <sheetName val="direct emissions"/>
      <sheetName val="Jian's"/>
    </sheetNames>
    <sheetDataSet>
      <sheetData sheetId="0">
        <row r="3">
          <cell r="D3">
            <v>2.4752999999999998</v>
          </cell>
          <cell r="E3">
            <v>0.60845000000000005</v>
          </cell>
          <cell r="F3">
            <v>16.413</v>
          </cell>
          <cell r="G3">
            <v>3.0283999999999998E-2</v>
          </cell>
          <cell r="H3">
            <v>2.3748</v>
          </cell>
          <cell r="I3">
            <v>3.0076999999999999E-3</v>
          </cell>
          <cell r="J3">
            <v>2.0572E-2</v>
          </cell>
          <cell r="K3">
            <v>1.0948</v>
          </cell>
          <cell r="L3">
            <v>0.1404</v>
          </cell>
          <cell r="M3">
            <v>20.685313700000005</v>
          </cell>
          <cell r="N3">
            <v>8.8877999999999999E-2</v>
          </cell>
          <cell r="O3">
            <v>2.2648999999999999</v>
          </cell>
          <cell r="P3">
            <v>0.39137</v>
          </cell>
          <cell r="Q3">
            <v>3.4606999999999999E-2</v>
          </cell>
          <cell r="R3">
            <v>1.4064E-2</v>
          </cell>
          <cell r="S3">
            <v>31.951000000000001</v>
          </cell>
          <cell r="T3">
            <v>0.15866</v>
          </cell>
          <cell r="U3">
            <v>31.074999999999999</v>
          </cell>
          <cell r="V3">
            <v>0.13034999999999999</v>
          </cell>
          <cell r="W3">
            <v>0.17466000000000001</v>
          </cell>
          <cell r="X3">
            <v>1.8164E-4</v>
          </cell>
          <cell r="Y3">
            <v>1.8353E-7</v>
          </cell>
          <cell r="Z3">
            <v>5.0572000000000004E-3</v>
          </cell>
          <cell r="AA3">
            <v>5.9461000000000002E-3</v>
          </cell>
          <cell r="AB3">
            <v>1.0370000000000001E-2</v>
          </cell>
          <cell r="AC3">
            <v>1.3814999999999999E-3</v>
          </cell>
          <cell r="AD3">
            <v>2.3361E-2</v>
          </cell>
          <cell r="AE3">
            <v>1.0649E-2</v>
          </cell>
          <cell r="AF3">
            <v>0.10145</v>
          </cell>
          <cell r="AG3">
            <v>0.30706</v>
          </cell>
          <cell r="AH3">
            <v>5.5032999999999999E-2</v>
          </cell>
        </row>
        <row r="46">
          <cell r="D46">
            <v>2.6876000000000002</v>
          </cell>
          <cell r="E46">
            <v>1.0123</v>
          </cell>
          <cell r="F46">
            <v>29.95</v>
          </cell>
          <cell r="G46">
            <v>7.7804999999999999E-2</v>
          </cell>
          <cell r="H46">
            <v>6.4325000000000001</v>
          </cell>
          <cell r="I46">
            <v>6.5518E-3</v>
          </cell>
          <cell r="J46">
            <v>3.2995000000000002E-4</v>
          </cell>
          <cell r="K46">
            <v>2.5095000000000001</v>
          </cell>
          <cell r="L46">
            <v>0.39121</v>
          </cell>
          <cell r="M46">
            <v>40.380196750000003</v>
          </cell>
          <cell r="N46">
            <v>0.14061999999999999</v>
          </cell>
          <cell r="O46">
            <v>2.4859</v>
          </cell>
          <cell r="P46">
            <v>0.71387</v>
          </cell>
          <cell r="Q46">
            <v>3.5333999999999997E-2</v>
          </cell>
          <cell r="R46">
            <v>1.4566E-3</v>
          </cell>
          <cell r="S46">
            <v>46.789000000000001</v>
          </cell>
          <cell r="T46">
            <v>0.41410999999999998</v>
          </cell>
          <cell r="U46">
            <v>40.326999999999998</v>
          </cell>
          <cell r="V46">
            <v>2.4256999999999998E-3</v>
          </cell>
          <cell r="W46">
            <v>3.2414999999999999E-2</v>
          </cell>
          <cell r="X46">
            <v>2.9548999999999998E-4</v>
          </cell>
          <cell r="Y46">
            <v>1.4875000000000001E-7</v>
          </cell>
          <cell r="Z46">
            <v>8.3315000000000004E-3</v>
          </cell>
          <cell r="AA46">
            <v>6.6281999999999999E-3</v>
          </cell>
          <cell r="AB46">
            <v>1.3127E-2</v>
          </cell>
          <cell r="AC46">
            <v>8.9937000000000003E-4</v>
          </cell>
          <cell r="AD46">
            <v>1.5989E-2</v>
          </cell>
          <cell r="AE46">
            <v>1.0525E-2</v>
          </cell>
          <cell r="AF46">
            <v>0.10639</v>
          </cell>
          <cell r="AG46">
            <v>0.42542000000000002</v>
          </cell>
          <cell r="AH46">
            <v>8.7106000000000003E-2</v>
          </cell>
        </row>
        <row r="76">
          <cell r="D76">
            <v>1.8261000000000001</v>
          </cell>
          <cell r="E76">
            <v>0.32225999999999999</v>
          </cell>
          <cell r="F76">
            <v>58.023000000000003</v>
          </cell>
          <cell r="G76">
            <v>5.9595999999999998E-3</v>
          </cell>
          <cell r="H76">
            <v>1.6822999999999999</v>
          </cell>
          <cell r="I76">
            <v>7.3888999999999997E-4</v>
          </cell>
          <cell r="J76">
            <v>2.8306000000000002E-4</v>
          </cell>
          <cell r="K76">
            <v>0.30265999999999998</v>
          </cell>
          <cell r="L76">
            <v>2.3921999999999999E-2</v>
          </cell>
          <cell r="M76">
            <v>60.361123550000002</v>
          </cell>
          <cell r="N76">
            <v>3.6722999999999999E-2</v>
          </cell>
          <cell r="O76">
            <v>1.591</v>
          </cell>
          <cell r="P76">
            <v>1.3815</v>
          </cell>
          <cell r="Q76">
            <v>9.2759999999999995E-3</v>
          </cell>
          <cell r="R76">
            <v>2.6277000000000001E-4</v>
          </cell>
          <cell r="S76">
            <v>15.288</v>
          </cell>
          <cell r="T76">
            <v>3.6873999999999997E-2</v>
          </cell>
          <cell r="U76">
            <v>11.382999999999999</v>
          </cell>
          <cell r="V76">
            <v>1.1186E-3</v>
          </cell>
          <cell r="W76">
            <v>6.4592999999999998E-2</v>
          </cell>
          <cell r="X76">
            <v>1.4709E-4</v>
          </cell>
          <cell r="Y76">
            <v>6.472E-8</v>
          </cell>
          <cell r="Z76">
            <v>2.4101000000000001E-3</v>
          </cell>
          <cell r="AA76">
            <v>7.8647999999999999E-3</v>
          </cell>
          <cell r="AB76">
            <v>6.7625999999999997E-3</v>
          </cell>
          <cell r="AC76">
            <v>5.2406999999999996E-4</v>
          </cell>
          <cell r="AD76">
            <v>5.2075000000000003E-3</v>
          </cell>
          <cell r="AE76">
            <v>4.2263999999999999E-3</v>
          </cell>
          <cell r="AF76">
            <v>5.4866999999999999E-2</v>
          </cell>
          <cell r="AG76">
            <v>0.16566</v>
          </cell>
          <cell r="AH76">
            <v>0.16864999999999999</v>
          </cell>
        </row>
        <row r="91">
          <cell r="D91">
            <v>1.1845000000000001</v>
          </cell>
          <cell r="E91">
            <v>0.33423000000000003</v>
          </cell>
          <cell r="F91">
            <v>12.964</v>
          </cell>
          <cell r="G91">
            <v>3.1926000000000003E-2</v>
          </cell>
          <cell r="H91">
            <v>1.6914</v>
          </cell>
          <cell r="I91">
            <v>3.0853999999999999E-3</v>
          </cell>
          <cell r="J91">
            <v>1.5200000000000001E-4</v>
          </cell>
          <cell r="K91">
            <v>1.0064</v>
          </cell>
          <cell r="L91">
            <v>0.10661</v>
          </cell>
          <cell r="M91">
            <v>16.137803399999999</v>
          </cell>
          <cell r="N91">
            <v>4.6581999999999998E-2</v>
          </cell>
          <cell r="O91">
            <v>1.0933999999999999</v>
          </cell>
          <cell r="P91">
            <v>0.30948999999999999</v>
          </cell>
          <cell r="Q91">
            <v>1.4300999999999999E-2</v>
          </cell>
          <cell r="R91">
            <v>5.8091999999999996E-4</v>
          </cell>
          <cell r="S91">
            <v>19.337</v>
          </cell>
          <cell r="T91">
            <v>0.12024</v>
          </cell>
          <cell r="U91">
            <v>16.533999999999999</v>
          </cell>
          <cell r="V91">
            <v>1.0808E-3</v>
          </cell>
          <cell r="W91">
            <v>1.2095E-2</v>
          </cell>
          <cell r="X91">
            <v>1.2846E-4</v>
          </cell>
          <cell r="Y91">
            <v>5.3706999999999999E-8</v>
          </cell>
          <cell r="Z91">
            <v>3.9915000000000003E-3</v>
          </cell>
          <cell r="AA91">
            <v>2.9899000000000002E-3</v>
          </cell>
          <cell r="AB91">
            <v>5.8507000000000003E-3</v>
          </cell>
          <cell r="AC91">
            <v>3.7492999999999999E-4</v>
          </cell>
          <cell r="AD91">
            <v>7.1199999999999996E-3</v>
          </cell>
          <cell r="AE91">
            <v>4.3444E-3</v>
          </cell>
          <cell r="AF91">
            <v>4.5281000000000002E-2</v>
          </cell>
          <cell r="AG91">
            <v>0.17960000000000001</v>
          </cell>
          <cell r="AH91">
            <v>3.7673999999999999E-2</v>
          </cell>
        </row>
        <row r="104">
          <cell r="D104">
            <v>5.4259E-3</v>
          </cell>
          <cell r="E104">
            <v>4.1543E-4</v>
          </cell>
          <cell r="F104">
            <v>0.17004</v>
          </cell>
          <cell r="G104">
            <v>2.0565E-5</v>
          </cell>
          <cell r="H104">
            <v>2.2528000000000001E-3</v>
          </cell>
          <cell r="I104">
            <v>1.2869999999999999E-6</v>
          </cell>
          <cell r="J104">
            <v>3.5572999999999998E-6</v>
          </cell>
          <cell r="K104">
            <v>7.9175000000000003E-4</v>
          </cell>
          <cell r="L104">
            <v>1.3067999999999999E-4</v>
          </cell>
          <cell r="M104">
            <v>0.17365606929999999</v>
          </cell>
          <cell r="N104">
            <v>2.8051999999999998E-4</v>
          </cell>
          <cell r="O104">
            <v>5.1062E-3</v>
          </cell>
          <cell r="P104">
            <v>4.0477000000000004E-3</v>
          </cell>
          <cell r="Q104">
            <v>2.4984999999999999E-5</v>
          </cell>
          <cell r="R104">
            <v>6.018E-7</v>
          </cell>
          <cell r="S104">
            <v>3.8490000000000003E-2</v>
          </cell>
          <cell r="T104">
            <v>7.4255000000000002E-4</v>
          </cell>
          <cell r="U104">
            <v>2.7300999999999999E-2</v>
          </cell>
          <cell r="V104">
            <v>1.7286999999999999E-5</v>
          </cell>
          <cell r="W104">
            <v>2.1064E-4</v>
          </cell>
          <cell r="X104">
            <v>-3.9805999999999998E-5</v>
          </cell>
          <cell r="Y104">
            <v>1.908E-9</v>
          </cell>
          <cell r="Z104">
            <v>1.8263000000000001E-5</v>
          </cell>
          <cell r="AA104">
            <v>5.5226000000000003E-5</v>
          </cell>
          <cell r="AB104">
            <v>4.6202000000000003E-5</v>
          </cell>
          <cell r="AC104">
            <v>5.57E-6</v>
          </cell>
          <cell r="AD104">
            <v>1.0223000000000001E-3</v>
          </cell>
          <cell r="AE104">
            <v>7.3827999999999999E-6</v>
          </cell>
          <cell r="AF104">
            <v>4.1576999999999999E-4</v>
          </cell>
          <cell r="AG104">
            <v>4.8026999999999998E-4</v>
          </cell>
          <cell r="AH104">
            <v>4.9516000000000002E-4</v>
          </cell>
        </row>
        <row r="133">
          <cell r="D133">
            <v>5.0429000000000004</v>
          </cell>
          <cell r="E133">
            <v>2.3113999999999999</v>
          </cell>
          <cell r="F133">
            <v>56.040999999999997</v>
          </cell>
          <cell r="G133">
            <v>0.11956</v>
          </cell>
          <cell r="H133">
            <v>6.8920000000000003</v>
          </cell>
          <cell r="I133">
            <v>9.0480000000000005E-3</v>
          </cell>
          <cell r="J133">
            <v>9.6953000000000002E-4</v>
          </cell>
          <cell r="K133">
            <v>6.7588999999999997</v>
          </cell>
          <cell r="L133">
            <v>0.38396000000000002</v>
          </cell>
          <cell r="M133">
            <v>72.516837530000004</v>
          </cell>
          <cell r="N133">
            <v>0.36879000000000001</v>
          </cell>
          <cell r="O133">
            <v>4.6026999999999996</v>
          </cell>
          <cell r="P133">
            <v>1.3364</v>
          </cell>
          <cell r="Q133">
            <v>4.9623999999999997</v>
          </cell>
          <cell r="R133">
            <v>0.1462</v>
          </cell>
          <cell r="S133">
            <v>12489</v>
          </cell>
          <cell r="T133">
            <v>0.46650000000000003</v>
          </cell>
          <cell r="U133">
            <v>6530.1</v>
          </cell>
          <cell r="V133">
            <v>3.0044000000000001E-2</v>
          </cell>
          <cell r="W133">
            <v>47.875</v>
          </cell>
          <cell r="X133">
            <v>1.9903999999999998E-3</v>
          </cell>
          <cell r="Y133">
            <v>3.0008000000000002E-7</v>
          </cell>
          <cell r="Z133">
            <v>0.14541000000000001</v>
          </cell>
          <cell r="AA133">
            <v>9.3449000000000004E-2</v>
          </cell>
          <cell r="AB133">
            <v>0.48734</v>
          </cell>
          <cell r="AC133">
            <v>0.61521000000000003</v>
          </cell>
          <cell r="AD133">
            <v>0.43630999999999998</v>
          </cell>
          <cell r="AE133">
            <v>0.16158</v>
          </cell>
          <cell r="AF133">
            <v>2.3043</v>
          </cell>
          <cell r="AG133">
            <v>85.805999999999997</v>
          </cell>
          <cell r="AH133">
            <v>2.3824999999999998</v>
          </cell>
        </row>
      </sheetData>
      <sheetData sheetId="1" refreshError="1"/>
      <sheetData sheetId="2" refreshError="1"/>
      <sheetData sheetId="3" refreshError="1"/>
      <sheetData sheetId="4" refreshError="1">
        <row r="39">
          <cell r="D39">
            <v>0</v>
          </cell>
          <cell r="M39">
            <v>0</v>
          </cell>
          <cell r="Q39">
            <v>40.124148502200001</v>
          </cell>
          <cell r="S39">
            <v>52.091288566700001</v>
          </cell>
          <cell r="U39">
            <v>91486.4735506</v>
          </cell>
          <cell r="AC39">
            <v>420.11577236699998</v>
          </cell>
          <cell r="AF39">
            <v>115.505179849</v>
          </cell>
          <cell r="AG39">
            <v>0.35574538533400002</v>
          </cell>
        </row>
      </sheetData>
      <sheetData sheetId="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ntory"/>
    </sheetNames>
    <sheetDataSet>
      <sheetData sheetId="0">
        <row r="37">
          <cell r="AZ37">
            <v>44.411730993196358</v>
          </cell>
          <cell r="BA37">
            <v>696.68224470958626</v>
          </cell>
          <cell r="BB37">
            <v>3.6806699140222356</v>
          </cell>
          <cell r="BC37">
            <v>37.710629473481568</v>
          </cell>
          <cell r="BD37">
            <v>14.96767734166526</v>
          </cell>
          <cell r="BE37">
            <v>2.1711415769761628</v>
          </cell>
          <cell r="BF37">
            <v>4.1372565220983183E-2</v>
          </cell>
          <cell r="BG37">
            <v>1859.5106856355687</v>
          </cell>
          <cell r="BH37">
            <v>2.0250794512725352</v>
          </cell>
          <cell r="BI37">
            <v>1528.7835608210237</v>
          </cell>
          <cell r="BJ37">
            <v>4.5267001206842225E-2</v>
          </cell>
          <cell r="BK37">
            <v>1.3527509012407135</v>
          </cell>
          <cell r="BL37">
            <v>6.3269573012995871E-3</v>
          </cell>
          <cell r="BM37">
            <v>5.2828318677713405E-6</v>
          </cell>
          <cell r="BN37">
            <v>9.0331570435414718E-2</v>
          </cell>
          <cell r="BO37">
            <v>0.13230009305618093</v>
          </cell>
          <cell r="BP37">
            <v>0.28418680101475047</v>
          </cell>
          <cell r="BQ37">
            <v>3.5106726735657727E-2</v>
          </cell>
          <cell r="BR37">
            <v>0.35671015815232626</v>
          </cell>
          <cell r="BS37">
            <v>9.0768947753529394E-2</v>
          </cell>
          <cell r="BT37">
            <v>1.7668420917082541</v>
          </cell>
          <cell r="BU37">
            <v>14.246940611958491</v>
          </cell>
          <cell r="BV37">
            <v>1.8575517807778932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R53"/>
  <sheetViews>
    <sheetView zoomScaleNormal="100" workbookViewId="0">
      <selection activeCell="B9" sqref="B9"/>
    </sheetView>
  </sheetViews>
  <sheetFormatPr defaultRowHeight="15"/>
  <cols>
    <col min="1" max="1" width="48.7109375" customWidth="1"/>
    <col min="2" max="2" width="20.28515625" customWidth="1"/>
    <col min="3" max="3" width="38.140625" customWidth="1"/>
    <col min="4" max="5" width="20.28515625" customWidth="1"/>
    <col min="6" max="6" width="20.28515625" style="50" customWidth="1"/>
    <col min="7" max="7" width="15.140625" style="49" hidden="1" customWidth="1"/>
    <col min="8" max="9" width="0" hidden="1" customWidth="1"/>
    <col min="10" max="10" width="9.5703125" hidden="1" customWidth="1"/>
    <col min="11" max="11" width="9.5703125" customWidth="1"/>
    <col min="12" max="12" width="22.140625" style="49" customWidth="1"/>
    <col min="13" max="13" width="12.28515625" bestFit="1" customWidth="1"/>
    <col min="14" max="21" width="0" hidden="1" customWidth="1"/>
    <col min="22" max="22" width="9.85546875" bestFit="1" customWidth="1"/>
    <col min="23" max="26" width="9.5703125" bestFit="1" customWidth="1"/>
    <col min="27" max="27" width="12.28515625" bestFit="1" customWidth="1"/>
    <col min="28" max="32" width="9.5703125" bestFit="1" customWidth="1"/>
    <col min="33" max="34" width="12.28515625" bestFit="1" customWidth="1"/>
    <col min="35" max="43" width="9.5703125" bestFit="1" customWidth="1"/>
    <col min="44" max="44" width="11.85546875" customWidth="1"/>
  </cols>
  <sheetData>
    <row r="1" spans="1:44" ht="15.75" thickBot="1">
      <c r="A1" s="69" t="s">
        <v>148</v>
      </c>
      <c r="B1" s="70" t="s">
        <v>149</v>
      </c>
      <c r="C1" s="71" t="s">
        <v>150</v>
      </c>
      <c r="G1" s="67"/>
      <c r="L1" s="67"/>
    </row>
    <row r="2" spans="1:44">
      <c r="A2" s="72" t="s">
        <v>151</v>
      </c>
      <c r="B2" s="73">
        <v>0.9</v>
      </c>
      <c r="C2" s="74" t="s">
        <v>152</v>
      </c>
      <c r="G2" s="67"/>
      <c r="L2" s="67"/>
    </row>
    <row r="3" spans="1:44">
      <c r="A3" s="72" t="s">
        <v>155</v>
      </c>
      <c r="B3" s="73">
        <v>0.95</v>
      </c>
      <c r="C3" s="74" t="s">
        <v>152</v>
      </c>
      <c r="G3" s="68"/>
      <c r="L3" s="68"/>
    </row>
    <row r="4" spans="1:44">
      <c r="A4" s="75" t="s">
        <v>156</v>
      </c>
      <c r="B4" s="76">
        <v>1</v>
      </c>
      <c r="C4" s="77" t="s">
        <v>153</v>
      </c>
      <c r="G4" s="67"/>
      <c r="L4" s="67"/>
    </row>
    <row r="5" spans="1:44">
      <c r="A5" s="75" t="s">
        <v>157</v>
      </c>
      <c r="B5" s="76">
        <v>1</v>
      </c>
      <c r="C5" s="77" t="s">
        <v>153</v>
      </c>
      <c r="G5" s="67"/>
      <c r="L5" s="67"/>
    </row>
    <row r="6" spans="1:44">
      <c r="A6" s="75" t="s">
        <v>158</v>
      </c>
      <c r="B6" s="76">
        <v>1</v>
      </c>
      <c r="C6" s="77" t="s">
        <v>153</v>
      </c>
      <c r="G6" s="67"/>
      <c r="L6" s="67"/>
    </row>
    <row r="7" spans="1:44">
      <c r="A7" s="75" t="s">
        <v>159</v>
      </c>
      <c r="B7" s="76">
        <v>1</v>
      </c>
      <c r="C7" s="77" t="s">
        <v>153</v>
      </c>
      <c r="G7" s="67"/>
      <c r="L7" s="67"/>
    </row>
    <row r="8" spans="1:44">
      <c r="A8" s="75" t="s">
        <v>154</v>
      </c>
      <c r="B8" s="76">
        <v>1</v>
      </c>
      <c r="C8" s="77" t="s">
        <v>153</v>
      </c>
      <c r="G8" s="67"/>
      <c r="L8" s="67"/>
    </row>
    <row r="9" spans="1:44" ht="15.75" thickBot="1">
      <c r="A9" s="79" t="s">
        <v>160</v>
      </c>
      <c r="B9" s="78">
        <v>1</v>
      </c>
      <c r="C9" s="80" t="s">
        <v>153</v>
      </c>
      <c r="G9" s="67"/>
      <c r="L9" s="67"/>
    </row>
    <row r="10" spans="1:44">
      <c r="G10" s="67"/>
      <c r="L10" s="67"/>
    </row>
    <row r="11" spans="1:44">
      <c r="A11" s="96" t="s">
        <v>132</v>
      </c>
      <c r="B11" s="97" t="s">
        <v>0</v>
      </c>
      <c r="C11" s="97" t="s">
        <v>1</v>
      </c>
      <c r="D11" s="97" t="s">
        <v>2</v>
      </c>
      <c r="E11" s="97" t="s">
        <v>3</v>
      </c>
      <c r="F11" s="98" t="s">
        <v>4</v>
      </c>
      <c r="M11" s="92" t="s">
        <v>35</v>
      </c>
      <c r="N11" s="93" t="s">
        <v>36</v>
      </c>
      <c r="O11" s="93"/>
      <c r="P11" s="93"/>
      <c r="Q11" s="93"/>
      <c r="R11" s="93"/>
      <c r="S11" s="93"/>
      <c r="T11" s="93"/>
      <c r="U11" s="93"/>
      <c r="V11" s="93"/>
      <c r="W11" s="94" t="s">
        <v>37</v>
      </c>
      <c r="X11" s="94"/>
      <c r="Y11" s="94"/>
      <c r="Z11" s="94"/>
      <c r="AA11" s="94"/>
      <c r="AB11" s="94"/>
      <c r="AC11" s="94"/>
      <c r="AD11" s="94"/>
      <c r="AE11" s="94"/>
      <c r="AF11" s="94"/>
      <c r="AG11" s="94"/>
      <c r="AH11" s="94"/>
      <c r="AI11" s="94"/>
      <c r="AJ11" s="94"/>
      <c r="AK11" s="94"/>
      <c r="AL11" s="94"/>
      <c r="AM11" s="94"/>
      <c r="AN11" s="94"/>
      <c r="AO11" s="95" t="s">
        <v>38</v>
      </c>
      <c r="AP11" s="95"/>
      <c r="AQ11" s="95"/>
    </row>
    <row r="12" spans="1:44">
      <c r="A12" s="96"/>
      <c r="B12" s="97"/>
      <c r="C12" s="97"/>
      <c r="D12" s="97"/>
      <c r="E12" s="97"/>
      <c r="F12" s="98"/>
      <c r="M12" s="92"/>
      <c r="N12" s="4" t="s">
        <v>39</v>
      </c>
      <c r="O12" s="4" t="s">
        <v>40</v>
      </c>
      <c r="P12" s="4" t="s">
        <v>41</v>
      </c>
      <c r="Q12" s="4" t="s">
        <v>42</v>
      </c>
      <c r="R12" s="4" t="s">
        <v>43</v>
      </c>
      <c r="S12" s="4" t="s">
        <v>44</v>
      </c>
      <c r="T12" s="4" t="s">
        <v>45</v>
      </c>
      <c r="U12" s="4" t="s">
        <v>46</v>
      </c>
      <c r="V12" s="5" t="s">
        <v>47</v>
      </c>
      <c r="W12" s="4" t="s">
        <v>48</v>
      </c>
      <c r="X12" s="4" t="s">
        <v>49</v>
      </c>
      <c r="Y12" s="4" t="s">
        <v>50</v>
      </c>
      <c r="Z12" s="4" t="s">
        <v>51</v>
      </c>
      <c r="AA12" s="4" t="s">
        <v>52</v>
      </c>
      <c r="AB12" s="4" t="s">
        <v>53</v>
      </c>
      <c r="AC12" s="4" t="s">
        <v>54</v>
      </c>
      <c r="AD12" s="4" t="s">
        <v>55</v>
      </c>
      <c r="AE12" s="4" t="s">
        <v>56</v>
      </c>
      <c r="AF12" s="4" t="s">
        <v>57</v>
      </c>
      <c r="AG12" s="4" t="s">
        <v>58</v>
      </c>
      <c r="AH12" s="4" t="s">
        <v>59</v>
      </c>
      <c r="AI12" s="4" t="s">
        <v>60</v>
      </c>
      <c r="AJ12" s="4" t="s">
        <v>61</v>
      </c>
      <c r="AK12" s="4" t="s">
        <v>62</v>
      </c>
      <c r="AL12" s="4" t="s">
        <v>63</v>
      </c>
      <c r="AM12" s="4" t="s">
        <v>64</v>
      </c>
      <c r="AN12" s="4" t="s">
        <v>65</v>
      </c>
      <c r="AO12" s="6" t="s">
        <v>66</v>
      </c>
      <c r="AP12" s="6" t="s">
        <v>67</v>
      </c>
      <c r="AQ12" s="6" t="s">
        <v>68</v>
      </c>
    </row>
    <row r="13" spans="1:44">
      <c r="A13" s="51" t="s">
        <v>5</v>
      </c>
      <c r="B13" s="49"/>
      <c r="C13" s="49"/>
      <c r="D13" s="49"/>
      <c r="E13" s="49"/>
      <c r="L13" s="49" t="s">
        <v>6</v>
      </c>
      <c r="M13" s="9">
        <f>$F$14/1.54*'[1]ITO glass'!D14</f>
        <v>1.6837863429999995</v>
      </c>
      <c r="N13" s="9">
        <f>$C$14*'[1]ITO glass'!E14</f>
        <v>0</v>
      </c>
      <c r="O13" s="9">
        <f>$C$14*'[1]ITO glass'!F14</f>
        <v>0</v>
      </c>
      <c r="P13" s="9">
        <f>$C$14*'[1]ITO glass'!G14</f>
        <v>0</v>
      </c>
      <c r="Q13" s="9">
        <f>$C$14*'[1]ITO glass'!H14</f>
        <v>0</v>
      </c>
      <c r="R13" s="9">
        <f>$C$14*'[1]ITO glass'!I14</f>
        <v>0</v>
      </c>
      <c r="S13" s="9">
        <f>$C$14*'[1]ITO glass'!J14</f>
        <v>0</v>
      </c>
      <c r="T13" s="9">
        <f>$C$14*'[1]ITO glass'!K14</f>
        <v>0</v>
      </c>
      <c r="U13" s="9">
        <f>$C$14*'[1]ITO glass'!L14</f>
        <v>0</v>
      </c>
      <c r="V13" s="9">
        <f>$F$14/1.54*'[1]ITO glass'!M14</f>
        <v>29.222870408888099</v>
      </c>
      <c r="W13" s="9">
        <f>$F$14/1.54*'[1]ITO glass'!N14</f>
        <v>5.4035999599999981E-3</v>
      </c>
      <c r="X13" s="9">
        <f>$F$14/1.54*'[1]ITO glass'!O14</f>
        <v>1.5863857979999996</v>
      </c>
      <c r="Y13" s="9">
        <f>$F$14/1.54*'[1]ITO glass'!P14</f>
        <v>0.68711502629999976</v>
      </c>
      <c r="Z13" s="9">
        <f>$F$14/1.54*'[1]ITO glass'!Q14</f>
        <v>8.2522552699999981E-3</v>
      </c>
      <c r="AA13" s="9">
        <f>$F$14/1.54*'[1]ITO glass'!R14</f>
        <v>1.0550032339999995E-4</v>
      </c>
      <c r="AB13" s="9">
        <f>$F$14/1.54*'[1]ITO glass'!S14</f>
        <v>16.551815009999995</v>
      </c>
      <c r="AC13" s="9">
        <f>$F$14/1.54*'[1]ITO glass'!T14</f>
        <v>1.6734018999999996E-2</v>
      </c>
      <c r="AD13" s="9">
        <f>$F$14/1.54*'[1]ITO glass'!U14</f>
        <v>6.6525372399999982</v>
      </c>
      <c r="AE13" s="9">
        <f>$F$14/1.54*'[1]ITO glass'!V14</f>
        <v>1.5045233709999994E-3</v>
      </c>
      <c r="AF13" s="9">
        <f>$F$14/1.54*'[1]ITO glass'!W14</f>
        <v>6.4124742969999995E-2</v>
      </c>
      <c r="AG13" s="9">
        <f>$F$14/1.54*'[1]ITO glass'!X14</f>
        <v>2.6055490221999996E-4</v>
      </c>
      <c r="AH13" s="9">
        <f>$F$14/1.54*'[1]ITO glass'!Y14</f>
        <v>1.3754312986999998E-7</v>
      </c>
      <c r="AI13" s="9">
        <f>$F$14/1.54*'[1]ITO glass'!Z14</f>
        <v>1.9945352209999995E-3</v>
      </c>
      <c r="AJ13" s="9">
        <f>$F$14/1.54*'[1]ITO glass'!AA14</f>
        <v>4.886430722999999E-3</v>
      </c>
      <c r="AK13" s="9">
        <f>$F$14/1.54*'[1]ITO glass'!AB14</f>
        <v>7.216869110999999E-3</v>
      </c>
      <c r="AL13" s="9">
        <f>$F$14/1.54*'[1]ITO glass'!AC14</f>
        <v>7.8770027929999981E-4</v>
      </c>
      <c r="AM13" s="9">
        <f>$F$14/1.54*'[1]ITO glass'!AD14</f>
        <v>1.5844954199999996E-3</v>
      </c>
      <c r="AN13" s="9">
        <f>$F$14/1.54*'[1]ITO glass'!AE14</f>
        <v>1.0150023859999999E-3</v>
      </c>
      <c r="AO13" s="9">
        <f>$F$14/1.54*'[1]ITO glass'!AF14</f>
        <v>4.8907124689999991E-2</v>
      </c>
      <c r="AP13" s="9">
        <f>$F$14/1.54*'[1]ITO glass'!AG14</f>
        <v>0.17239188979999995</v>
      </c>
      <c r="AQ13" s="9">
        <f>$F$14/1.54*'[1]ITO glass'!AH14</f>
        <v>8.5370339059999981E-2</v>
      </c>
      <c r="AR13" s="9"/>
    </row>
    <row r="14" spans="1:44">
      <c r="A14" s="49" t="s">
        <v>6</v>
      </c>
      <c r="B14" s="49"/>
      <c r="C14" s="49">
        <v>1</v>
      </c>
      <c r="D14" s="49"/>
      <c r="E14" s="49">
        <v>1</v>
      </c>
      <c r="F14" s="50">
        <f>1.54*(1-B2)</f>
        <v>0.15399999999999997</v>
      </c>
      <c r="L14" s="49" t="s">
        <v>142</v>
      </c>
      <c r="M14">
        <f>$F$16*[2]production!D105</f>
        <v>2.4568249999999997E-3</v>
      </c>
      <c r="N14">
        <f>$F$16*[2]production!E105</f>
        <v>6.0010469999999998E-4</v>
      </c>
      <c r="O14">
        <f>$F$16*[2]production!F105</f>
        <v>2.9191389999999998E-2</v>
      </c>
      <c r="P14">
        <f>$F$16*[2]production!G105</f>
        <v>5.8924880000000001E-5</v>
      </c>
      <c r="Q14">
        <f>$F$16*[2]production!H105</f>
        <v>5.6283879999999989E-3</v>
      </c>
      <c r="R14">
        <f>$F$16*[2]production!I105</f>
        <v>2.0647059999999996E-6</v>
      </c>
      <c r="S14">
        <f>$F$16*[2]production!J105</f>
        <v>3.0211650000000002E-7</v>
      </c>
      <c r="T14">
        <f>$F$16*[2]production!K105</f>
        <v>1.8624609999999997E-3</v>
      </c>
      <c r="U14">
        <f>$F$16*[2]production!L105</f>
        <v>4.3091389999999993E-4</v>
      </c>
      <c r="V14">
        <f>$F$16*[2]production!M105</f>
        <v>3.7774549302499995E-2</v>
      </c>
      <c r="W14">
        <f>$F$16*[2]production!N105</f>
        <v>8.3811440000000005E-5</v>
      </c>
      <c r="X14">
        <f>$F$16*[2]production!O105</f>
        <v>2.3021180000000001E-3</v>
      </c>
      <c r="Y14">
        <f>$F$16*[2]production!P105</f>
        <v>6.9602859999999989E-4</v>
      </c>
      <c r="Z14">
        <f>$F$16*[2]production!Q105</f>
        <v>2.9951719999999998E-5</v>
      </c>
      <c r="AA14">
        <f>$F$16*[2]production!R105</f>
        <v>1.152032E-6</v>
      </c>
      <c r="AB14">
        <f>$F$16*[2]production!S105</f>
        <v>4.1616599999999997E-2</v>
      </c>
      <c r="AC14">
        <f>$F$16*[2]production!T105</f>
        <v>3.7620349999999998E-4</v>
      </c>
      <c r="AD14">
        <f>$F$16*[2]production!U105</f>
        <v>3.46249E-2</v>
      </c>
      <c r="AE14">
        <f>$F$16*[2]production!V105</f>
        <v>6.8251779999999993E-6</v>
      </c>
      <c r="AF14">
        <f>$F$16*[2]production!W105</f>
        <v>0.17148430000000001</v>
      </c>
      <c r="AG14">
        <f>$F$16*[2]production!X105</f>
        <v>9.9233489999999994E-6</v>
      </c>
      <c r="AH14">
        <f>$F$16*[2]production!Y105</f>
        <v>1.865519E-10</v>
      </c>
      <c r="AI14">
        <f>$F$16*[2]production!Z105</f>
        <v>3.5545079999999998E-5</v>
      </c>
      <c r="AJ14">
        <f>$F$16*[2]production!AA105</f>
        <v>2.218579E-5</v>
      </c>
      <c r="AK14">
        <f>$F$16*[2]production!AB105</f>
        <v>5.3838869999999995E-5</v>
      </c>
      <c r="AL14">
        <f>$F$16*[2]production!AC105</f>
        <v>1.2497629E-6</v>
      </c>
      <c r="AM14">
        <f>$F$16*[2]production!AD105</f>
        <v>1.5145439999999998E-4</v>
      </c>
      <c r="AN14">
        <f>$F$16*[2]production!AE105</f>
        <v>8.1679179999999994E-6</v>
      </c>
      <c r="AO14">
        <f>$F$16*[2]production!AF105</f>
        <v>8.4645439999999988E-4</v>
      </c>
      <c r="AP14">
        <f>$F$16*[2]production!AG105</f>
        <v>4.4846959999999994E-4</v>
      </c>
      <c r="AQ14">
        <f>$F$16*[2]production!AH105</f>
        <v>8.0451809999999985E-3</v>
      </c>
      <c r="AR14" s="9"/>
    </row>
    <row r="15" spans="1:44">
      <c r="A15" s="51" t="s">
        <v>12</v>
      </c>
      <c r="B15" s="49"/>
      <c r="C15" s="49"/>
      <c r="D15" s="49"/>
      <c r="E15" s="49"/>
      <c r="L15" s="49" t="s">
        <v>143</v>
      </c>
      <c r="M15">
        <f>$F$17*[2]production!D74</f>
        <v>8.8302478460674152E-6</v>
      </c>
      <c r="N15">
        <f>$F$17*[2]production!E74</f>
        <v>2.8267737811235951E-6</v>
      </c>
      <c r="O15">
        <f>$F$17*[2]production!F74</f>
        <v>9.7909496258426958E-5</v>
      </c>
      <c r="P15">
        <f>$F$17*[2]production!G74</f>
        <v>2.0833953100749062E-7</v>
      </c>
      <c r="Q15">
        <f>$F$17*[2]production!H74</f>
        <v>1.2775914913108614E-5</v>
      </c>
      <c r="R15">
        <f>$F$17*[2]production!I74</f>
        <v>2.049446460262172E-8</v>
      </c>
      <c r="S15">
        <f>$F$17*[2]production!J74</f>
        <v>4.4866191873408239E-9</v>
      </c>
      <c r="T15">
        <f>$F$17*[2]production!K74</f>
        <v>6.9731950913857673E-6</v>
      </c>
      <c r="U15">
        <f>$F$17*[2]production!L74</f>
        <v>7.7575655318352059E-7</v>
      </c>
      <c r="V15">
        <f>$F$17*[2]production!M74</f>
        <v>1.2149445721202592E-4</v>
      </c>
      <c r="W15">
        <f>$F$17*[2]production!N74</f>
        <v>4.0650454105617978E-7</v>
      </c>
      <c r="X15">
        <f>$F$17*[2]production!O74</f>
        <v>8.1223889925093627E-6</v>
      </c>
      <c r="Y15">
        <f>$F$17*[2]production!P74</f>
        <v>2.3363395761423218E-6</v>
      </c>
      <c r="Z15">
        <f>$F$17*[2]production!Q74</f>
        <v>1.2175476300749064E-7</v>
      </c>
      <c r="AA15">
        <f>$F$17*[2]production!R74</f>
        <v>4.3147974713483149E-9</v>
      </c>
      <c r="AB15">
        <f>$F$17*[2]production!S74</f>
        <v>1.6144451533333333E-4</v>
      </c>
      <c r="AC15">
        <f>$F$17*[2]production!T74</f>
        <v>8.8114999737827709E-7</v>
      </c>
      <c r="AD15">
        <f>$F$17*[2]production!U74</f>
        <v>1.3864811603370785E-4</v>
      </c>
      <c r="AE15">
        <f>$F$17*[2]production!V74</f>
        <v>8.6985060408239692E-9</v>
      </c>
      <c r="AF15">
        <f>$F$17*[2]production!W74</f>
        <v>5.8047466187265916E-7</v>
      </c>
      <c r="AG15">
        <f>$F$17*[2]production!X74</f>
        <v>1.1204640535955055E-9</v>
      </c>
      <c r="AH15">
        <f>$F$17*[2]production!Y74</f>
        <v>3.7007793190636704E-12</v>
      </c>
      <c r="AI15">
        <f>$F$17*[2]production!Z74</f>
        <v>2.8897058280898875E-8</v>
      </c>
      <c r="AJ15">
        <f>$F$17*[2]production!AA74</f>
        <v>2.4850558062921346E-8</v>
      </c>
      <c r="AK15">
        <f>$F$17*[2]production!AB74</f>
        <v>4.4715195496629214E-8</v>
      </c>
      <c r="AL15">
        <f>$F$17*[2]production!AC74</f>
        <v>7.2209710250936319E-9</v>
      </c>
      <c r="AM15">
        <f>$F$17*[2]production!AD74</f>
        <v>7.7332439677902621E-8</v>
      </c>
      <c r="AN15">
        <f>$F$17*[2]production!AE74</f>
        <v>6.6362400895131081E-6</v>
      </c>
      <c r="AO15">
        <f>$F$17*[2]production!AF74</f>
        <v>3.8056660640074902E-7</v>
      </c>
      <c r="AP15">
        <f>$F$17*[2]production!AG74</f>
        <v>1.4535681411610486E-6</v>
      </c>
      <c r="AQ15">
        <f>$F$17*[2]production!AH74</f>
        <v>3.0709014802247193E-7</v>
      </c>
    </row>
    <row r="16" spans="1:44">
      <c r="A16" s="1" t="s">
        <v>16</v>
      </c>
      <c r="B16" s="1">
        <v>25</v>
      </c>
      <c r="C16" s="1">
        <v>0.8</v>
      </c>
      <c r="D16" s="1">
        <v>6950</v>
      </c>
      <c r="E16" s="1">
        <v>1</v>
      </c>
      <c r="F16" s="50">
        <f>B16/1000000000*C16*D16/E16</f>
        <v>1.3899999999999999E-4</v>
      </c>
      <c r="L16" s="49" t="s">
        <v>144</v>
      </c>
      <c r="M16">
        <f>$F$20*[1]PbI2!D18</f>
        <v>5.0422090564514258E-3</v>
      </c>
      <c r="N16">
        <f>$F$20*[1]PbI2!E18</f>
        <v>0</v>
      </c>
      <c r="O16">
        <f>$F$20*[1]PbI2!F18</f>
        <v>0</v>
      </c>
      <c r="P16">
        <f>$F$20*[1]PbI2!G18</f>
        <v>0</v>
      </c>
      <c r="Q16">
        <f>$F$20*[1]PbI2!H18</f>
        <v>0</v>
      </c>
      <c r="R16">
        <f>$F$20*[1]PbI2!I18</f>
        <v>0</v>
      </c>
      <c r="S16">
        <f>$F$20*[1]PbI2!J18</f>
        <v>0</v>
      </c>
      <c r="T16">
        <f>$F$20*[1]PbI2!K18</f>
        <v>0</v>
      </c>
      <c r="U16">
        <f>$F$20*[1]PbI2!L18</f>
        <v>0</v>
      </c>
      <c r="V16">
        <f>$F$20*[1]PbI2!M18</f>
        <v>5.9957782482828542E-2</v>
      </c>
      <c r="W16">
        <f>$F$20*[1]PbI2!N18</f>
        <v>1.1565162326536683E-3</v>
      </c>
      <c r="X16">
        <f>$F$20*[1]PbI2!O18</f>
        <v>4.3062105914821154E-3</v>
      </c>
      <c r="Y16">
        <f>$F$20*[1]PbI2!P18</f>
        <v>1.1429847300287359E-3</v>
      </c>
      <c r="Z16">
        <f>$F$20*[1]PbI2!Q18</f>
        <v>7.8727651680289126E-5</v>
      </c>
      <c r="AA16">
        <f>$F$20*[1]PbI2!R18</f>
        <v>2.1857156972023847E-6</v>
      </c>
      <c r="AB16">
        <f>$F$20*[1]PbI2!S18</f>
        <v>0.17226746119752853</v>
      </c>
      <c r="AC16">
        <f>$F$20*[1]PbI2!T18</f>
        <v>2.1167015731840812E-4</v>
      </c>
      <c r="AD16">
        <f>$F$20*[1]PbI2!U18</f>
        <v>8.6393534830036825E-2</v>
      </c>
      <c r="AE16">
        <f>$F$20*[1]PbI2!V18</f>
        <v>5.6988046515963701E-6</v>
      </c>
      <c r="AF16">
        <f>$F$20*[1]PbI2!W18</f>
        <v>6.9841964855818972E-4</v>
      </c>
      <c r="AG16">
        <f>$F$20*[1]PbI2!X18</f>
        <v>7.3256467256111374E-7</v>
      </c>
      <c r="AH16">
        <f>$F$20*[1]PbI2!Y18</f>
        <v>4.930002572746055E-10</v>
      </c>
      <c r="AI16">
        <f>$F$20*[1]PbI2!Z18</f>
        <v>1.2204319824454714E-5</v>
      </c>
      <c r="AJ16">
        <f>$F$20*[1]PbI2!AA18</f>
        <v>1.717811533053855E-5</v>
      </c>
      <c r="AK16">
        <f>$F$20*[1]PbI2!AB18</f>
        <v>3.4526488572112408E-5</v>
      </c>
      <c r="AL16">
        <f>$F$20*[1]PbI2!AC18</f>
        <v>5.9397861550244718E-6</v>
      </c>
      <c r="AM16">
        <f>$F$20*[1]PbI2!AD18</f>
        <v>4.4415082981350911E-5</v>
      </c>
      <c r="AN16">
        <f>$F$20*[1]PbI2!AE18</f>
        <v>1.2969462472460564E-5</v>
      </c>
      <c r="AO16">
        <f>$F$20*[1]PbI2!AF18</f>
        <v>2.1121004127393715E-4</v>
      </c>
      <c r="AP16">
        <f>$F$20*[1]PbI2!AG18</f>
        <v>1.3483806055473559E-3</v>
      </c>
      <c r="AQ16">
        <f>$F$20*[1]PbI2!AH18</f>
        <v>1.6947277140148126E-4</v>
      </c>
    </row>
    <row r="17" spans="1:44">
      <c r="A17" s="1" t="s">
        <v>17</v>
      </c>
      <c r="B17" s="1"/>
      <c r="C17" s="1"/>
      <c r="D17" s="1"/>
      <c r="E17" s="1"/>
      <c r="F17" s="50">
        <f>F16/2.67*(100-2.67)</f>
        <v>5.0669925093632957E-3</v>
      </c>
      <c r="L17" s="49" t="s">
        <v>10</v>
      </c>
      <c r="M17">
        <f>$F$21*[2]production!D75</f>
        <v>4.7500373710823293E-3</v>
      </c>
      <c r="N17">
        <f>$F$21*[2]production!E75</f>
        <v>1.2787847008937845E-3</v>
      </c>
      <c r="O17">
        <f>$F$21*[2]production!F75</f>
        <v>0.12136235912841865</v>
      </c>
      <c r="P17">
        <f>$F$21*[2]production!G75</f>
        <v>5.7763455993792309E-5</v>
      </c>
      <c r="Q17">
        <f>$F$21*[2]production!H75</f>
        <v>4.181434057928513E-3</v>
      </c>
      <c r="R17">
        <f>$F$21*[2]production!I75</f>
        <v>6.1937087320124256E-6</v>
      </c>
      <c r="S17">
        <f>$F$21*[2]production!J75</f>
        <v>5.8986990714359787E-7</v>
      </c>
      <c r="T17">
        <f>$F$21*[2]production!K75</f>
        <v>2.0697160598798893E-3</v>
      </c>
      <c r="U17">
        <f>$F$21*[2]production!L75</f>
        <v>2.4075577364544924E-4</v>
      </c>
      <c r="V17">
        <f>$F$21*[2]production!M75</f>
        <v>0.12919759675539927</v>
      </c>
      <c r="W17">
        <f>$F$21*[2]production!N75</f>
        <v>1.9332512647229737E-4</v>
      </c>
      <c r="X17">
        <f>$F$21*[2]production!O75</f>
        <v>4.2994711252722683E-3</v>
      </c>
      <c r="Y17">
        <f>$F$21*[2]production!P75</f>
        <v>2.8911610798755334E-3</v>
      </c>
      <c r="Z17">
        <f>$F$21*[2]production!Q75</f>
        <v>6.0497732363907156E-5</v>
      </c>
      <c r="AA17">
        <f>$F$21*[2]production!R75</f>
        <v>1.6320160204258645E-6</v>
      </c>
      <c r="AB17">
        <f>$F$21*[2]production!S75</f>
        <v>9.8548500064594619E-2</v>
      </c>
      <c r="AC17">
        <f>$F$21*[2]production!T75</f>
        <v>4.255310984747038E-4</v>
      </c>
      <c r="AD17">
        <f>$F$21*[2]production!U75</f>
        <v>6.4020582671972553E-2</v>
      </c>
      <c r="AE17">
        <f>$F$21*[2]production!V75</f>
        <v>2.074696526856419E-5</v>
      </c>
      <c r="AF17">
        <f>$F$21*[2]production!W75</f>
        <v>2.7684755766870162E-4</v>
      </c>
      <c r="AG17">
        <f>$F$21*[2]production!X75</f>
        <v>1.8153802129451024E-6</v>
      </c>
      <c r="AH17">
        <f>$F$21*[2]production!Y75</f>
        <v>8.6402801264497348E-10</v>
      </c>
      <c r="AI17">
        <f>$F$21*[2]production!Z75</f>
        <v>1.198283752996475E-5</v>
      </c>
      <c r="AJ17">
        <f>$F$21*[2]production!AA75</f>
        <v>1.4535160839870376E-5</v>
      </c>
      <c r="AK17">
        <f>$F$21*[2]production!AB75</f>
        <v>3.0530262566127512E-5</v>
      </c>
      <c r="AL17">
        <f>$F$21*[2]production!AC75</f>
        <v>3.0530262566127512E-5</v>
      </c>
      <c r="AM17">
        <f>$F$21*[2]production!AD75</f>
        <v>3.6691100216094834E-5</v>
      </c>
      <c r="AN17">
        <f>$F$21*[2]production!AE75</f>
        <v>1.2841802067850251E-5</v>
      </c>
      <c r="AO17">
        <f>$F$21*[2]production!AF75</f>
        <v>1.9129973656850858E-4</v>
      </c>
      <c r="AP17">
        <f>$F$21*[2]production!AG75</f>
        <v>8.4958465841303722E-4</v>
      </c>
      <c r="AQ17">
        <f>$F$21*[2]production!AH75</f>
        <v>3.5949010636591902E-4</v>
      </c>
    </row>
    <row r="18" spans="1:44">
      <c r="A18" s="25" t="s">
        <v>137</v>
      </c>
      <c r="B18" s="47"/>
      <c r="C18" s="25"/>
      <c r="D18" s="25"/>
      <c r="E18" s="25"/>
      <c r="F18" s="53">
        <f>25.77/1000</f>
        <v>2.5770000000000001E-2</v>
      </c>
      <c r="G18" s="48" t="s">
        <v>138</v>
      </c>
      <c r="L18" s="49" t="s">
        <v>20</v>
      </c>
      <c r="M18">
        <f>$F$22*[2]production!D104</f>
        <v>1.2872013029725408E-4</v>
      </c>
      <c r="N18">
        <f>$F$22*[2]production!E104</f>
        <v>3.6062116529166905E-5</v>
      </c>
      <c r="O18">
        <f>$F$22*[2]production!F104</f>
        <v>5.5491799712977371E-3</v>
      </c>
      <c r="P18">
        <f>$F$22*[2]production!G104</f>
        <v>1.6157945152389242E-6</v>
      </c>
      <c r="Q18">
        <f>$F$22*[2]production!H104</f>
        <v>2.7495982464252763E-4</v>
      </c>
      <c r="R18">
        <f>$F$22*[2]production!I104</f>
        <v>6.4919717889049878E-8</v>
      </c>
      <c r="S18">
        <f>$F$22*[2]production!J104</f>
        <v>6.9685890955585729E-8</v>
      </c>
      <c r="T18">
        <f>$F$22*[2]production!K104</f>
        <v>5.8685470242564253E-5</v>
      </c>
      <c r="U18">
        <f>$F$22*[2]production!L104</f>
        <v>1.9192439087326874E-5</v>
      </c>
      <c r="V18">
        <f>$F$22*[2]production!M104</f>
        <v>5.9398302219234068E-3</v>
      </c>
      <c r="W18">
        <f>$F$22*[2]production!N104</f>
        <v>5.4909841972030429E-6</v>
      </c>
      <c r="X18">
        <f>$F$22*[2]production!O104</f>
        <v>1.0965949348575142E-4</v>
      </c>
      <c r="Y18">
        <f>$F$22*[2]production!P104</f>
        <v>1.321469894686838E-4</v>
      </c>
      <c r="Z18">
        <f>$F$22*[2]production!Q104</f>
        <v>2.3056273496296906E-6</v>
      </c>
      <c r="AA18">
        <f>$F$22*[2]production!R104</f>
        <v>5.1284265523204184E-8</v>
      </c>
      <c r="AB18">
        <f>$F$22*[2]production!S104</f>
        <v>3.4091165573764716E-3</v>
      </c>
      <c r="AC18">
        <f>$F$22*[2]production!T104</f>
        <v>1.8777768850310674E-5</v>
      </c>
      <c r="AD18">
        <f>$F$22*[2]production!U104</f>
        <v>1.9920393195340643E-3</v>
      </c>
      <c r="AE18">
        <f>$F$22*[2]production!V104</f>
        <v>1.0082265782356754E-7</v>
      </c>
      <c r="AF18">
        <f>$F$22*[2]production!W104</f>
        <v>1.1045030714069675E-5</v>
      </c>
      <c r="AG18">
        <f>$F$22*[2]production!X104</f>
        <v>5.7604691580805651E-8</v>
      </c>
      <c r="AH18">
        <f>$F$22*[2]production!Y104</f>
        <v>3.2065465980712467E-11</v>
      </c>
      <c r="AI18">
        <f>$F$22*[2]production!Z104</f>
        <v>1.7444538137165673E-7</v>
      </c>
      <c r="AJ18">
        <f>$F$22*[2]production!AA104</f>
        <v>3.9958394575262895E-7</v>
      </c>
      <c r="AK18">
        <f>$F$22*[2]production!AB104</f>
        <v>5.2103467360634722E-7</v>
      </c>
      <c r="AL18">
        <f>$F$22*[2]production!AC104</f>
        <v>9.8770597775350453E-8</v>
      </c>
      <c r="AM18">
        <f>$F$22*[2]production!AD104</f>
        <v>9.7089611826761539E-7</v>
      </c>
      <c r="AN18">
        <f>$F$22*[2]production!AE104</f>
        <v>3.8961766597299756E-7</v>
      </c>
      <c r="AO18">
        <f>$F$22*[2]production!AF104</f>
        <v>5.0412342775443964E-6</v>
      </c>
      <c r="AP18">
        <f>$F$22*[2]production!AG104</f>
        <v>2.7408790189476741E-5</v>
      </c>
      <c r="AQ18">
        <f>$F$22*[2]production!AH104</f>
        <v>1.6357676293445947E-5</v>
      </c>
    </row>
    <row r="19" spans="1:44">
      <c r="A19" s="51" t="s">
        <v>8</v>
      </c>
      <c r="B19" s="49">
        <v>650</v>
      </c>
      <c r="C19" s="49"/>
      <c r="D19" s="49"/>
      <c r="E19" s="49"/>
      <c r="G19" s="49" t="s">
        <v>23</v>
      </c>
      <c r="L19" s="49" t="s">
        <v>11</v>
      </c>
      <c r="M19">
        <f>$F$23*[3]Sheet1!P26</f>
        <v>2.3900391307546311E-2</v>
      </c>
      <c r="N19">
        <f>$F$23*[3]Sheet1!Q26</f>
        <v>8.0999630000575199E-3</v>
      </c>
      <c r="O19">
        <f>$F$23*[3]Sheet1!R26</f>
        <v>0.41240084923029696</v>
      </c>
      <c r="P19">
        <f>$F$23*[3]Sheet1!S26</f>
        <v>2.03471793768634E-5</v>
      </c>
      <c r="Q19">
        <f>$F$23*[3]Sheet1!T26</f>
        <v>1.9855473770289773E-3</v>
      </c>
      <c r="R19">
        <f>$F$23*[3]Sheet1!U26</f>
        <v>1.5011688731885138E-5</v>
      </c>
      <c r="S19">
        <f>$F$23*[3]Sheet1!V26</f>
        <v>1.0131510556269646E-6</v>
      </c>
      <c r="T19">
        <f>$F$23*[3]Sheet1!W26</f>
        <v>7.6266571906398527E-4</v>
      </c>
      <c r="U19">
        <f>$F$23*[3]Sheet1!X26</f>
        <v>9.2402957965389578E-5</v>
      </c>
      <c r="V19">
        <f>$F$23*[3]Sheet1!Y26</f>
        <v>0.42337780030357741</v>
      </c>
      <c r="W19">
        <f>$F$23*[3]Sheet1!Z26</f>
        <v>4.0071858609145016E-4</v>
      </c>
      <c r="X19">
        <f>$F$23*[3]Sheet1!AA26</f>
        <v>2.2449264517362729E-2</v>
      </c>
      <c r="Y19">
        <f>$F$23*[3]Sheet1!AB26</f>
        <v>9.8222529841333703E-3</v>
      </c>
      <c r="Z19">
        <f>$F$23*[3]Sheet1!AC26</f>
        <v>1.0409635536818083E-4</v>
      </c>
      <c r="AA19">
        <f>$F$23*[3]Sheet1!AD26</f>
        <v>7.9149825212425441E-7</v>
      </c>
      <c r="AB19">
        <f>$F$23*[3]Sheet1!AE26</f>
        <v>0.18720865269091699</v>
      </c>
      <c r="AC19">
        <f>$F$23*[3]Sheet1!AF26</f>
        <v>1.8275802588483812E-4</v>
      </c>
      <c r="AD19">
        <f>$F$23*[3]Sheet1!AG26</f>
        <v>6.4334320772800865E-2</v>
      </c>
      <c r="AE19">
        <f>$F$23*[3]Sheet1!AH26</f>
        <v>2.2124832456971906E-5</v>
      </c>
      <c r="AF19">
        <f>$F$23*[3]Sheet1!AI26</f>
        <v>1.2632995555055101E-4</v>
      </c>
      <c r="AG19">
        <f>$F$23*[3]Sheet1!AJ26</f>
        <v>3.9476509931641219E-6</v>
      </c>
      <c r="AH19">
        <f>$F$23*[3]Sheet1!AK26</f>
        <v>4.3260993701717391E-8</v>
      </c>
      <c r="AI19">
        <f>$F$23*[3]Sheet1!AL26</f>
        <v>2.6229157242438755E-5</v>
      </c>
      <c r="AJ19">
        <f>$F$23*[3]Sheet1!AM26</f>
        <v>8.252845089191615E-5</v>
      </c>
      <c r="AK19">
        <f>$F$23*[3]Sheet1!AN26</f>
        <v>9.9580630961408615E-5</v>
      </c>
      <c r="AL19">
        <f>$F$23*[3]Sheet1!AO26</f>
        <v>4.4460374592359155E-6</v>
      </c>
      <c r="AM19">
        <f>$F$23*[3]Sheet1!AP26</f>
        <v>3.12325654230292E-5</v>
      </c>
      <c r="AN19">
        <f>$F$23*[3]Sheet1!AQ26</f>
        <v>1.1403084430121304E-4</v>
      </c>
      <c r="AO19">
        <f>$F$23*[3]Sheet1!AR26</f>
        <v>7.5344909269758117E-4</v>
      </c>
      <c r="AP19">
        <f>$F$23*[3]Sheet1!AS26</f>
        <v>2.1146675558059796E-3</v>
      </c>
      <c r="AQ19">
        <f>$F$23*[3]Sheet1!AT26</f>
        <v>1.1836629040281308E-3</v>
      </c>
    </row>
    <row r="20" spans="1:44">
      <c r="A20" s="1" t="s">
        <v>9</v>
      </c>
      <c r="B20" s="2">
        <f>$B$19/$J$26*J20</f>
        <v>224.17668666973742</v>
      </c>
      <c r="C20" s="22">
        <v>0.8</v>
      </c>
      <c r="D20" s="1">
        <v>6160</v>
      </c>
      <c r="E20" s="1">
        <v>1</v>
      </c>
      <c r="F20" s="50">
        <f>B20/1000000000*C20*D20/E20</f>
        <v>1.1047427119084661E-3</v>
      </c>
      <c r="G20" s="49">
        <f>G23+G24+G25</f>
        <v>4.9129752676264308E-4</v>
      </c>
      <c r="H20">
        <f>G20*461</f>
        <v>0.22648815983757845</v>
      </c>
      <c r="I20" t="s">
        <v>24</v>
      </c>
      <c r="J20">
        <f>H20/1000/D20/C20</f>
        <v>4.5959448018989127E-8</v>
      </c>
      <c r="L20" s="49" t="s">
        <v>21</v>
      </c>
      <c r="M20">
        <f>$F$24*[4]Sheet1!K20</f>
        <v>0.10592670348814012</v>
      </c>
      <c r="N20">
        <f>$F$24*[4]Sheet1!L20</f>
        <v>6.7899409141606018E-3</v>
      </c>
      <c r="O20">
        <f>$F$24*[4]Sheet1!M20</f>
        <v>1.849180700625076</v>
      </c>
      <c r="P20">
        <f>$F$24*[4]Sheet1!N20</f>
        <v>6.766129763178112E-5</v>
      </c>
      <c r="Q20">
        <f>$F$24*[4]Sheet1!O20</f>
        <v>6.9023667411636305E-3</v>
      </c>
      <c r="R20">
        <f>$F$24*[4]Sheet1!P20</f>
        <v>8.359391861369729E-6</v>
      </c>
      <c r="S20">
        <f>$F$24*[4]Sheet1!Q20</f>
        <v>7.7739809153196594E-7</v>
      </c>
      <c r="T20">
        <f>$F$24*[4]Sheet1!R20</f>
        <v>2.7378495295712103E-3</v>
      </c>
      <c r="U20">
        <f>$F$24*[4]Sheet1!S20</f>
        <v>3.0311661981452905E-4</v>
      </c>
      <c r="V20">
        <f>$F$24*[4]Sheet1!T20</f>
        <v>1.865990772517371</v>
      </c>
      <c r="W20">
        <f>$F$24*[4]Sheet1!U20</f>
        <v>9.3184804084650347E-4</v>
      </c>
      <c r="X20">
        <f>$F$24*[4]Sheet1!V20</f>
        <v>9.9959832817936786E-2</v>
      </c>
      <c r="Y20">
        <f>$F$24*[4]Sheet1!W20</f>
        <v>4.404181504286072E-2</v>
      </c>
      <c r="Z20">
        <f>$F$24*[4]Sheet1!X20</f>
        <v>4.3816934340566108E-4</v>
      </c>
      <c r="AA20">
        <f>$F$24*[4]Sheet1!Y20</f>
        <v>2.9028874154659117E-6</v>
      </c>
      <c r="AB20">
        <f>$F$24*[4]Sheet1!Z20</f>
        <v>0.83348033340664018</v>
      </c>
      <c r="AC20">
        <f>$F$24*[4]Sheet1!AA20</f>
        <v>6.8022974933055873E-4</v>
      </c>
      <c r="AD20">
        <f>$F$24*[4]Sheet1!AB20</f>
        <v>0.28071266628617775</v>
      </c>
      <c r="AE20">
        <f>$F$24*[4]Sheet1!AC20</f>
        <v>9.1835309695943455E-5</v>
      </c>
      <c r="AF20">
        <f>$F$24*[4]Sheet1!AD20</f>
        <v>4.741940063259119E-4</v>
      </c>
      <c r="AG20">
        <f>$F$24*[4]Sheet1!AE20</f>
        <v>1.6474646684041032E-5</v>
      </c>
      <c r="AH20">
        <f>$F$24*[4]Sheet1!AF20</f>
        <v>8.9082470468329715E-9</v>
      </c>
      <c r="AI20">
        <f>$F$24*[4]Sheet1!AG20</f>
        <v>1.1271609161813443E-4</v>
      </c>
      <c r="AJ20">
        <f>$F$24*[4]Sheet1!AH20</f>
        <v>3.0041284040379892E-4</v>
      </c>
      <c r="AK20">
        <f>$F$24*[4]Sheet1!AI20</f>
        <v>4.3361296650024696E-4</v>
      </c>
      <c r="AL20">
        <f>$F$24*[4]Sheet1!AJ20</f>
        <v>9.5812632476748983E-6</v>
      </c>
      <c r="AM20">
        <f>$F$24*[4]Sheet1!AK20</f>
        <v>6.382559339077191E-5</v>
      </c>
      <c r="AN20">
        <f>$F$24*[4]Sheet1!AL20</f>
        <v>1.4397051090085739E-5</v>
      </c>
      <c r="AO20">
        <f>$F$24*[4]Sheet1!AM20</f>
        <v>2.9652042399141158E-3</v>
      </c>
      <c r="AP20">
        <f>$F$24*[4]Sheet1!AN20</f>
        <v>9.3989369435878659E-3</v>
      </c>
      <c r="AQ20">
        <f>$F$24*[4]Sheet1!AO20</f>
        <v>5.3031244613065487E-3</v>
      </c>
    </row>
    <row r="21" spans="1:44">
      <c r="A21" s="1" t="s">
        <v>10</v>
      </c>
      <c r="B21" s="2"/>
      <c r="C21" s="1"/>
      <c r="D21" s="1"/>
      <c r="E21" s="1"/>
      <c r="F21" s="50">
        <f>F20*1000/461/1.3*0.95*1000*0.948/1000</f>
        <v>1.6601556588432577E-3</v>
      </c>
      <c r="L21" s="49" t="s">
        <v>22</v>
      </c>
      <c r="M21">
        <f>$F$25*[2]production!D114</f>
        <v>1.5715091537824337E-7</v>
      </c>
      <c r="N21">
        <f>$F$25*[2]production!E114</f>
        <v>8.4930621157171208E-8</v>
      </c>
      <c r="O21">
        <f>$F$25*[2]production!F114</f>
        <v>2.4193520534803144E-6</v>
      </c>
      <c r="P21">
        <f>$F$25*[2]production!G114</f>
        <v>1.9917137914718422E-9</v>
      </c>
      <c r="Q21">
        <f>$F$25*[2]production!H114</f>
        <v>2.1663161642573984E-7</v>
      </c>
      <c r="R21">
        <f>$F$25*[2]production!I114</f>
        <v>5.2807998902825547E-11</v>
      </c>
      <c r="S21">
        <f>$F$25*[2]production!J114</f>
        <v>4.036692135151146E-11</v>
      </c>
      <c r="T21">
        <f>$F$25*[2]production!K114</f>
        <v>9.7181468164887224E-8</v>
      </c>
      <c r="U21">
        <f>$F$25*[2]production!L114</f>
        <v>1.3870440589672545E-8</v>
      </c>
      <c r="V21">
        <f>$F$25*[2]production!M114</f>
        <v>2.8340510885295118E-6</v>
      </c>
      <c r="W21">
        <f>$F$25*[2]production!N114</f>
        <v>1.1836144422672211E-8</v>
      </c>
      <c r="X21">
        <f>$F$25*[2]production!O114</f>
        <v>1.4345724286292965E-7</v>
      </c>
      <c r="Y21">
        <f>$F$25*[2]production!P114</f>
        <v>5.7648634581459628E-8</v>
      </c>
      <c r="Z21">
        <f>$F$25*[2]production!Q114</f>
        <v>1.6350461553441907E-9</v>
      </c>
      <c r="AA21">
        <f>$F$25*[2]production!R114</f>
        <v>4.9193618574462125E-11</v>
      </c>
      <c r="AB21">
        <f>$F$25*[2]production!S114</f>
        <v>2.2018453765540232E-6</v>
      </c>
      <c r="AC21">
        <f>$F$25*[2]production!T114</f>
        <v>1.1909017353989011E-8</v>
      </c>
      <c r="AD21">
        <f>$F$25*[2]production!U114</f>
        <v>2.1035108186325569E-6</v>
      </c>
      <c r="AE21">
        <f>$F$25*[2]production!V114</f>
        <v>3.199677743319617E-10</v>
      </c>
      <c r="AF21">
        <f>$F$25*[2]production!W114</f>
        <v>1.0188455252738115E-8</v>
      </c>
      <c r="AG21">
        <f>$F$25*[2]production!X114</f>
        <v>2.2117080985836469E-11</v>
      </c>
      <c r="AH21">
        <f>$F$25*[2]production!Y114</f>
        <v>1.0753878960786548E-13</v>
      </c>
      <c r="AI21">
        <f>$F$25*[2]production!Z114</f>
        <v>3.0469079836916251E-10</v>
      </c>
      <c r="AJ21">
        <f>$F$25*[2]production!AA114</f>
        <v>4.6811346843864696E-10</v>
      </c>
      <c r="AK21">
        <f>$F$25*[2]production!AB114</f>
        <v>7.0408714121268945E-10</v>
      </c>
      <c r="AL21">
        <f>$F$25*[2]production!AC114</f>
        <v>2.0014301823140826E-10</v>
      </c>
      <c r="AM21">
        <f>$F$25*[2]production!AD114</f>
        <v>1.3686648618319328E-9</v>
      </c>
      <c r="AN21">
        <f>$F$25*[2]production!AE114</f>
        <v>4.5201703782650214E-10</v>
      </c>
      <c r="AO21">
        <f>$F$25*[2]production!AF114</f>
        <v>6.1391786354720204E-9</v>
      </c>
      <c r="AP21">
        <f>$F$25*[2]production!AG114</f>
        <v>2.0566555724324775E-8</v>
      </c>
      <c r="AQ21">
        <f>$F$25*[2]production!AH114</f>
        <v>7.3847497024772604E-9</v>
      </c>
    </row>
    <row r="22" spans="1:44">
      <c r="A22" s="1" t="s">
        <v>20</v>
      </c>
      <c r="B22" s="1"/>
      <c r="C22" s="1"/>
      <c r="D22" s="1"/>
      <c r="E22" s="1"/>
      <c r="F22" s="50">
        <f>F20*1000/461/1.3*0.05*1000*1.1/1000</f>
        <v>1.0138636601863113E-4</v>
      </c>
      <c r="L22" s="62" t="s">
        <v>137</v>
      </c>
      <c r="M22" s="64">
        <f>($F$18+$F$26+$F$33)*[5]production!D76</f>
        <v>0.10111823698954497</v>
      </c>
      <c r="N22" s="64">
        <f>($F$18+$F$26+$F$33)*[5]production!E76</f>
        <v>1.784478563728753E-2</v>
      </c>
      <c r="O22" s="64">
        <f>($F$18+$F$26+$F$33)*[5]production!F76</f>
        <v>3.2129584715209285</v>
      </c>
      <c r="P22" s="64">
        <f>($F$18+$F$26+$F$33)*[5]production!G76</f>
        <v>3.3000615802140747E-4</v>
      </c>
      <c r="Q22" s="64">
        <f>($F$18+$F$26+$F$33)*[5]production!H76</f>
        <v>9.3155473461207755E-2</v>
      </c>
      <c r="R22" s="64">
        <f>($F$18+$F$26+$F$33)*[5]production!I76</f>
        <v>4.0915204057392739E-5</v>
      </c>
      <c r="S22" s="64">
        <f>($F$18+$F$26+$F$33)*[5]production!J76</f>
        <v>1.5674129654597557E-5</v>
      </c>
      <c r="T22" s="64">
        <f>($F$18+$F$26+$F$33)*[5]production!K76</f>
        <v>1.6759457645942544E-2</v>
      </c>
      <c r="U22" s="64">
        <f>($F$18+$F$26+$F$33)*[5]production!L76</f>
        <v>1.3246538882119789E-3</v>
      </c>
      <c r="V22" s="64">
        <f>($F$18+$F$26+$F$33)*[5]production!M76</f>
        <v>3.3424294376453116</v>
      </c>
      <c r="W22" s="64">
        <f>($F$18+$F$26+$F$33)*[5]production!N76</f>
        <v>2.0334948890898962E-3</v>
      </c>
      <c r="X22" s="64">
        <f>($F$18+$F$26+$F$33)*[5]production!O76</f>
        <v>8.8099838481116063E-2</v>
      </c>
      <c r="Y22" s="64">
        <f>($F$18+$F$26+$F$33)*[5]production!P76</f>
        <v>7.6499011226688771E-2</v>
      </c>
      <c r="Z22" s="64">
        <f>($F$18+$F$26+$F$33)*[5]production!Q76</f>
        <v>5.13648084067148E-4</v>
      </c>
      <c r="AA22" s="64">
        <f>($F$18+$F$26+$F$33)*[5]production!R76</f>
        <v>1.4550593688047057E-5</v>
      </c>
      <c r="AB22" s="64">
        <f>($F$18+$F$26+$F$33)*[5]production!S76</f>
        <v>0.84655583324909012</v>
      </c>
      <c r="AC22" s="64">
        <f>($F$18+$F$26+$F$33)*[5]production!T76</f>
        <v>2.0418563445334212E-3</v>
      </c>
      <c r="AD22" s="64">
        <f>($F$18+$F$26+$F$33)*[5]production!U76</f>
        <v>0.6303208431367342</v>
      </c>
      <c r="AE22" s="64">
        <f>($F$18+$F$26+$F$33)*[5]production!V76</f>
        <v>6.1941218934617487E-5</v>
      </c>
      <c r="AF22" s="64">
        <f>($F$18+$F$26+$F$33)*[5]production!W76</f>
        <v>3.576764844129937E-3</v>
      </c>
      <c r="AG22" s="64">
        <f>($F$18+$F$26+$F$33)*[5]production!X76</f>
        <v>8.1449435840272536E-6</v>
      </c>
      <c r="AH22" s="64">
        <f>($F$18+$F$26+$F$33)*[5]production!Y76</f>
        <v>3.5837973265228357E-9</v>
      </c>
      <c r="AI22" s="64">
        <f>($F$18+$F$26+$F$33)*[5]production!Z76</f>
        <v>1.3345658122145685E-4</v>
      </c>
      <c r="AJ22" s="64">
        <f>($F$18+$F$26+$F$33)*[5]production!AA76</f>
        <v>4.3550446869030897E-4</v>
      </c>
      <c r="AK22" s="64">
        <f>($F$18+$F$26+$F$33)*[5]production!AB76</f>
        <v>3.7447138134028625E-4</v>
      </c>
      <c r="AL22" s="64">
        <f>($F$18+$F$26+$F$33)*[5]production!AC76</f>
        <v>2.9019787776743237E-5</v>
      </c>
      <c r="AM22" s="64">
        <f>($F$18+$F$26+$F$33)*[5]production!AD76</f>
        <v>2.8835946504739905E-4</v>
      </c>
      <c r="AN22" s="64">
        <f>($F$18+$F$26+$F$33)*[5]production!AE76</f>
        <v>2.3403215421532929E-4</v>
      </c>
      <c r="AO22" s="64">
        <f>($F$18+$F$26+$F$33)*[5]production!AF76</f>
        <v>3.0381985153635415E-3</v>
      </c>
      <c r="AP22" s="64">
        <f>($F$18+$F$26+$F$33)*[5]production!AG76</f>
        <v>9.1732364819495198E-3</v>
      </c>
      <c r="AQ22" s="64">
        <f>($F$18+$F$26+$F$33)*[5]production!AH76</f>
        <v>9.338804374506739E-3</v>
      </c>
      <c r="AR22" s="56"/>
    </row>
    <row r="23" spans="1:44">
      <c r="A23" s="1" t="s">
        <v>11</v>
      </c>
      <c r="B23" s="2">
        <f>$B$19/$J$26*J23</f>
        <v>340.30508693752182</v>
      </c>
      <c r="C23" s="22">
        <v>0.8</v>
      </c>
      <c r="D23" s="1">
        <v>1075</v>
      </c>
      <c r="E23" s="1">
        <v>1</v>
      </c>
      <c r="F23" s="50">
        <f>B23/1000000000*C23*D23/E23</f>
        <v>2.9266237476626876E-4</v>
      </c>
      <c r="G23" s="49">
        <f>60/1000/172</f>
        <v>3.4883720930232559E-4</v>
      </c>
      <c r="H23">
        <f>60/1000</f>
        <v>0.06</v>
      </c>
      <c r="I23" t="s">
        <v>24</v>
      </c>
      <c r="J23">
        <f>H23/1000/D23/C23</f>
        <v>6.9767441860465107E-8</v>
      </c>
      <c r="L23" s="49" t="s">
        <v>18</v>
      </c>
      <c r="M23">
        <f>$F$28*'[1]spiro-OMeTAD'!D33</f>
        <v>3.1854997688690531E-2</v>
      </c>
      <c r="N23">
        <f>$F$28*'[1]spiro-OMeTAD'!E33</f>
        <v>0</v>
      </c>
      <c r="O23">
        <f>$F$28*'[1]spiro-OMeTAD'!F33</f>
        <v>0</v>
      </c>
      <c r="P23">
        <f>$F$28*'[1]spiro-OMeTAD'!G33</f>
        <v>0</v>
      </c>
      <c r="Q23">
        <f>$F$28*'[1]spiro-OMeTAD'!H33</f>
        <v>0</v>
      </c>
      <c r="R23">
        <f>$F$28*'[1]spiro-OMeTAD'!I33</f>
        <v>0</v>
      </c>
      <c r="S23">
        <f>$F$28*'[1]spiro-OMeTAD'!J33</f>
        <v>0</v>
      </c>
      <c r="T23">
        <f>$F$28*'[1]spiro-OMeTAD'!K33</f>
        <v>0</v>
      </c>
      <c r="U23">
        <f>$F$28*'[1]spiro-OMeTAD'!L33</f>
        <v>0</v>
      </c>
      <c r="V23">
        <f>$F$28*'[1]spiro-OMeTAD'!M33</f>
        <v>0.51315829357722298</v>
      </c>
      <c r="W23">
        <f>$F$28*'[1]spiro-OMeTAD'!N33</f>
        <v>7.8013599885443392E-3</v>
      </c>
      <c r="X23">
        <f>$F$28*'[1]spiro-OMeTAD'!O33</f>
        <v>2.8796039540210532E-2</v>
      </c>
      <c r="Y23">
        <f>$F$28*'[1]spiro-OMeTAD'!P33</f>
        <v>9.2947776112168434E-3</v>
      </c>
      <c r="Z23">
        <f>$F$28*'[1]spiro-OMeTAD'!Q33</f>
        <v>1.9451980390817688E-3</v>
      </c>
      <c r="AA23">
        <f>$F$28*'[1]spiro-OMeTAD'!R33</f>
        <v>3.3525603958342744E-5</v>
      </c>
      <c r="AB23">
        <f>$F$28*'[1]spiro-OMeTAD'!S33</f>
        <v>1.7161301181877899</v>
      </c>
      <c r="AC23">
        <f>$F$28*'[1]spiro-OMeTAD'!T33</f>
        <v>2.9299040646063161E-3</v>
      </c>
      <c r="AD23">
        <f>$F$28*'[1]spiro-OMeTAD'!U33</f>
        <v>1.4513297679733899</v>
      </c>
      <c r="AE23">
        <f>$F$28*'[1]spiro-OMeTAD'!V33</f>
        <v>3.2239777810458959E-5</v>
      </c>
      <c r="AF23">
        <f>$F$28*'[1]spiro-OMeTAD'!W33</f>
        <v>1.3235796423309483E-3</v>
      </c>
      <c r="AG23">
        <f>$F$28*'[1]spiro-OMeTAD'!X33</f>
        <v>2.5121274428968426E-6</v>
      </c>
      <c r="AH23">
        <f>$F$28*'[1]spiro-OMeTAD'!Y33</f>
        <v>2.7096452475587383E-9</v>
      </c>
      <c r="AI23">
        <f>$F$28*'[1]spiro-OMeTAD'!Z33</f>
        <v>1.6252661850179367E-4</v>
      </c>
      <c r="AJ23">
        <f>$F$28*'[1]spiro-OMeTAD'!AA33</f>
        <v>1.1470464708176844E-4</v>
      </c>
      <c r="AK23">
        <f>$F$28*'[1]spiro-OMeTAD'!AB33</f>
        <v>1.568970684035369E-4</v>
      </c>
      <c r="AL23">
        <f>$F$28*'[1]spiro-OMeTAD'!AC33</f>
        <v>3.2522560468648425E-5</v>
      </c>
      <c r="AM23">
        <f>$F$28*'[1]spiro-OMeTAD'!AD33</f>
        <v>4.2586530317103156E-4</v>
      </c>
      <c r="AN23">
        <f>$F$28*'[1]spiro-OMeTAD'!AE33</f>
        <v>9.459875351242107E-5</v>
      </c>
      <c r="AO23">
        <f>$F$28*'[1]spiro-OMeTAD'!AF33</f>
        <v>1.6718183193701055E-3</v>
      </c>
      <c r="AP23">
        <f>$F$28*'[1]spiro-OMeTAD'!AG33</f>
        <v>1.3100562647919161E-2</v>
      </c>
      <c r="AQ23">
        <f>$F$28*'[1]spiro-OMeTAD'!AH33</f>
        <v>1.1759586659873685E-3</v>
      </c>
    </row>
    <row r="24" spans="1:44">
      <c r="A24" s="1" t="s">
        <v>21</v>
      </c>
      <c r="B24" s="2">
        <f>$B$19/$J$26*J24</f>
        <v>52.261138351119428</v>
      </c>
      <c r="C24" s="22">
        <v>0.8</v>
      </c>
      <c r="D24" s="1">
        <v>700</v>
      </c>
      <c r="E24" s="1">
        <v>1</v>
      </c>
      <c r="F24" s="50">
        <f>B24/1000000000*C24*D24/E24</f>
        <v>2.9266237476626882E-5</v>
      </c>
      <c r="G24" s="49">
        <f>6/1000/112</f>
        <v>5.3571428571428575E-5</v>
      </c>
      <c r="H24">
        <f>6/1000</f>
        <v>6.0000000000000001E-3</v>
      </c>
      <c r="I24" t="s">
        <v>24</v>
      </c>
      <c r="J24">
        <f>H24/1000/D24/C24</f>
        <v>1.0714285714285715E-8</v>
      </c>
      <c r="L24" s="49" t="s">
        <v>19</v>
      </c>
      <c r="M24">
        <f>$F$29*[6]inventory!AZ37</f>
        <v>1.4649900522011319E-3</v>
      </c>
      <c r="V24">
        <f>$F$29*[6]inventory!BA37</f>
        <v>2.2981147890881671E-2</v>
      </c>
      <c r="W24">
        <f>$F$29*[6]inventory!BB37</f>
        <v>1.2141262429749966E-4</v>
      </c>
      <c r="X24">
        <f>$F$29*[6]inventory!BC37</f>
        <v>1.2439437915481534E-3</v>
      </c>
      <c r="Y24">
        <f>$F$29*[6]inventory!BD37</f>
        <v>4.9373212706919857E-4</v>
      </c>
      <c r="Z24">
        <f>$F$29*[6]inventory!BE37</f>
        <v>7.1618483248888081E-5</v>
      </c>
      <c r="AA24">
        <f>$F$29*[6]inventory!BF37</f>
        <v>1.3647384402122962E-6</v>
      </c>
      <c r="AB24">
        <f>$F$29*[6]inventory!BG37</f>
        <v>6.1338853395179353E-2</v>
      </c>
      <c r="AC24">
        <f>$F$29*[6]inventory!BH37</f>
        <v>6.680039675746206E-5</v>
      </c>
      <c r="AD24">
        <f>$F$29*[6]inventory!BI37</f>
        <v>5.0429304566276124E-2</v>
      </c>
      <c r="AE24">
        <f>$F$29*[6]inventory!BJ37</f>
        <v>1.4932024710128888E-6</v>
      </c>
      <c r="AF24">
        <f>$F$29*[6]inventory!BK37</f>
        <v>4.4622593380279578E-5</v>
      </c>
      <c r="AG24">
        <f>$F$29*[6]inventory!BL37</f>
        <v>2.0870453143393951E-7</v>
      </c>
      <c r="AH24">
        <f>$F$29*[6]inventory!BM37</f>
        <v>1.7426242933250585E-10</v>
      </c>
      <c r="AI24">
        <f>$F$29*[6]inventory!BN37</f>
        <v>2.9797274082350321E-6</v>
      </c>
      <c r="AJ24">
        <f>$F$29*[6]inventory!BO37</f>
        <v>4.3641244305987771E-6</v>
      </c>
      <c r="AK24">
        <f>$F$29*[6]inventory!BP37</f>
        <v>9.3743438308507202E-6</v>
      </c>
      <c r="AL24">
        <f>$F$29*[6]inventory!BQ37</f>
        <v>1.1580500080251555E-6</v>
      </c>
      <c r="AM24">
        <f>$F$29*[6]inventory!BR37</f>
        <v>1.1766639613581072E-5</v>
      </c>
      <c r="AN24">
        <f>$F$29*[6]inventory!BS37</f>
        <v>2.9941549796394111E-6</v>
      </c>
      <c r="AO24">
        <f>$F$29*[6]inventory!BT37</f>
        <v>5.8282035630616664E-5</v>
      </c>
      <c r="AP24">
        <f>$F$29*[6]inventory!BU37</f>
        <v>4.6995750456150696E-4</v>
      </c>
      <c r="AQ24">
        <f>$F$29*[6]inventory!BV37</f>
        <v>6.1274235870360458E-5</v>
      </c>
    </row>
    <row r="25" spans="1:44">
      <c r="A25" s="1" t="s">
        <v>22</v>
      </c>
      <c r="B25" s="2">
        <f>$B$19/$J$26*J25</f>
        <v>33.257088041621451</v>
      </c>
      <c r="C25" s="22">
        <v>0.8</v>
      </c>
      <c r="D25" s="1">
        <v>1100</v>
      </c>
      <c r="E25" s="1">
        <v>1</v>
      </c>
      <c r="F25" s="50">
        <f>B25/1000000000*C25*D25/E25</f>
        <v>2.9266237476626882E-5</v>
      </c>
      <c r="G25" s="49">
        <f>6/1000/67.5</f>
        <v>8.8888888888888893E-5</v>
      </c>
      <c r="H25">
        <f>6/1000</f>
        <v>6.0000000000000001E-3</v>
      </c>
      <c r="I25" t="s">
        <v>24</v>
      </c>
      <c r="J25">
        <f>H25/1000/D25/C25</f>
        <v>6.8181818181818181E-9</v>
      </c>
      <c r="L25" s="49" t="s">
        <v>77</v>
      </c>
      <c r="M25">
        <f>$F$30*[2]production!D71</f>
        <v>4.0681139631535285E-4</v>
      </c>
      <c r="N25">
        <f>$F$30*[2]production!E71</f>
        <v>5.3189131650124492E-5</v>
      </c>
      <c r="O25">
        <f>$F$30*[2]production!F71</f>
        <v>1.0625261497095438E-2</v>
      </c>
      <c r="P25">
        <f>$F$30*[2]production!G71</f>
        <v>1.0808747946224069E-6</v>
      </c>
      <c r="Q25">
        <f>$F$30*[2]production!H71</f>
        <v>2.7573825026390051E-4</v>
      </c>
      <c r="R25">
        <f>$F$30*[2]production!I71</f>
        <v>1.3385535905726145E-7</v>
      </c>
      <c r="S25">
        <f>$F$30*[2]production!J71</f>
        <v>1.4097543105062246E-8</v>
      </c>
      <c r="T25">
        <f>$F$30*[2]production!K71</f>
        <v>5.198649764116184E-5</v>
      </c>
      <c r="U25">
        <f>$F$30*[2]production!L71</f>
        <v>4.23225455840664E-6</v>
      </c>
      <c r="V25">
        <f>$F$30*[2]production!M71</f>
        <v>1.1011636458905816E-2</v>
      </c>
      <c r="W25">
        <f>$F$30*[2]production!N71</f>
        <v>6.1321370740580926E-6</v>
      </c>
      <c r="X25">
        <f>$F$30*[2]production!O71</f>
        <v>3.6670365183734448E-4</v>
      </c>
      <c r="Y25">
        <f>$F$30*[2]production!P71</f>
        <v>2.5298194173609969E-4</v>
      </c>
      <c r="Z25">
        <f>$F$30*[2]production!Q71</f>
        <v>1.7495034040829881E-6</v>
      </c>
      <c r="AA25">
        <f>$F$30*[2]production!R71</f>
        <v>4.2736387303568476E-8</v>
      </c>
      <c r="AB25">
        <f>$F$30*[2]production!S71</f>
        <v>2.8594967004149387E-3</v>
      </c>
      <c r="AC25">
        <f>$F$30*[2]production!T71</f>
        <v>8.806751232796683E-6</v>
      </c>
      <c r="AD25">
        <f>$F$30*[2]production!U71</f>
        <v>2.2375374704066394E-3</v>
      </c>
      <c r="AE25">
        <f>$F$30*[2]production!V71</f>
        <v>1.6768068707053948E-6</v>
      </c>
      <c r="AF25">
        <f>$F$30*[2]production!W71</f>
        <v>1.0748915408464733E-5</v>
      </c>
      <c r="AG25">
        <f>$F$30*[2]production!X71</f>
        <v>4.1419074263900426E-8</v>
      </c>
      <c r="AH25">
        <f>$F$30*[2]production!Y71</f>
        <v>1.9870385789875524E-11</v>
      </c>
      <c r="AI25">
        <f>$F$30*[2]production!Z71</f>
        <v>6.2236808568298778E-7</v>
      </c>
      <c r="AJ25">
        <f>$F$30*[2]production!AA71</f>
        <v>9.4016860999170159E-7</v>
      </c>
      <c r="AK25">
        <f>$F$30*[2]production!AB71</f>
        <v>2.6370193808464738E-6</v>
      </c>
      <c r="AL25">
        <f>$F$30*[2]production!AC71</f>
        <v>2.4546298615767646E-7</v>
      </c>
      <c r="AM25">
        <f>$F$30*[2]production!AD71</f>
        <v>9.8003702431867241E-7</v>
      </c>
      <c r="AN25">
        <f>$F$30*[2]production!AE71</f>
        <v>9.4382836688464751E-7</v>
      </c>
      <c r="AO25">
        <f>$F$30*[2]production!AF71</f>
        <v>1.2224784673195025E-5</v>
      </c>
      <c r="AP25">
        <f>$F$30*[2]production!AG71</f>
        <v>3.3758515012780094E-5</v>
      </c>
      <c r="AQ25">
        <f>$F$30*[2]production!AH71</f>
        <v>3.08317067073859E-5</v>
      </c>
    </row>
    <row r="26" spans="1:44">
      <c r="A26" s="1" t="s">
        <v>137</v>
      </c>
      <c r="B26" s="1"/>
      <c r="C26" s="1"/>
      <c r="D26" s="1"/>
      <c r="E26" s="1"/>
      <c r="F26" s="50">
        <f>1*F24*1000/H24/1000000*786</f>
        <v>3.8338771094381212E-3</v>
      </c>
      <c r="J26" s="55">
        <f>SUM(J20:J25)</f>
        <v>1.3325935741192174E-7</v>
      </c>
      <c r="K26" s="55"/>
      <c r="L26" s="49" t="s">
        <v>79</v>
      </c>
      <c r="M26">
        <f>$F$31*[2]production!D72</f>
        <v>1.1128396373775934E-3</v>
      </c>
      <c r="N26">
        <f>$F$31*[2]production!E72</f>
        <v>4.1960086769128634E-4</v>
      </c>
      <c r="O26">
        <f>$F$31*[2]production!F72</f>
        <v>1.5705422392033198E-2</v>
      </c>
      <c r="P26">
        <f>$F$31*[2]production!G72</f>
        <v>1.8314126475684649E-5</v>
      </c>
      <c r="Q26">
        <f>$F$31*[2]production!H72</f>
        <v>1.383245516614108E-3</v>
      </c>
      <c r="R26">
        <f>$F$31*[2]production!I72</f>
        <v>1.8986628105560167E-6</v>
      </c>
      <c r="S26">
        <f>$F$31*[2]production!J72</f>
        <v>1.5106193327800831E-7</v>
      </c>
      <c r="T26">
        <f>$F$31*[2]production!K72</f>
        <v>6.4367439583070546E-4</v>
      </c>
      <c r="U26">
        <f>$F$31*[2]production!L72</f>
        <v>7.6091050085975108E-5</v>
      </c>
      <c r="V26">
        <f>$F$31*[2]production!M72</f>
        <v>1.8248398073474791E-2</v>
      </c>
      <c r="W26">
        <f>$F$31*[2]production!N72</f>
        <v>6.1938403845311212E-5</v>
      </c>
      <c r="X26">
        <f>$F$31*[2]production!O72</f>
        <v>1.0203957566141081E-3</v>
      </c>
      <c r="Y26">
        <f>$F$31*[2]production!P72</f>
        <v>3.7439269842323654E-4</v>
      </c>
      <c r="Z26">
        <f>$F$31*[2]production!Q72</f>
        <v>1.4506964263568466E-5</v>
      </c>
      <c r="AA26">
        <f>$F$31*[2]production!R72</f>
        <v>4.7809847215269716E-7</v>
      </c>
      <c r="AB26">
        <f>$F$31*[2]production!S72</f>
        <v>2.1605369526970956E-2</v>
      </c>
      <c r="AC26">
        <f>$F$31*[2]production!T72</f>
        <v>9.0296894216763493E-5</v>
      </c>
      <c r="AD26">
        <f>$F$31*[2]production!U72</f>
        <v>1.7054440586887969E-2</v>
      </c>
      <c r="AE26">
        <f>$F$31*[2]production!V72</f>
        <v>1.2539646062738592E-6</v>
      </c>
      <c r="AF26">
        <f>$F$31*[2]production!W72</f>
        <v>6.776005974572615E-5</v>
      </c>
      <c r="AG26">
        <f>$F$31*[2]production!X72</f>
        <v>1.5002808748879669E-7</v>
      </c>
      <c r="AH26">
        <f>$F$31*[2]production!Y72</f>
        <v>2.8164769752697098E-10</v>
      </c>
      <c r="AI26">
        <f>$F$31*[2]production!Z72</f>
        <v>2.8843293785228219E-6</v>
      </c>
      <c r="AJ26">
        <f>$F$31*[2]production!AA72</f>
        <v>3.1855498846804986E-6</v>
      </c>
      <c r="AK26">
        <f>$F$31*[2]production!AB72</f>
        <v>5.6434931551867226E-6</v>
      </c>
      <c r="AL26">
        <f>$F$31*[2]production!AC72</f>
        <v>1.0400689386224068E-6</v>
      </c>
      <c r="AM26">
        <f>$F$31*[2]production!AD72</f>
        <v>9.1137019387219937E-6</v>
      </c>
      <c r="AN26">
        <f>$F$31*[2]production!AE72</f>
        <v>3.2733765900746895E-6</v>
      </c>
      <c r="AO26">
        <f>$F$31*[2]production!AF72</f>
        <v>4.6082421386887972E-5</v>
      </c>
      <c r="AP26">
        <f>$F$31*[2]production!AG72</f>
        <v>1.893945261809129E-4</v>
      </c>
      <c r="AQ26">
        <f>$F$31*[2]production!AH72</f>
        <v>4.8034683581078842E-5</v>
      </c>
    </row>
    <row r="27" spans="1:44">
      <c r="A27" s="51" t="s">
        <v>7</v>
      </c>
      <c r="B27" s="49"/>
      <c r="C27" s="49"/>
      <c r="D27" s="49"/>
      <c r="E27" s="49"/>
      <c r="L27" s="49" t="s">
        <v>78</v>
      </c>
      <c r="M27">
        <f>$F$32*[2]production!D34</f>
        <v>1.3047440743568469E-2</v>
      </c>
      <c r="N27">
        <f>$F$32*[2]production!E34</f>
        <v>3.3306039873858932E-3</v>
      </c>
      <c r="O27">
        <f>$F$32*[2]production!F34</f>
        <v>0.29262286844813284</v>
      </c>
      <c r="P27">
        <f>$F$32*[2]production!G34</f>
        <v>1.3237758672199172E-4</v>
      </c>
      <c r="Q27">
        <f>$F$32*[2]production!H34</f>
        <v>1.4300400637344403E-2</v>
      </c>
      <c r="R27">
        <f>$F$32*[2]production!I34</f>
        <v>1.3775316288796685E-5</v>
      </c>
      <c r="S27">
        <f>$F$32*[2]production!J34</f>
        <v>3.3142680298755197E-6</v>
      </c>
      <c r="T27">
        <f>$F$32*[2]production!K34</f>
        <v>4.917686519502076E-3</v>
      </c>
      <c r="U27">
        <f>$F$32*[2]production!L34</f>
        <v>5.482604853112034E-4</v>
      </c>
      <c r="V27">
        <f>$F$32*[2]production!M34</f>
        <v>0.3158692872487171</v>
      </c>
      <c r="W27">
        <f>$F$32*[2]production!N34</f>
        <v>4.6090737261410801E-4</v>
      </c>
      <c r="X27">
        <f>$F$32*[2]production!O34</f>
        <v>1.1100001473858924E-2</v>
      </c>
      <c r="Y27">
        <f>$F$32*[2]production!P34</f>
        <v>6.9761781112033213E-3</v>
      </c>
      <c r="Z27">
        <f>$F$32*[2]production!Q34</f>
        <v>4.0602499319502086E-4</v>
      </c>
      <c r="AA27">
        <f>$F$32*[2]production!R34</f>
        <v>5.331316182572616E-6</v>
      </c>
      <c r="AB27">
        <f>$F$32*[2]production!S34</f>
        <v>0.20279119668049797</v>
      </c>
      <c r="AC27">
        <f>$F$32*[2]production!T34</f>
        <v>6.2446812946058113E-4</v>
      </c>
      <c r="AD27">
        <f>$F$32*[2]production!U34</f>
        <v>0.16515009261410793</v>
      </c>
      <c r="AE27">
        <f>$F$32*[2]production!V34</f>
        <v>1.0988546788381746E-5</v>
      </c>
      <c r="AF27">
        <f>$F$32*[2]production!W34</f>
        <v>5.3337303634854794E-4</v>
      </c>
      <c r="AG27">
        <f>$F$32*[2]production!X34</f>
        <v>1.0213997078838179E-6</v>
      </c>
      <c r="AH27">
        <f>$F$32*[2]production!Y34</f>
        <v>2.8614883996680505E-9</v>
      </c>
      <c r="AI27">
        <f>$F$32*[2]production!Z34</f>
        <v>3.3264998798340257E-5</v>
      </c>
      <c r="AJ27">
        <f>$F$32*[2]production!AA34</f>
        <v>8.8302690522821603E-5</v>
      </c>
      <c r="AK27">
        <f>$F$32*[2]production!AB34</f>
        <v>5.9489441327800841E-5</v>
      </c>
      <c r="AL27">
        <f>$F$32*[2]production!AC34</f>
        <v>7.6622078539419105E-6</v>
      </c>
      <c r="AM27">
        <f>$F$32*[2]production!AD34</f>
        <v>1.087387319502075E-4</v>
      </c>
      <c r="AN27">
        <f>$F$32*[2]production!AE34</f>
        <v>3.407334704066391E-5</v>
      </c>
      <c r="AO27">
        <f>$F$32*[2]production!AF34</f>
        <v>4.9615441394190891E-4</v>
      </c>
      <c r="AP27">
        <f>$F$32*[2]production!AG34</f>
        <v>1.8521595963485482E-3</v>
      </c>
      <c r="AQ27">
        <f>$F$32*[2]production!AH34</f>
        <v>8.6125904066390059E-4</v>
      </c>
    </row>
    <row r="28" spans="1:44">
      <c r="A28" s="1" t="s">
        <v>18</v>
      </c>
      <c r="B28" s="1">
        <v>180</v>
      </c>
      <c r="C28" s="22">
        <v>0.8</v>
      </c>
      <c r="D28" s="1">
        <v>1820</v>
      </c>
      <c r="E28" s="1">
        <v>1</v>
      </c>
      <c r="F28" s="50">
        <f>B28/1000000000*C28*D28/E28</f>
        <v>2.6208000000000004E-4</v>
      </c>
      <c r="L28" s="62" t="s">
        <v>133</v>
      </c>
      <c r="M28" s="64">
        <f>$F$35*[5]production!D133</f>
        <v>2.2772929536000004E-3</v>
      </c>
      <c r="N28" s="64">
        <f>$F$35*[5]production!E133</f>
        <v>1.0437912576E-3</v>
      </c>
      <c r="O28" s="64">
        <f>$F$35*[5]production!F133</f>
        <v>2.5307218944000003E-2</v>
      </c>
      <c r="P28" s="64">
        <f>$F$35*[5]production!G133</f>
        <v>5.3991383040000006E-5</v>
      </c>
      <c r="Q28" s="64">
        <f>$F$35*[5]production!H133</f>
        <v>3.1123169280000006E-3</v>
      </c>
      <c r="R28" s="64">
        <f>$F$35*[5]production!I133</f>
        <v>4.0859320320000003E-6</v>
      </c>
      <c r="S28" s="64">
        <f>$F$35*[5]production!J133</f>
        <v>4.3782423552000003E-7</v>
      </c>
      <c r="T28" s="64">
        <f>$F$35*[5]production!K133</f>
        <v>3.0522110976000001E-3</v>
      </c>
      <c r="U28" s="64">
        <f>$F$35*[5]production!L133</f>
        <v>1.7339019264000003E-4</v>
      </c>
      <c r="V28" s="64">
        <f>$F$35*[5]production!M133</f>
        <v>3.2747443559147528E-2</v>
      </c>
      <c r="W28" s="64">
        <f>$F$35*[5]production!N133</f>
        <v>1.6653966336000001E-4</v>
      </c>
      <c r="X28" s="64">
        <f>$F$35*[5]production!O133</f>
        <v>2.0785056768000002E-3</v>
      </c>
      <c r="Y28" s="64">
        <f>$F$35*[5]production!P133</f>
        <v>6.0349685760000004E-4</v>
      </c>
      <c r="Z28" s="64">
        <f>$F$35*[5]production!Q133</f>
        <v>2.2409404415999999E-3</v>
      </c>
      <c r="AA28" s="64">
        <f>$F$35*[5]production!R133</f>
        <v>6.602158080000001E-5</v>
      </c>
      <c r="AB28" s="64">
        <f>$F$35*[5]production!S133</f>
        <v>5.6398325760000008</v>
      </c>
      <c r="AC28" s="64">
        <f>$F$35*[5]production!T133</f>
        <v>2.1066393600000004E-4</v>
      </c>
      <c r="AD28" s="64">
        <f>$F$35*[5]production!U133</f>
        <v>2.9488886784000004</v>
      </c>
      <c r="AE28" s="64">
        <f>$F$35*[5]production!V133</f>
        <v>1.3567389696000001E-5</v>
      </c>
      <c r="AF28" s="64">
        <f>$F$35*[5]production!W133</f>
        <v>2.1619584000000001E-2</v>
      </c>
      <c r="AG28" s="64">
        <f>$F$35*[5]production!X133</f>
        <v>8.9883279360000005E-7</v>
      </c>
      <c r="AH28" s="64">
        <f>$F$35*[5]production!Y133</f>
        <v>1.3551132672000004E-10</v>
      </c>
      <c r="AI28" s="64">
        <f>$F$35*[5]production!Z133</f>
        <v>6.5664829440000014E-5</v>
      </c>
      <c r="AJ28" s="64">
        <f>$F$35*[5]production!AA133</f>
        <v>4.2200073216000004E-5</v>
      </c>
      <c r="AK28" s="64">
        <f>$F$35*[5]production!AB133</f>
        <v>2.2007494656000001E-4</v>
      </c>
      <c r="AL28" s="64">
        <f>$F$35*[5]production!AC133</f>
        <v>2.7781899264000003E-4</v>
      </c>
      <c r="AM28" s="64">
        <f>$F$35*[5]production!AD133</f>
        <v>1.9703061504E-4</v>
      </c>
      <c r="AN28" s="64">
        <f>$F$35*[5]production!AE133</f>
        <v>7.296694272000001E-5</v>
      </c>
      <c r="AO28" s="64">
        <f>$F$35*[5]production!AF133</f>
        <v>1.0405850112E-3</v>
      </c>
      <c r="AP28" s="64">
        <f>$F$35*[5]production!AG133</f>
        <v>3.8748616704000004E-2</v>
      </c>
      <c r="AQ28" s="64">
        <f>$F$35*[5]production!AH133</f>
        <v>1.07589888E-3</v>
      </c>
      <c r="AR28" s="56"/>
    </row>
    <row r="29" spans="1:44">
      <c r="A29" s="1" t="s">
        <v>19</v>
      </c>
      <c r="B29" s="1"/>
      <c r="C29" s="1"/>
      <c r="D29" s="1"/>
      <c r="E29" s="1">
        <v>1</v>
      </c>
      <c r="F29" s="50">
        <f>F28*1000000/72.3*35/1000000*260/1000</f>
        <v>3.2986556016597522E-5</v>
      </c>
      <c r="L29" s="62" t="s">
        <v>134</v>
      </c>
      <c r="M29" s="64">
        <f>$F$36*[5]production!D46</f>
        <v>0.17435194181818181</v>
      </c>
      <c r="N29" s="64">
        <f>$F$36*[5]production!E46</f>
        <v>6.5670661818181805E-2</v>
      </c>
      <c r="O29" s="64">
        <f>$F$36*[5]production!F46</f>
        <v>1.9429381818181815</v>
      </c>
      <c r="P29" s="64">
        <f>$F$36*[5]production!G46</f>
        <v>5.0474225454545446E-3</v>
      </c>
      <c r="Q29" s="64">
        <f>$F$36*[5]production!H46</f>
        <v>0.4172938181818181</v>
      </c>
      <c r="R29" s="64">
        <f>$F$36*[5]production!I46</f>
        <v>4.2503313454545448E-4</v>
      </c>
      <c r="S29" s="64">
        <f>$F$36*[5]production!J46</f>
        <v>2.1404756363636362E-5</v>
      </c>
      <c r="T29" s="64">
        <f>$F$36*[5]production!K46</f>
        <v>0.16279810909090908</v>
      </c>
      <c r="U29" s="64">
        <f>$F$36*[5]production!L46</f>
        <v>2.5378859636363632E-2</v>
      </c>
      <c r="V29" s="64">
        <f>$F$36*[5]production!M46</f>
        <v>2.6195734909818178</v>
      </c>
      <c r="W29" s="64">
        <f>$F$36*[5]production!N46</f>
        <v>9.1224029090909067E-3</v>
      </c>
      <c r="X29" s="64">
        <f>$F$36*[5]production!O46</f>
        <v>0.1612671127272727</v>
      </c>
      <c r="Y29" s="64">
        <f>$F$36*[5]production!P46</f>
        <v>4.6310693818181814E-2</v>
      </c>
      <c r="Z29" s="64">
        <f>$F$36*[5]production!Q46</f>
        <v>2.292212945454545E-3</v>
      </c>
      <c r="AA29" s="64">
        <f>$F$36*[5]production!R46</f>
        <v>9.4493614545454528E-5</v>
      </c>
      <c r="AB29" s="64">
        <f>$F$36*[5]production!S46</f>
        <v>3.0353300363636362</v>
      </c>
      <c r="AC29" s="64">
        <f>$F$36*[5]production!T46</f>
        <v>2.6864445090909086E-2</v>
      </c>
      <c r="AD29" s="64">
        <f>$F$36*[5]production!U46</f>
        <v>2.6161224727272723</v>
      </c>
      <c r="AE29" s="64">
        <f>$F$36*[5]production!V46</f>
        <v>1.5736177454545451E-4</v>
      </c>
      <c r="AF29" s="64">
        <f>$F$36*[5]production!W46</f>
        <v>2.1028494545454542E-3</v>
      </c>
      <c r="AG29" s="64">
        <f>$F$36*[5]production!X46</f>
        <v>1.9169242181818178E-5</v>
      </c>
      <c r="AH29" s="64">
        <f>$F$36*[5]production!Y46</f>
        <v>9.64981818181818E-9</v>
      </c>
      <c r="AI29" s="64">
        <f>$F$36*[5]production!Z46</f>
        <v>5.4048712727272716E-4</v>
      </c>
      <c r="AJ29" s="64">
        <f>$F$36*[5]production!AA46</f>
        <v>4.2998941090909086E-4</v>
      </c>
      <c r="AK29" s="64">
        <f>$F$36*[5]production!AB46</f>
        <v>8.5158429090909072E-4</v>
      </c>
      <c r="AL29" s="64">
        <f>$F$36*[5]production!AC46</f>
        <v>5.8344584727272721E-5</v>
      </c>
      <c r="AM29" s="64">
        <f>$F$36*[5]production!AD46</f>
        <v>1.0372500363636363E-3</v>
      </c>
      <c r="AN29" s="64">
        <f>$F$36*[5]production!AE46</f>
        <v>6.8278545454545443E-4</v>
      </c>
      <c r="AO29" s="64">
        <f>$F$36*[5]production!AF46</f>
        <v>6.9018094545454534E-3</v>
      </c>
      <c r="AP29" s="64">
        <f>$F$36*[5]production!AG46</f>
        <v>2.7598155636363635E-2</v>
      </c>
      <c r="AQ29" s="64">
        <f>$F$36*[5]production!AH46</f>
        <v>5.6508037818181808E-3</v>
      </c>
      <c r="AR29" s="56"/>
    </row>
    <row r="30" spans="1:44">
      <c r="A30" s="1" t="s">
        <v>77</v>
      </c>
      <c r="B30" s="1"/>
      <c r="C30" s="1"/>
      <c r="D30" s="1"/>
      <c r="E30" s="1"/>
      <c r="F30" s="50">
        <f>F28*1000000/72.3*35/1000000/1000*786</f>
        <v>9.9720896265560196E-5</v>
      </c>
      <c r="L30" s="62" t="s">
        <v>145</v>
      </c>
      <c r="M30" s="64">
        <f>$F$37*[5]production!D91</f>
        <v>7.6841745454545455E-5</v>
      </c>
      <c r="N30" s="64">
        <f>$F$37*[5]production!E91</f>
        <v>2.1682411636363637E-5</v>
      </c>
      <c r="O30" s="64">
        <f>$F$37*[5]production!F91</f>
        <v>8.4101003636363639E-4</v>
      </c>
      <c r="P30" s="64">
        <f>$F$37*[5]production!G91</f>
        <v>2.0711266909090908E-6</v>
      </c>
      <c r="Q30" s="64">
        <f>$F$37*[5]production!H91</f>
        <v>1.097257309090909E-4</v>
      </c>
      <c r="R30" s="64">
        <f>$F$37*[5]production!I91</f>
        <v>2.0015831272727271E-7</v>
      </c>
      <c r="S30" s="64">
        <f>$F$37*[5]production!J91</f>
        <v>9.8606545454545462E-9</v>
      </c>
      <c r="T30" s="64">
        <f>$F$37*[5]production!K91</f>
        <v>6.5287912727272722E-5</v>
      </c>
      <c r="U30" s="64">
        <f>$F$37*[5]production!L91</f>
        <v>6.9160814545454541E-6</v>
      </c>
      <c r="V30" s="64">
        <f>$F$37*[5]production!M91</f>
        <v>1.0469033187490908E-3</v>
      </c>
      <c r="W30" s="64">
        <f>$F$37*[5]production!N91</f>
        <v>3.0219013818181814E-6</v>
      </c>
      <c r="X30" s="64">
        <f>$F$37*[5]production!O91</f>
        <v>7.0931839999999993E-5</v>
      </c>
      <c r="Y30" s="64">
        <f>$F$37*[5]production!P91</f>
        <v>2.0077460363636363E-5</v>
      </c>
      <c r="Z30" s="64">
        <f>$F$37*[5]production!Q91</f>
        <v>9.2774487272727261E-7</v>
      </c>
      <c r="AA30" s="64">
        <f>$F$37*[5]production!R91</f>
        <v>3.768586472727272E-8</v>
      </c>
      <c r="AB30" s="64">
        <f>$F$37*[5]production!S91</f>
        <v>1.2544439272727272E-3</v>
      </c>
      <c r="AC30" s="64">
        <f>$F$37*[5]production!T91</f>
        <v>7.800296727272727E-6</v>
      </c>
      <c r="AD30" s="64">
        <f>$F$37*[5]production!U91</f>
        <v>1.0726056727272727E-3</v>
      </c>
      <c r="AE30" s="64">
        <f>$F$37*[5]production!V91</f>
        <v>7.0114443636363631E-8</v>
      </c>
      <c r="AF30" s="64">
        <f>$F$37*[5]production!W91</f>
        <v>7.8463563636363629E-7</v>
      </c>
      <c r="AG30" s="64">
        <f>$F$37*[5]production!X91</f>
        <v>8.3335505454545451E-9</v>
      </c>
      <c r="AH30" s="64">
        <f>$F$37*[5]production!Y91</f>
        <v>3.4841195636363632E-12</v>
      </c>
      <c r="AI30" s="64">
        <f>$F$37*[5]production!Z91</f>
        <v>2.5893949090909089E-7</v>
      </c>
      <c r="AJ30" s="64">
        <f>$F$37*[5]production!AA91</f>
        <v>1.9396296727272729E-7</v>
      </c>
      <c r="AK30" s="64">
        <f>$F$37*[5]production!AB91</f>
        <v>3.7955086545454546E-7</v>
      </c>
      <c r="AL30" s="64">
        <f>$F$37*[5]production!AC91</f>
        <v>2.4322731636363633E-8</v>
      </c>
      <c r="AM30" s="64">
        <f>$F$37*[5]production!AD91</f>
        <v>4.6189381818181811E-7</v>
      </c>
      <c r="AN30" s="64">
        <f>$F$37*[5]production!AE91</f>
        <v>2.8183307636363634E-7</v>
      </c>
      <c r="AO30" s="64">
        <f>$F$37*[5]production!AF91</f>
        <v>2.9375019636363634E-6</v>
      </c>
      <c r="AP30" s="64">
        <f>$F$37*[5]production!AG91</f>
        <v>1.1651141818181817E-5</v>
      </c>
      <c r="AQ30" s="64">
        <f>$F$37*[5]production!AH91</f>
        <v>2.444015127272727E-6</v>
      </c>
      <c r="AR30" s="56"/>
    </row>
    <row r="31" spans="1:44">
      <c r="A31" s="1" t="s">
        <v>79</v>
      </c>
      <c r="B31" s="1"/>
      <c r="C31" s="1"/>
      <c r="D31" s="1"/>
      <c r="E31" s="1">
        <v>1</v>
      </c>
      <c r="F31" s="50">
        <f>F28*1000000/72.3*30/1000000*1000*0.923/1000</f>
        <v>1.0037337759336101E-4</v>
      </c>
      <c r="L31" s="65" t="s">
        <v>75</v>
      </c>
      <c r="M31" s="65">
        <f>$F$39*[2]production!D113</f>
        <v>5.8513339999999997E-2</v>
      </c>
      <c r="N31" s="65">
        <f>$F$39*[2]production!E113</f>
        <v>1.2732665999999998E-2</v>
      </c>
      <c r="O31" s="65">
        <f>$F$39*[2]production!F113</f>
        <v>1.0146662</v>
      </c>
      <c r="P31" s="65">
        <f>$F$39*[2]production!G113</f>
        <v>6.2581620000000003E-4</v>
      </c>
      <c r="Q31" s="65">
        <f>$F$39*[2]production!H113</f>
        <v>6.6827659999999997E-2</v>
      </c>
      <c r="R31" s="65">
        <f>$F$39*[2]production!I113</f>
        <v>1.7331599999999999E-5</v>
      </c>
      <c r="S31" s="65">
        <f>$F$39*[2]production!J113</f>
        <v>1.6060211999999999E-5</v>
      </c>
      <c r="T31" s="65">
        <f>$F$39*[2]production!K113</f>
        <v>2.303608E-2</v>
      </c>
      <c r="U31" s="65">
        <f>$F$39*[2]production!L113</f>
        <v>3.8462819999999999E-3</v>
      </c>
      <c r="V31" s="65">
        <f>$F$39*[2]production!M113</f>
        <v>1.121768096012</v>
      </c>
      <c r="W31" s="65">
        <f>$F$39*[2]production!N113</f>
        <v>1.9549964000000002E-3</v>
      </c>
      <c r="X31" s="65">
        <f>$F$39*[2]production!O113</f>
        <v>5.3267399999999999E-2</v>
      </c>
      <c r="Y31" s="65">
        <f>$F$39*[2]production!P113</f>
        <v>2.4177380000000002E-2</v>
      </c>
      <c r="Z31" s="65">
        <f>$F$39*[2]production!Q113</f>
        <v>6.0432339999999995E-4</v>
      </c>
      <c r="AA31" s="65">
        <f>$F$39*[2]production!R113</f>
        <v>1.9439469999999997E-5</v>
      </c>
      <c r="AB31" s="65">
        <f>$F$39*[2]production!S113</f>
        <v>0.90098060000000002</v>
      </c>
      <c r="AC31" s="65">
        <f>$F$39*[2]production!T113</f>
        <v>3.5624719999999997E-3</v>
      </c>
      <c r="AD31" s="65">
        <f>$F$39*[2]production!U113</f>
        <v>0.69086020000000004</v>
      </c>
      <c r="AE31" s="65">
        <f>$F$39*[2]production!V113</f>
        <v>4.7078119999999994E-5</v>
      </c>
      <c r="AF31" s="65">
        <f>$F$39*[2]production!W113</f>
        <v>3.4358179999999998E-3</v>
      </c>
      <c r="AG31" s="65">
        <f>$F$39*[2]production!X113</f>
        <v>6.1276699999999994E-6</v>
      </c>
      <c r="AH31" s="65">
        <f>$F$39*[2]production!Y113</f>
        <v>5.7868959999999999E-9</v>
      </c>
      <c r="AI31" s="65">
        <f>$F$39*[2]production!Z113</f>
        <v>1.0165448000000001E-4</v>
      </c>
      <c r="AJ31" s="65">
        <f>$F$39*[2]production!AA113</f>
        <v>2.0535319999999998E-4</v>
      </c>
      <c r="AK31" s="65">
        <f>$F$39*[2]production!AB113</f>
        <v>2.0896899999999998E-4</v>
      </c>
      <c r="AL31" s="65">
        <f>$F$39*[2]production!AC113</f>
        <v>4.8904199999999998E-5</v>
      </c>
      <c r="AM31" s="65">
        <f>$F$39*[2]production!AD113</f>
        <v>5.1992780000000005E-4</v>
      </c>
      <c r="AN31" s="65">
        <f>$F$39*[2]production!AE113</f>
        <v>1.6944567999999999E-4</v>
      </c>
      <c r="AO31" s="65">
        <f>$F$39*[2]production!AF113</f>
        <v>2.2575519999999999E-3</v>
      </c>
      <c r="AP31" s="65">
        <f>$F$39*[2]production!AG113</f>
        <v>8.1579719999999994E-3</v>
      </c>
      <c r="AQ31" s="65">
        <f>$F$39*[2]production!AH113</f>
        <v>3.0584819999999995E-3</v>
      </c>
    </row>
    <row r="32" spans="1:44">
      <c r="A32" s="1" t="s">
        <v>78</v>
      </c>
      <c r="B32" s="1"/>
      <c r="C32" s="1"/>
      <c r="D32" s="1"/>
      <c r="E32" s="1"/>
      <c r="F32" s="50">
        <f>F28*1000000/72.3*1*1.11/1000</f>
        <v>4.0236348547717854E-3</v>
      </c>
      <c r="L32" s="65" t="s">
        <v>76</v>
      </c>
      <c r="M32" s="65">
        <f>$F$40*[2]production!D112</f>
        <v>0.19433649</v>
      </c>
      <c r="N32" s="65">
        <f>$F$40*[2]production!E112</f>
        <v>4.6424313999999994E-2</v>
      </c>
      <c r="O32" s="65">
        <f>$F$40*[2]production!F112</f>
        <v>4.5167484999999994</v>
      </c>
      <c r="P32" s="65">
        <f>$F$40*[2]production!G112</f>
        <v>1.8686461999999999E-3</v>
      </c>
      <c r="Q32" s="65">
        <f>$F$40*[2]production!H112</f>
        <v>0.23566314999999999</v>
      </c>
      <c r="R32" s="65">
        <f>$F$40*[2]production!I112</f>
        <v>4.9917150999999996E-5</v>
      </c>
      <c r="S32" s="65">
        <f>$F$40*[2]production!J112</f>
        <v>3.8257085000000002E-5</v>
      </c>
      <c r="T32" s="65">
        <f>$F$40*[2]production!K112</f>
        <v>6.3915029999999998E-2</v>
      </c>
      <c r="U32" s="65">
        <f>$F$40*[2]production!L112</f>
        <v>1.1723617E-2</v>
      </c>
      <c r="V32" s="65">
        <f>$F$40*[2]production!M112</f>
        <v>4.876431431436</v>
      </c>
      <c r="W32" s="65">
        <f>$F$40*[2]production!N112</f>
        <v>6.1952969999999998E-3</v>
      </c>
      <c r="X32" s="65">
        <f>$F$40*[2]production!O112</f>
        <v>0.17387676999999999</v>
      </c>
      <c r="Y32" s="65">
        <f>$F$40*[2]production!P112</f>
        <v>0.10758629</v>
      </c>
      <c r="Z32" s="65">
        <f>$F$40*[2]production!Q112</f>
        <v>1.6921225000000001E-3</v>
      </c>
      <c r="AA32" s="65">
        <f>$F$40*[2]production!R112</f>
        <v>5.3572875999999998E-5</v>
      </c>
      <c r="AB32" s="65">
        <f>$F$40*[2]production!S112</f>
        <v>2.6013953999999999</v>
      </c>
      <c r="AC32" s="65">
        <f>$F$40*[2]production!T112</f>
        <v>1.0938793E-2</v>
      </c>
      <c r="AD32" s="65">
        <f>$F$40*[2]production!U112</f>
        <v>2.0643585999999998</v>
      </c>
      <c r="AE32" s="65">
        <f>$F$40*[2]production!V112</f>
        <v>1.5557654999999999E-4</v>
      </c>
      <c r="AF32" s="65">
        <f>$F$40*[2]production!W112</f>
        <v>8.7410389999999991E-3</v>
      </c>
      <c r="AG32" s="65">
        <f>$F$40*[2]production!X112</f>
        <v>1.8848732999999998E-5</v>
      </c>
      <c r="AH32" s="65">
        <f>$F$40*[2]production!Y112</f>
        <v>8.897757E-9</v>
      </c>
      <c r="AI32" s="65">
        <f>$F$40*[2]production!Z112</f>
        <v>3.1222667999999997E-4</v>
      </c>
      <c r="AJ32" s="65">
        <f>$F$40*[2]production!AA112</f>
        <v>5.844594199999999E-4</v>
      </c>
      <c r="AK32" s="65">
        <f>$F$40*[2]production!AB112</f>
        <v>7.4009149999999997E-4</v>
      </c>
      <c r="AL32" s="65">
        <f>$F$40*[2]production!AC112</f>
        <v>1.9091831E-4</v>
      </c>
      <c r="AM32" s="65">
        <f>$F$40*[2]production!AD112</f>
        <v>1.3298200999999998E-3</v>
      </c>
      <c r="AN32" s="65">
        <f>$F$40*[2]production!AE112</f>
        <v>3.5293016999999997E-4</v>
      </c>
      <c r="AO32" s="65">
        <f>$F$40*[2]production!AF112</f>
        <v>6.9066979999999993E-3</v>
      </c>
      <c r="AP32" s="65">
        <f>$F$40*[2]production!AG112</f>
        <v>2.4245015000000002E-2</v>
      </c>
      <c r="AQ32" s="65">
        <f>$F$40*[2]production!AH112</f>
        <v>1.3306221999999999E-2</v>
      </c>
    </row>
    <row r="33" spans="1:44">
      <c r="A33" s="52" t="s">
        <v>137</v>
      </c>
      <c r="B33" s="54"/>
      <c r="C33" s="52"/>
      <c r="D33" s="52"/>
      <c r="E33" s="52"/>
      <c r="F33" s="53">
        <f>25.77/1000</f>
        <v>2.5770000000000001E-2</v>
      </c>
      <c r="L33" s="51" t="str">
        <f>A41</f>
        <v>Direct emissions</v>
      </c>
      <c r="M33" s="18">
        <f>SUM(M34:M42)</f>
        <v>0</v>
      </c>
      <c r="N33" s="18" t="e">
        <f t="shared" ref="N33:AQ33" si="0">SUM(N34:N42)</f>
        <v>#REF!</v>
      </c>
      <c r="O33" s="18" t="e">
        <f t="shared" si="0"/>
        <v>#REF!</v>
      </c>
      <c r="P33" s="18" t="e">
        <f t="shared" si="0"/>
        <v>#REF!</v>
      </c>
      <c r="Q33" s="18" t="e">
        <f t="shared" si="0"/>
        <v>#REF!</v>
      </c>
      <c r="R33" s="18" t="e">
        <f t="shared" si="0"/>
        <v>#REF!</v>
      </c>
      <c r="S33" s="18" t="e">
        <f t="shared" si="0"/>
        <v>#REF!</v>
      </c>
      <c r="T33" s="18" t="e">
        <f t="shared" si="0"/>
        <v>#REF!</v>
      </c>
      <c r="U33" s="18" t="e">
        <f t="shared" si="0"/>
        <v>#REF!</v>
      </c>
      <c r="V33" s="18">
        <f t="shared" si="0"/>
        <v>0</v>
      </c>
      <c r="W33" s="18" t="e">
        <f t="shared" si="0"/>
        <v>#REF!</v>
      </c>
      <c r="X33" s="18" t="e">
        <f t="shared" si="0"/>
        <v>#REF!</v>
      </c>
      <c r="Y33" s="18" t="e">
        <f t="shared" si="0"/>
        <v>#REF!</v>
      </c>
      <c r="Z33" s="18">
        <f t="shared" si="0"/>
        <v>1.7258416833342491E-2</v>
      </c>
      <c r="AA33" s="18" t="e">
        <f t="shared" si="0"/>
        <v>#REF!</v>
      </c>
      <c r="AB33" s="18">
        <f t="shared" si="0"/>
        <v>3.0033926547990232E-2</v>
      </c>
      <c r="AC33" s="18" t="e">
        <f t="shared" si="0"/>
        <v>#REF!</v>
      </c>
      <c r="AD33" s="18">
        <f t="shared" si="0"/>
        <v>39.346661094876254</v>
      </c>
      <c r="AE33" s="18" t="e">
        <f t="shared" si="0"/>
        <v>#REF!</v>
      </c>
      <c r="AF33" s="18" t="e">
        <f t="shared" si="0"/>
        <v>#REF!</v>
      </c>
      <c r="AG33" s="18" t="e">
        <f t="shared" si="0"/>
        <v>#REF!</v>
      </c>
      <c r="AH33" s="18" t="e">
        <f t="shared" si="0"/>
        <v>#REF!</v>
      </c>
      <c r="AI33" s="18" t="e">
        <f t="shared" si="0"/>
        <v>#REF!</v>
      </c>
      <c r="AJ33" s="18" t="e">
        <f t="shared" si="0"/>
        <v>#REF!</v>
      </c>
      <c r="AK33" s="18" t="e">
        <f t="shared" si="0"/>
        <v>#REF!</v>
      </c>
      <c r="AL33" s="18">
        <f t="shared" si="0"/>
        <v>0.18068797405282636</v>
      </c>
      <c r="AM33" s="18" t="e">
        <f t="shared" si="0"/>
        <v>#REF!</v>
      </c>
      <c r="AN33" s="18" t="e">
        <f t="shared" si="0"/>
        <v>#REF!</v>
      </c>
      <c r="AO33" s="18">
        <f t="shared" si="0"/>
        <v>4.9676475905721842E-2</v>
      </c>
      <c r="AP33" s="18">
        <f t="shared" si="0"/>
        <v>1.5378285736341869E-4</v>
      </c>
      <c r="AQ33" s="18" t="e">
        <f t="shared" si="0"/>
        <v>#REF!</v>
      </c>
    </row>
    <row r="34" spans="1:44">
      <c r="A34" s="51" t="s">
        <v>13</v>
      </c>
      <c r="B34" s="49"/>
      <c r="C34" s="49"/>
      <c r="D34" s="49"/>
      <c r="E34" s="49"/>
      <c r="L34" s="49" t="s">
        <v>143</v>
      </c>
    </row>
    <row r="35" spans="1:44">
      <c r="A35" s="62" t="s">
        <v>133</v>
      </c>
      <c r="B35" s="62">
        <v>60</v>
      </c>
      <c r="C35" s="62">
        <v>0.8</v>
      </c>
      <c r="D35" s="62">
        <v>8960</v>
      </c>
      <c r="E35" s="62">
        <v>0.5</v>
      </c>
      <c r="F35" s="63">
        <f>$B$35/1000000000*$C$35*$D$35/$E$35*(1-E35*B3)</f>
        <v>4.5158400000000005E-4</v>
      </c>
      <c r="K35">
        <f>$B$35/1000000000*$C$35*$D$35/$E$35</f>
        <v>8.6016E-4</v>
      </c>
      <c r="L35" s="49" t="s">
        <v>10</v>
      </c>
      <c r="M35">
        <f>$F$43*'[2]direct emissions'!D28</f>
        <v>0</v>
      </c>
      <c r="N35">
        <f>$F$43*'[2]direct emissions'!E28</f>
        <v>0</v>
      </c>
      <c r="O35">
        <f>$F$43*'[2]direct emissions'!F28</f>
        <v>0</v>
      </c>
      <c r="P35">
        <f>$F$43*'[2]direct emissions'!G28</f>
        <v>0</v>
      </c>
      <c r="Q35">
        <f>$F$43*'[2]direct emissions'!H28</f>
        <v>0</v>
      </c>
      <c r="R35">
        <f>$F$43*'[2]direct emissions'!I28</f>
        <v>0</v>
      </c>
      <c r="S35">
        <f>$F$43*'[2]direct emissions'!J28</f>
        <v>0</v>
      </c>
      <c r="T35">
        <f>$F$43*'[2]direct emissions'!K28</f>
        <v>0</v>
      </c>
      <c r="U35">
        <f>$F$43*'[2]direct emissions'!L28</f>
        <v>0</v>
      </c>
      <c r="V35">
        <f>$F$43*'[2]direct emissions'!M28</f>
        <v>0</v>
      </c>
      <c r="W35">
        <f>$F$43*'[2]direct emissions'!N28</f>
        <v>0</v>
      </c>
      <c r="X35">
        <f>$F$43*'[2]direct emissions'!O28</f>
        <v>0</v>
      </c>
      <c r="Y35">
        <f>$F$43*'[2]direct emissions'!P28</f>
        <v>0</v>
      </c>
      <c r="Z35">
        <f>$F$43*'[2]direct emissions'!Q28</f>
        <v>0</v>
      </c>
      <c r="AA35">
        <f>$F$43*'[2]direct emissions'!R28</f>
        <v>0</v>
      </c>
      <c r="AB35">
        <f>$F$43*'[2]direct emissions'!S28</f>
        <v>0</v>
      </c>
      <c r="AC35">
        <f>$F$43*'[2]direct emissions'!T28</f>
        <v>0</v>
      </c>
      <c r="AD35">
        <f>$F$43*'[2]direct emissions'!U28</f>
        <v>0</v>
      </c>
      <c r="AE35">
        <f>$F$43*'[2]direct emissions'!V28</f>
        <v>0</v>
      </c>
      <c r="AF35">
        <f>$F$43*'[2]direct emissions'!W28</f>
        <v>0</v>
      </c>
      <c r="AG35">
        <f>$F$43*'[2]direct emissions'!X28</f>
        <v>0</v>
      </c>
      <c r="AH35">
        <f>$F$43*'[2]direct emissions'!Y28</f>
        <v>0</v>
      </c>
      <c r="AI35">
        <f>$F$43*'[2]direct emissions'!Z28</f>
        <v>0</v>
      </c>
      <c r="AJ35">
        <f>$F$43*'[2]direct emissions'!AA28</f>
        <v>0</v>
      </c>
      <c r="AK35">
        <f>$F$43*'[2]direct emissions'!AB28</f>
        <v>0</v>
      </c>
      <c r="AL35">
        <f>$F$43*'[2]direct emissions'!AC28</f>
        <v>0</v>
      </c>
      <c r="AM35">
        <f>$F$43*'[2]direct emissions'!AD28</f>
        <v>0</v>
      </c>
      <c r="AN35">
        <f>$F$43*'[2]direct emissions'!AE28</f>
        <v>0</v>
      </c>
      <c r="AO35">
        <f>$F$43*'[2]direct emissions'!AF28</f>
        <v>0</v>
      </c>
      <c r="AP35">
        <f>$F$43*'[2]direct emissions'!AG28</f>
        <v>0</v>
      </c>
      <c r="AQ35">
        <f>$F$43*'[2]direct emissions'!AH28</f>
        <v>0</v>
      </c>
      <c r="AR35" s="10"/>
    </row>
    <row r="36" spans="1:44">
      <c r="A36" s="62" t="s">
        <v>134</v>
      </c>
      <c r="B36" s="62"/>
      <c r="C36" s="62"/>
      <c r="D36" s="62"/>
      <c r="E36" s="62"/>
      <c r="F36" s="63">
        <f>20/10*10000/1000*1.784/1000*'energy consumption'!D16/60</f>
        <v>6.4872727272727262E-2</v>
      </c>
      <c r="L36" s="49" t="s">
        <v>20</v>
      </c>
      <c r="M36">
        <f>$F$44*'[2]direct emissions'!D38</f>
        <v>0</v>
      </c>
      <c r="N36">
        <f>$F$44*'[2]direct emissions'!E38</f>
        <v>0</v>
      </c>
      <c r="O36">
        <f>$F$44*'[2]direct emissions'!F38</f>
        <v>0</v>
      </c>
      <c r="P36">
        <f>$F$44*'[2]direct emissions'!G38</f>
        <v>0</v>
      </c>
      <c r="Q36">
        <f>$F$44*'[2]direct emissions'!H38</f>
        <v>0</v>
      </c>
      <c r="R36">
        <f>$F$44*'[2]direct emissions'!I38</f>
        <v>0</v>
      </c>
      <c r="S36">
        <f>$F$44*'[2]direct emissions'!J38</f>
        <v>0</v>
      </c>
      <c r="T36">
        <f>$F$44*'[2]direct emissions'!K38</f>
        <v>0</v>
      </c>
      <c r="U36">
        <f>$F$44*'[2]direct emissions'!L38</f>
        <v>0</v>
      </c>
      <c r="V36">
        <f>$F$44*'[2]direct emissions'!M38</f>
        <v>0</v>
      </c>
      <c r="W36">
        <f>$F$44*'[2]direct emissions'!N38</f>
        <v>0</v>
      </c>
      <c r="X36">
        <f>$F$44*'[2]direct emissions'!O38</f>
        <v>0</v>
      </c>
      <c r="Y36">
        <f>$F$44*'[2]direct emissions'!P38</f>
        <v>0</v>
      </c>
      <c r="Z36">
        <f>$F$44*'[2]direct emissions'!Q38</f>
        <v>0</v>
      </c>
      <c r="AA36">
        <f>$F$44*'[2]direct emissions'!R38</f>
        <v>0</v>
      </c>
      <c r="AB36">
        <f>$F$44*'[2]direct emissions'!S38</f>
        <v>0</v>
      </c>
      <c r="AC36">
        <f>$F$44*'[2]direct emissions'!T38</f>
        <v>0</v>
      </c>
      <c r="AD36">
        <f>$F$44*'[2]direct emissions'!U38</f>
        <v>0</v>
      </c>
      <c r="AE36">
        <f>$F$44*'[2]direct emissions'!V38</f>
        <v>0</v>
      </c>
      <c r="AF36">
        <f>$F$44*'[2]direct emissions'!W38</f>
        <v>0</v>
      </c>
      <c r="AG36">
        <f>$F$44*'[2]direct emissions'!X38</f>
        <v>0</v>
      </c>
      <c r="AH36">
        <f>$F$44*'[2]direct emissions'!Y38</f>
        <v>0</v>
      </c>
      <c r="AI36">
        <f>$F$44*'[2]direct emissions'!Z38</f>
        <v>0</v>
      </c>
      <c r="AJ36">
        <f>$F$44*'[2]direct emissions'!AA38</f>
        <v>0</v>
      </c>
      <c r="AK36">
        <f>$F$44*'[2]direct emissions'!AB38</f>
        <v>0</v>
      </c>
      <c r="AL36">
        <f>$F$44*'[2]direct emissions'!AC38</f>
        <v>0</v>
      </c>
      <c r="AM36">
        <f>$F$44*'[2]direct emissions'!AD38</f>
        <v>0</v>
      </c>
      <c r="AN36">
        <f>$F$44*'[2]direct emissions'!AE38</f>
        <v>0</v>
      </c>
      <c r="AO36">
        <f>$F$44*'[2]direct emissions'!AF38</f>
        <v>0</v>
      </c>
      <c r="AP36">
        <f>$F$44*'[2]direct emissions'!AG38</f>
        <v>0</v>
      </c>
      <c r="AQ36">
        <f>$F$44*'[2]direct emissions'!AH38</f>
        <v>0</v>
      </c>
      <c r="AR36" s="10"/>
    </row>
    <row r="37" spans="1:44">
      <c r="A37" s="62" t="s">
        <v>135</v>
      </c>
      <c r="B37" s="62"/>
      <c r="C37" s="62"/>
      <c r="D37" s="62"/>
      <c r="E37" s="62"/>
      <c r="F37" s="63">
        <f>F36*0.1/100</f>
        <v>6.4872727272727269E-5</v>
      </c>
      <c r="L37" s="49" t="str">
        <f>L22</f>
        <v>Isopropanol</v>
      </c>
      <c r="M37">
        <f>$F$45*'[2]direct emissions'!D24</f>
        <v>0</v>
      </c>
      <c r="N37">
        <f>$F$45*'[2]direct emissions'!E24</f>
        <v>0</v>
      </c>
      <c r="O37">
        <f>$F$45*'[2]direct emissions'!F24</f>
        <v>0</v>
      </c>
      <c r="P37">
        <f>$F$45*'[2]direct emissions'!G24</f>
        <v>0</v>
      </c>
      <c r="Q37">
        <f>$F$45*'[2]direct emissions'!H24</f>
        <v>0</v>
      </c>
      <c r="R37">
        <f>$F$45*'[2]direct emissions'!I24</f>
        <v>0</v>
      </c>
      <c r="S37">
        <f>$F$45*'[2]direct emissions'!J24</f>
        <v>0</v>
      </c>
      <c r="T37">
        <f>$F$45*'[2]direct emissions'!K24</f>
        <v>0</v>
      </c>
      <c r="U37">
        <f>$F$45*'[2]direct emissions'!L24</f>
        <v>0</v>
      </c>
      <c r="V37">
        <f>$F$45*'[2]direct emissions'!M24</f>
        <v>0</v>
      </c>
      <c r="W37">
        <f>$F$45*'[2]direct emissions'!N24</f>
        <v>0</v>
      </c>
      <c r="X37">
        <f>$F$45*'[2]direct emissions'!O24</f>
        <v>0</v>
      </c>
      <c r="Y37">
        <f>$F$45*'[2]direct emissions'!P24</f>
        <v>0</v>
      </c>
      <c r="Z37">
        <f>$F$45*'[2]direct emissions'!Q24</f>
        <v>0</v>
      </c>
      <c r="AA37">
        <f>$F$45*'[2]direct emissions'!R24</f>
        <v>0</v>
      </c>
      <c r="AB37">
        <f>$F$45*'[2]direct emissions'!S24</f>
        <v>0</v>
      </c>
      <c r="AC37">
        <f>$F$45*'[2]direct emissions'!T24</f>
        <v>0</v>
      </c>
      <c r="AD37">
        <f>$F$45*'[2]direct emissions'!U24</f>
        <v>0</v>
      </c>
      <c r="AE37">
        <f>$F$45*'[2]direct emissions'!V24</f>
        <v>0</v>
      </c>
      <c r="AF37">
        <f>$F$45*'[2]direct emissions'!W24</f>
        <v>0</v>
      </c>
      <c r="AG37">
        <f>$F$45*'[2]direct emissions'!X24</f>
        <v>0</v>
      </c>
      <c r="AH37">
        <f>$F$45*'[2]direct emissions'!Y24</f>
        <v>0</v>
      </c>
      <c r="AI37">
        <f>$F$45*'[2]direct emissions'!Z24</f>
        <v>0</v>
      </c>
      <c r="AJ37">
        <f>$F$45*'[2]direct emissions'!AA24</f>
        <v>1.2175150279972412E-3</v>
      </c>
      <c r="AK37">
        <f>$F$45*'[2]direct emissions'!AB24</f>
        <v>0</v>
      </c>
      <c r="AL37">
        <f>$F$45*'[2]direct emissions'!AC24</f>
        <v>0</v>
      </c>
      <c r="AM37">
        <f>$F$45*'[2]direct emissions'!AD24</f>
        <v>0</v>
      </c>
      <c r="AN37">
        <f>$F$45*'[2]direct emissions'!AE24</f>
        <v>0</v>
      </c>
      <c r="AO37">
        <f>$F$45*'[2]direct emissions'!AF24</f>
        <v>0</v>
      </c>
      <c r="AP37">
        <f>$F$45*'[2]direct emissions'!AG24</f>
        <v>4.6324962040776623E-7</v>
      </c>
      <c r="AQ37">
        <f>$F$45*'[2]direct emissions'!AH24</f>
        <v>0</v>
      </c>
    </row>
    <row r="38" spans="1:44">
      <c r="A38" s="51" t="s">
        <v>71</v>
      </c>
      <c r="B38" s="49"/>
      <c r="C38" s="49"/>
      <c r="D38" s="49"/>
      <c r="E38" s="49"/>
      <c r="L38" s="49" t="s">
        <v>77</v>
      </c>
      <c r="M38">
        <f>$F$46*'[2]direct emissions'!D30</f>
        <v>0</v>
      </c>
      <c r="N38">
        <f>$F$46*'[2]direct emissions'!E30</f>
        <v>0</v>
      </c>
      <c r="O38">
        <f>$F$46*'[2]direct emissions'!F30</f>
        <v>0</v>
      </c>
      <c r="P38">
        <f>$F$46*'[2]direct emissions'!G30</f>
        <v>0</v>
      </c>
      <c r="Q38">
        <f>$F$46*'[2]direct emissions'!H30</f>
        <v>0</v>
      </c>
      <c r="R38">
        <f>$F$46*'[2]direct emissions'!I30</f>
        <v>0</v>
      </c>
      <c r="S38">
        <f>$F$46*'[2]direct emissions'!J30</f>
        <v>0</v>
      </c>
      <c r="T38">
        <f>$F$46*'[2]direct emissions'!K30</f>
        <v>0</v>
      </c>
      <c r="U38">
        <f>$F$46*'[2]direct emissions'!L30</f>
        <v>0</v>
      </c>
      <c r="V38">
        <f>$F$46*'[2]direct emissions'!M30</f>
        <v>0</v>
      </c>
      <c r="W38">
        <f>$F$46*'[2]direct emissions'!N30</f>
        <v>0</v>
      </c>
      <c r="X38">
        <f>$F$46*'[2]direct emissions'!O30</f>
        <v>0</v>
      </c>
      <c r="Y38">
        <f>$F$46*'[2]direct emissions'!P30</f>
        <v>0</v>
      </c>
      <c r="Z38">
        <f>$F$46*'[2]direct emissions'!Q30</f>
        <v>1.6955846321180296E-8</v>
      </c>
      <c r="AA38">
        <f>$F$46*'[2]direct emissions'!R30</f>
        <v>0</v>
      </c>
      <c r="AB38">
        <f>$F$46*'[2]direct emissions'!S30</f>
        <v>4.6949747004050041E-5</v>
      </c>
      <c r="AC38">
        <f>$F$46*'[2]direct emissions'!T30</f>
        <v>0</v>
      </c>
      <c r="AD38">
        <f>$F$46*'[2]direct emissions'!U30</f>
        <v>1.7353434200974799E-7</v>
      </c>
      <c r="AE38">
        <f>$F$46*'[2]direct emissions'!V30</f>
        <v>0</v>
      </c>
      <c r="AF38">
        <f>$F$46*'[2]direct emissions'!W30</f>
        <v>0</v>
      </c>
      <c r="AG38">
        <f>$F$46*'[2]direct emissions'!X30</f>
        <v>0</v>
      </c>
      <c r="AH38">
        <f>$F$46*'[2]direct emissions'!Y30</f>
        <v>0</v>
      </c>
      <c r="AI38">
        <f>$F$46*'[2]direct emissions'!Z30</f>
        <v>0</v>
      </c>
      <c r="AJ38">
        <f>$F$46*'[2]direct emissions'!AA30</f>
        <v>0</v>
      </c>
      <c r="AK38">
        <f>$F$46*'[2]direct emissions'!AB30</f>
        <v>0</v>
      </c>
      <c r="AL38">
        <f>$F$46*'[2]direct emissions'!AC30</f>
        <v>3.693729591702373E-8</v>
      </c>
      <c r="AM38">
        <f>$F$46*'[2]direct emissions'!AD30</f>
        <v>0</v>
      </c>
      <c r="AN38">
        <f>$F$46*'[2]direct emissions'!AE30</f>
        <v>0</v>
      </c>
      <c r="AO38">
        <f>$F$46*'[2]direct emissions'!AF30</f>
        <v>8.1562639185993316E-9</v>
      </c>
      <c r="AP38">
        <f>$F$46*'[2]direct emissions'!AG30</f>
        <v>3.2063241856420512E-7</v>
      </c>
      <c r="AQ38">
        <f>$F$46*'[2]direct emissions'!AH30</f>
        <v>0</v>
      </c>
    </row>
    <row r="39" spans="1:44">
      <c r="A39" s="65" t="s">
        <v>75</v>
      </c>
      <c r="B39" s="65"/>
      <c r="C39" s="65"/>
      <c r="D39" s="65"/>
      <c r="E39" s="65"/>
      <c r="F39" s="66">
        <f>2.02/100</f>
        <v>2.0199999999999999E-2</v>
      </c>
      <c r="L39" s="49" t="s">
        <v>78</v>
      </c>
      <c r="M39">
        <f>$F$47*'[2]direct emissions'!D35</f>
        <v>0</v>
      </c>
      <c r="N39">
        <f>$F$47*'[2]direct emissions'!E35</f>
        <v>0</v>
      </c>
      <c r="O39">
        <f>$F$47*'[2]direct emissions'!F35</f>
        <v>0</v>
      </c>
      <c r="P39">
        <f>$F$47*'[2]direct emissions'!G35</f>
        <v>0</v>
      </c>
      <c r="Q39">
        <f>$F$47*'[2]direct emissions'!H35</f>
        <v>0</v>
      </c>
      <c r="R39">
        <f>$F$47*'[2]direct emissions'!I35</f>
        <v>0</v>
      </c>
      <c r="S39">
        <f>$F$47*'[2]direct emissions'!J35</f>
        <v>0</v>
      </c>
      <c r="T39">
        <f>$F$47*'[2]direct emissions'!K35</f>
        <v>0</v>
      </c>
      <c r="U39">
        <f>$F$47*'[2]direct emissions'!L35</f>
        <v>0</v>
      </c>
      <c r="V39">
        <f>$F$47*'[2]direct emissions'!M35</f>
        <v>0</v>
      </c>
      <c r="W39">
        <f>$F$47*'[2]direct emissions'!N35</f>
        <v>0</v>
      </c>
      <c r="X39">
        <f>$F$47*'[2]direct emissions'!O35</f>
        <v>0</v>
      </c>
      <c r="Y39">
        <f>$F$47*'[2]direct emissions'!P35</f>
        <v>0</v>
      </c>
      <c r="Z39">
        <f>$F$47*'[2]direct emissions'!Q35</f>
        <v>1.806089669992429E-6</v>
      </c>
      <c r="AA39">
        <f>$F$47*'[2]direct emissions'!R35</f>
        <v>0</v>
      </c>
      <c r="AB39">
        <f>$F$47*'[2]direct emissions'!S35</f>
        <v>7.5835554142198447E-3</v>
      </c>
      <c r="AC39">
        <f>$F$47*'[2]direct emissions'!T35</f>
        <v>0</v>
      </c>
      <c r="AD39">
        <f>$F$47*'[2]direct emissions'!U35</f>
        <v>1.5837669986395905E-4</v>
      </c>
      <c r="AE39">
        <f>$F$47*'[2]direct emissions'!V35</f>
        <v>0</v>
      </c>
      <c r="AF39">
        <f>$F$47*'[2]direct emissions'!W35</f>
        <v>0</v>
      </c>
      <c r="AG39">
        <f>$F$47*'[2]direct emissions'!X35</f>
        <v>0</v>
      </c>
      <c r="AH39">
        <f>$F$47*'[2]direct emissions'!Y35</f>
        <v>0</v>
      </c>
      <c r="AI39">
        <f>$F$47*'[2]direct emissions'!Z35</f>
        <v>0</v>
      </c>
      <c r="AJ39">
        <f>$F$47*'[2]direct emissions'!AA35</f>
        <v>0</v>
      </c>
      <c r="AK39">
        <f>$F$47*'[2]direct emissions'!AB35</f>
        <v>0</v>
      </c>
      <c r="AL39">
        <f>$F$47*'[2]direct emissions'!AC35</f>
        <v>4.5457359310816831E-6</v>
      </c>
      <c r="AM39">
        <f>$F$47*'[2]direct emissions'!AD35</f>
        <v>0</v>
      </c>
      <c r="AN39">
        <f>$F$47*'[2]direct emissions'!AE35</f>
        <v>0</v>
      </c>
      <c r="AO39">
        <f>$F$47*'[2]direct emissions'!AF35</f>
        <v>0</v>
      </c>
      <c r="AP39">
        <f>$F$47*'[2]direct emissions'!AG35</f>
        <v>0</v>
      </c>
      <c r="AQ39">
        <f>$F$47*'[2]direct emissions'!AH35</f>
        <v>0</v>
      </c>
    </row>
    <row r="40" spans="1:44">
      <c r="A40" s="65" t="s">
        <v>76</v>
      </c>
      <c r="B40" s="65"/>
      <c r="C40" s="65"/>
      <c r="D40" s="65"/>
      <c r="E40" s="65"/>
      <c r="F40" s="66">
        <f>6.17/100</f>
        <v>6.1699999999999998E-2</v>
      </c>
      <c r="L40" s="62" t="s">
        <v>133</v>
      </c>
      <c r="M40" s="64">
        <f>$F$48*'[5]direct emissions'!D39</f>
        <v>0</v>
      </c>
      <c r="N40" s="64" t="e">
        <f>$F$48*'[5]direct emissions'!E39</f>
        <v>#REF!</v>
      </c>
      <c r="O40" s="64" t="e">
        <f>$F$48*'[5]direct emissions'!F39</f>
        <v>#REF!</v>
      </c>
      <c r="P40" s="64" t="e">
        <f>$F$48*'[5]direct emissions'!G39</f>
        <v>#REF!</v>
      </c>
      <c r="Q40" s="64" t="e">
        <f>$F$48*'[5]direct emissions'!H39</f>
        <v>#REF!</v>
      </c>
      <c r="R40" s="64" t="e">
        <f>$F$48*'[5]direct emissions'!I39</f>
        <v>#REF!</v>
      </c>
      <c r="S40" s="64" t="e">
        <f>$F$48*'[5]direct emissions'!J39</f>
        <v>#REF!</v>
      </c>
      <c r="T40" s="64" t="e">
        <f>$F$48*'[5]direct emissions'!K39</f>
        <v>#REF!</v>
      </c>
      <c r="U40" s="64" t="e">
        <f>$F$48*'[5]direct emissions'!L39</f>
        <v>#REF!</v>
      </c>
      <c r="V40" s="64">
        <f>$F$48*'[5]direct emissions'!M39</f>
        <v>0</v>
      </c>
      <c r="W40" s="64" t="e">
        <f>$F$48*'[5]direct emissions'!N39</f>
        <v>#REF!</v>
      </c>
      <c r="X40" s="64" t="e">
        <f>$F$48*'[5]direct emissions'!O39</f>
        <v>#REF!</v>
      </c>
      <c r="Y40" s="64" t="e">
        <f>$F$48*'[5]direct emissions'!P39</f>
        <v>#REF!</v>
      </c>
      <c r="Z40" s="64">
        <f>$F$48*'[5]direct emissions'!Q39</f>
        <v>1.7256593787826176E-2</v>
      </c>
      <c r="AA40" s="64" t="e">
        <f>$F$48*'[5]direct emissions'!R39</f>
        <v>#REF!</v>
      </c>
      <c r="AB40" s="64">
        <f>$F$48*'[5]direct emissions'!S39</f>
        <v>2.2403421386766337E-2</v>
      </c>
      <c r="AC40" s="64" t="e">
        <f>$F$48*'[5]direct emissions'!T39</f>
        <v>#REF!</v>
      </c>
      <c r="AD40" s="64">
        <f>$F$48*'[5]direct emissions'!U39</f>
        <v>39.34650254464205</v>
      </c>
      <c r="AE40" s="64" t="e">
        <f>$F$48*'[5]direct emissions'!V39</f>
        <v>#REF!</v>
      </c>
      <c r="AF40" s="64" t="e">
        <f>$F$48*'[5]direct emissions'!W39</f>
        <v>#REF!</v>
      </c>
      <c r="AG40" s="64" t="e">
        <f>$F$48*'[5]direct emissions'!X39</f>
        <v>#REF!</v>
      </c>
      <c r="AH40" s="64" t="e">
        <f>$F$48*'[5]direct emissions'!Y39</f>
        <v>#REF!</v>
      </c>
      <c r="AI40" s="64" t="e">
        <f>$F$48*'[5]direct emissions'!Z39</f>
        <v>#REF!</v>
      </c>
      <c r="AJ40" s="64" t="e">
        <f>$F$48*'[5]direct emissions'!AA39</f>
        <v>#REF!</v>
      </c>
      <c r="AK40" s="64" t="e">
        <f>$F$48*'[5]direct emissions'!AB39</f>
        <v>#REF!</v>
      </c>
      <c r="AL40" s="64">
        <f>$F$48*'[5]direct emissions'!AC39</f>
        <v>0.18068339137959935</v>
      </c>
      <c r="AM40" s="64" t="e">
        <f>$F$48*'[5]direct emissions'!AD39</f>
        <v>#REF!</v>
      </c>
      <c r="AN40" s="64" t="e">
        <f>$F$48*'[5]direct emissions'!AE39</f>
        <v>#REF!</v>
      </c>
      <c r="AO40" s="64">
        <f>$F$48*'[5]direct emissions'!AF39</f>
        <v>4.9676467749457921E-2</v>
      </c>
      <c r="AP40" s="64">
        <f>$F$48*'[5]direct emissions'!AG39</f>
        <v>1.5299897532444672E-4</v>
      </c>
      <c r="AQ40" s="64" t="e">
        <f>$F$48*'[5]direct emissions'!AH39</f>
        <v>#REF!</v>
      </c>
      <c r="AR40" s="56"/>
    </row>
    <row r="41" spans="1:44">
      <c r="A41" s="51" t="s">
        <v>14</v>
      </c>
      <c r="B41" s="49"/>
      <c r="C41" s="49"/>
      <c r="D41" s="49"/>
      <c r="E41" s="49"/>
      <c r="L41" s="62" t="s">
        <v>134</v>
      </c>
      <c r="M41" s="59"/>
      <c r="N41" s="59"/>
      <c r="O41" s="59"/>
      <c r="P41" s="59"/>
      <c r="Q41" s="59"/>
      <c r="R41" s="59"/>
      <c r="S41" s="59"/>
      <c r="T41" s="59"/>
      <c r="U41" s="59"/>
      <c r="V41" s="59"/>
      <c r="W41" s="59"/>
      <c r="X41" s="59"/>
      <c r="Y41" s="59"/>
      <c r="Z41" s="59"/>
      <c r="AA41" s="59"/>
      <c r="AB41" s="59"/>
      <c r="AC41" s="59"/>
      <c r="AD41" s="59"/>
      <c r="AE41" s="59"/>
      <c r="AF41" s="59"/>
      <c r="AG41" s="59"/>
      <c r="AH41" s="59"/>
      <c r="AI41" s="59"/>
      <c r="AJ41" s="59"/>
      <c r="AK41" s="59"/>
      <c r="AL41" s="59"/>
      <c r="AM41" s="59"/>
      <c r="AN41" s="59"/>
      <c r="AO41" s="59"/>
      <c r="AP41" s="59"/>
      <c r="AQ41" s="59"/>
    </row>
    <row r="42" spans="1:44">
      <c r="A42" s="1" t="s">
        <v>17</v>
      </c>
      <c r="B42" s="1"/>
      <c r="C42" s="1"/>
      <c r="D42" s="1"/>
      <c r="E42" s="1"/>
      <c r="F42" s="50">
        <f>F17</f>
        <v>5.0669925093632957E-3</v>
      </c>
      <c r="G42" s="49" t="s">
        <v>140</v>
      </c>
      <c r="L42" s="62" t="s">
        <v>145</v>
      </c>
      <c r="M42" s="59"/>
      <c r="N42" s="59"/>
      <c r="O42" s="59"/>
      <c r="P42" s="59"/>
      <c r="Q42" s="59"/>
      <c r="R42" s="59"/>
      <c r="S42" s="59"/>
      <c r="T42" s="59"/>
      <c r="U42" s="59"/>
      <c r="V42" s="59"/>
      <c r="W42" s="59"/>
      <c r="X42" s="59"/>
      <c r="Y42" s="59"/>
      <c r="Z42" s="59"/>
      <c r="AA42" s="59"/>
      <c r="AB42" s="59"/>
      <c r="AC42" s="59"/>
      <c r="AD42" s="59"/>
      <c r="AE42" s="59"/>
      <c r="AF42" s="59"/>
      <c r="AG42" s="59"/>
      <c r="AH42" s="59"/>
      <c r="AI42" s="59"/>
      <c r="AJ42" s="59"/>
      <c r="AK42" s="59"/>
      <c r="AL42" s="59"/>
      <c r="AM42" s="59"/>
      <c r="AN42" s="59"/>
      <c r="AO42" s="59"/>
      <c r="AP42" s="59"/>
      <c r="AQ42" s="59"/>
    </row>
    <row r="43" spans="1:44">
      <c r="A43" s="1" t="s">
        <v>10</v>
      </c>
      <c r="B43" s="1"/>
      <c r="C43" s="1"/>
      <c r="D43" s="1"/>
      <c r="E43" s="1"/>
      <c r="F43" s="50">
        <f>F21</f>
        <v>1.6601556588432577E-3</v>
      </c>
      <c r="G43" s="49" t="s">
        <v>140</v>
      </c>
    </row>
    <row r="44" spans="1:44">
      <c r="A44" s="1" t="s">
        <v>20</v>
      </c>
      <c r="B44" s="1"/>
      <c r="C44" s="1"/>
      <c r="D44" s="1"/>
      <c r="E44" s="1"/>
      <c r="F44" s="50">
        <f>F22</f>
        <v>1.0138636601863113E-4</v>
      </c>
      <c r="G44" s="49" t="s">
        <v>140</v>
      </c>
    </row>
    <row r="45" spans="1:44">
      <c r="A45" s="49" t="s">
        <v>137</v>
      </c>
      <c r="B45" s="1"/>
      <c r="C45" s="1"/>
      <c r="D45" s="1"/>
      <c r="E45" s="1"/>
      <c r="F45" s="50">
        <f>F26</f>
        <v>3.8338771094381212E-3</v>
      </c>
      <c r="G45" s="49" t="s">
        <v>140</v>
      </c>
    </row>
    <row r="46" spans="1:44">
      <c r="A46" s="1" t="s">
        <v>77</v>
      </c>
      <c r="B46" s="1"/>
      <c r="C46" s="1"/>
      <c r="D46" s="1"/>
      <c r="E46" s="1"/>
      <c r="F46" s="50">
        <f>F30</f>
        <v>9.9720896265560196E-5</v>
      </c>
      <c r="G46" s="49" t="s">
        <v>140</v>
      </c>
    </row>
    <row r="47" spans="1:44">
      <c r="A47" s="1" t="s">
        <v>78</v>
      </c>
      <c r="B47" s="1"/>
      <c r="C47" s="1"/>
      <c r="D47" s="1"/>
      <c r="E47" s="1"/>
      <c r="F47" s="50">
        <f>F32</f>
        <v>4.0236348547717854E-3</v>
      </c>
      <c r="G47" s="49" t="s">
        <v>140</v>
      </c>
      <c r="L47" s="49" t="s">
        <v>74</v>
      </c>
      <c r="M47" s="56">
        <f>$F$53/1000*[5]production!D3</f>
        <v>1.2757696199999999E-4</v>
      </c>
      <c r="N47" s="56">
        <f>$F$53/1000*[5]production!E3</f>
        <v>3.1359513000000006E-5</v>
      </c>
      <c r="O47" s="56">
        <f>$F$53/1000*[5]production!F3</f>
        <v>8.4592602000000013E-4</v>
      </c>
      <c r="P47" s="56">
        <f>$F$53/1000*[5]production!G3</f>
        <v>1.5608373600000002E-6</v>
      </c>
      <c r="Q47" s="56">
        <f>$F$53/1000*[5]production!H3</f>
        <v>1.2239719200000002E-4</v>
      </c>
      <c r="R47" s="56">
        <f>$F$53/1000*[5]production!I3</f>
        <v>1.5501685800000001E-7</v>
      </c>
      <c r="S47" s="56">
        <f>$F$53/1000*[5]production!J3</f>
        <v>1.0602808800000001E-6</v>
      </c>
      <c r="T47" s="56">
        <f>$F$53/1000*[5]production!K3</f>
        <v>5.6425992000000003E-5</v>
      </c>
      <c r="U47" s="56">
        <f>$F$53/1000*[5]production!L3</f>
        <v>7.2362160000000007E-6</v>
      </c>
      <c r="V47" s="56">
        <f>$F$53/1000*[5]production!M3</f>
        <v>1.0661210680980003E-3</v>
      </c>
      <c r="W47" s="56">
        <f>$F$53/1000*[5]production!N3</f>
        <v>4.5807721199999999E-6</v>
      </c>
      <c r="X47" s="56">
        <f>$F$53/1000*[5]production!O3</f>
        <v>1.1673294600000001E-4</v>
      </c>
      <c r="Y47" s="56">
        <f>$F$53/1000*[5]production!P3</f>
        <v>2.0171209800000002E-5</v>
      </c>
      <c r="Z47" s="56">
        <f>$F$53/1000*[5]production!Q3</f>
        <v>1.7836447800000002E-6</v>
      </c>
      <c r="AA47" s="56">
        <f>$F$53/1000*[5]production!R3</f>
        <v>7.2485856000000006E-7</v>
      </c>
      <c r="AB47" s="56">
        <f>$F$53/1000*[5]production!S3</f>
        <v>1.6467545400000001E-3</v>
      </c>
      <c r="AC47" s="56">
        <f>$F$53/1000*[5]production!T3</f>
        <v>8.1773364000000004E-6</v>
      </c>
      <c r="AD47" s="56">
        <f>$F$53/1000*[5]production!U3</f>
        <v>1.6016055E-3</v>
      </c>
      <c r="AE47" s="56">
        <f>$F$53/1000*[5]production!V3</f>
        <v>6.7182390000000003E-6</v>
      </c>
      <c r="AF47" s="56">
        <f>$F$53/1000*[5]production!W3</f>
        <v>9.001976400000002E-6</v>
      </c>
      <c r="AG47" s="56">
        <f>$F$53/1000*[5]production!X3</f>
        <v>9.3617256000000016E-9</v>
      </c>
      <c r="AH47" s="56">
        <f>$F$53/1000*[5]production!Y3</f>
        <v>9.4591362000000011E-12</v>
      </c>
      <c r="AI47" s="56">
        <f>$F$53/1000*[5]production!Z3</f>
        <v>2.6064808800000005E-7</v>
      </c>
      <c r="AJ47" s="56">
        <f>$F$53/1000*[5]production!AA3</f>
        <v>3.0646199400000004E-7</v>
      </c>
      <c r="AK47" s="56">
        <f>$F$53/1000*[5]production!AB3</f>
        <v>5.3446980000000006E-7</v>
      </c>
      <c r="AL47" s="56">
        <f>$F$53/1000*[5]production!AC3</f>
        <v>7.1202510000000002E-8</v>
      </c>
      <c r="AM47" s="56">
        <f>$F$53/1000*[5]production!AD3</f>
        <v>1.2040259400000001E-6</v>
      </c>
      <c r="AN47" s="56">
        <f>$F$53/1000*[5]production!AE3</f>
        <v>5.488494600000001E-7</v>
      </c>
      <c r="AO47" s="56">
        <f>$F$53/1000*[5]production!AF3</f>
        <v>5.2287330000000007E-6</v>
      </c>
      <c r="AP47" s="56">
        <f>$F$53/1000*[5]production!AG3</f>
        <v>1.58258724E-5</v>
      </c>
      <c r="AQ47" s="56">
        <f>$F$53/1000*[5]production!AH3</f>
        <v>2.8364008200000001E-6</v>
      </c>
      <c r="AR47" s="56"/>
    </row>
    <row r="48" spans="1:44">
      <c r="A48" s="62" t="s">
        <v>133</v>
      </c>
      <c r="B48" s="62"/>
      <c r="C48" s="62"/>
      <c r="D48" s="62"/>
      <c r="E48" s="62"/>
      <c r="F48" s="63">
        <f>K35*(1-E35)</f>
        <v>4.3008E-4</v>
      </c>
      <c r="G48" s="49" t="s">
        <v>140</v>
      </c>
      <c r="L48" s="51" t="s">
        <v>34</v>
      </c>
      <c r="M48" s="57">
        <f>SUM(M13:M33)+M47</f>
        <v>2.4046890167392134</v>
      </c>
      <c r="N48" s="57" t="e">
        <f t="shared" ref="N48:AQ48" si="1">SUM(N13:N33)+N47</f>
        <v>#REF!</v>
      </c>
      <c r="O48" s="57" t="e">
        <f t="shared" si="1"/>
        <v>#REF!</v>
      </c>
      <c r="P48" s="57" t="e">
        <f t="shared" si="1"/>
        <v>#REF!</v>
      </c>
      <c r="Q48" s="57" t="e">
        <f t="shared" si="1"/>
        <v>#REF!</v>
      </c>
      <c r="R48" s="57" t="e">
        <f t="shared" si="1"/>
        <v>#REF!</v>
      </c>
      <c r="S48" s="57" t="e">
        <f t="shared" si="1"/>
        <v>#REF!</v>
      </c>
      <c r="T48" s="57" t="e">
        <f t="shared" si="1"/>
        <v>#REF!</v>
      </c>
      <c r="U48" s="57" t="e">
        <f t="shared" si="1"/>
        <v>#REF!</v>
      </c>
      <c r="V48" s="57">
        <f t="shared" si="1"/>
        <v>44.621564756250315</v>
      </c>
      <c r="W48" s="57" t="e">
        <f t="shared" si="1"/>
        <v>#REF!</v>
      </c>
      <c r="X48" s="57" t="e">
        <f t="shared" si="1"/>
        <v>#REF!</v>
      </c>
      <c r="Y48" s="57" t="e">
        <f t="shared" si="1"/>
        <v>#REF!</v>
      </c>
      <c r="Z48" s="57">
        <f t="shared" si="1"/>
        <v>3.6009600667287062E-2</v>
      </c>
      <c r="AA48" s="57" t="e">
        <f t="shared" si="1"/>
        <v>#REF!</v>
      </c>
      <c r="AB48" s="57">
        <f t="shared" si="1"/>
        <v>32.950263925396605</v>
      </c>
      <c r="AC48" s="57" t="e">
        <f t="shared" si="1"/>
        <v>#REF!</v>
      </c>
      <c r="AD48" s="57">
        <f t="shared" si="1"/>
        <v>57.17084327903143</v>
      </c>
      <c r="AE48" s="57" t="e">
        <f t="shared" si="1"/>
        <v>#REF!</v>
      </c>
      <c r="AF48" s="57" t="e">
        <f t="shared" si="1"/>
        <v>#REF!</v>
      </c>
      <c r="AG48" s="57" t="e">
        <f t="shared" si="1"/>
        <v>#REF!</v>
      </c>
      <c r="AH48" s="57" t="e">
        <f t="shared" si="1"/>
        <v>#REF!</v>
      </c>
      <c r="AI48" s="57" t="e">
        <f t="shared" si="1"/>
        <v>#REF!</v>
      </c>
      <c r="AJ48" s="57" t="e">
        <f t="shared" si="1"/>
        <v>#REF!</v>
      </c>
      <c r="AK48" s="57" t="e">
        <f t="shared" si="1"/>
        <v>#REF!</v>
      </c>
      <c r="AL48" s="57">
        <f t="shared" si="1"/>
        <v>0.18217525738680729</v>
      </c>
      <c r="AM48" s="57" t="e">
        <f t="shared" si="1"/>
        <v>#REF!</v>
      </c>
      <c r="AN48" s="57" t="e">
        <f t="shared" si="1"/>
        <v>#REF!</v>
      </c>
      <c r="AO48" s="57">
        <f t="shared" si="1"/>
        <v>0.12599421723731388</v>
      </c>
      <c r="AP48" s="57">
        <f t="shared" si="1"/>
        <v>0.31033090057215817</v>
      </c>
      <c r="AQ48" s="57" t="e">
        <f t="shared" si="1"/>
        <v>#REF!</v>
      </c>
    </row>
    <row r="49" spans="1:43">
      <c r="A49" s="62" t="str">
        <f>A36</f>
        <v>Ar</v>
      </c>
      <c r="B49" s="62"/>
      <c r="C49" s="62"/>
      <c r="D49" s="62"/>
      <c r="E49" s="62"/>
      <c r="F49" s="63">
        <f>F36</f>
        <v>6.4872727272727262E-2</v>
      </c>
      <c r="G49" s="49" t="s">
        <v>140</v>
      </c>
    </row>
    <row r="50" spans="1:43">
      <c r="A50" s="62" t="str">
        <f>A37</f>
        <v>O2</v>
      </c>
      <c r="B50" s="62"/>
      <c r="C50" s="62"/>
      <c r="D50" s="62"/>
      <c r="E50" s="62"/>
      <c r="F50" s="63">
        <f>F37</f>
        <v>6.4872727272727269E-5</v>
      </c>
      <c r="G50" s="49" t="s">
        <v>140</v>
      </c>
    </row>
    <row r="51" spans="1:43">
      <c r="A51" s="51" t="s">
        <v>15</v>
      </c>
      <c r="B51" s="49"/>
      <c r="C51" s="49"/>
      <c r="D51" s="49"/>
      <c r="E51" s="49"/>
      <c r="F51" s="50">
        <f>SUM(F14:F40)-SUM(F42:F50)-F53</f>
        <v>0.23791188149523787</v>
      </c>
      <c r="L51" s="49" t="s">
        <v>146</v>
      </c>
      <c r="M51" s="56">
        <f>$F$51*[5]production!D104</f>
        <v>1.2908860778050111E-3</v>
      </c>
      <c r="N51" s="56">
        <f>$F$51*[5]production!E104</f>
        <v>9.8835732929566673E-5</v>
      </c>
      <c r="O51" s="56">
        <f>$F$51*[5]production!F104</f>
        <v>4.0454536329450244E-2</v>
      </c>
      <c r="P51" s="56">
        <f>$F$51*[5]production!G104</f>
        <v>4.8926578429495671E-6</v>
      </c>
      <c r="Q51" s="56">
        <f>$F$51*[5]production!H104</f>
        <v>5.3596788663247191E-4</v>
      </c>
      <c r="R51" s="56">
        <f>$F$51*[5]production!I104</f>
        <v>3.0619259148437113E-7</v>
      </c>
      <c r="S51" s="56">
        <f>$F$51*[5]production!J104</f>
        <v>8.4632393604300964E-7</v>
      </c>
      <c r="T51" s="56">
        <f>$F$51*[5]production!K104</f>
        <v>1.8836673217385459E-4</v>
      </c>
      <c r="U51" s="56">
        <f>$F$51*[5]production!L104</f>
        <v>3.1090324673797683E-5</v>
      </c>
      <c r="V51" s="56">
        <f>$F$51*[5]production!M104</f>
        <v>4.1314842180230411E-2</v>
      </c>
      <c r="W51" s="56">
        <f>$F$51*[5]production!N104</f>
        <v>6.6739040997044124E-5</v>
      </c>
      <c r="X51" s="56">
        <f>$F$51*[5]production!O104</f>
        <v>1.2148256492909837E-3</v>
      </c>
      <c r="Y51" s="56">
        <f>$F$51*[5]production!P104</f>
        <v>9.6299592272827445E-4</v>
      </c>
      <c r="Z51" s="56">
        <f>$F$51*[5]production!Q104</f>
        <v>5.9442283591585178E-6</v>
      </c>
      <c r="AA51" s="56">
        <f>$F$51*[5]production!R104</f>
        <v>1.4317537028383415E-7</v>
      </c>
      <c r="AB51" s="56">
        <f>$F$51*[5]production!S104</f>
        <v>9.1572283187517072E-3</v>
      </c>
      <c r="AC51" s="56">
        <f>$F$51*[5]production!T104</f>
        <v>1.7666146760428889E-4</v>
      </c>
      <c r="AD51" s="56">
        <f>$F$51*[5]production!U104</f>
        <v>6.4952322767014891E-3</v>
      </c>
      <c r="AE51" s="56">
        <f>$F$51*[5]production!V104</f>
        <v>4.112782695408177E-6</v>
      </c>
      <c r="AF51" s="56">
        <f>$F$51*[5]production!W104</f>
        <v>5.0113758718156904E-5</v>
      </c>
      <c r="AG51" s="56">
        <f>$F$51*[5]production!X104</f>
        <v>-9.4703203547994379E-6</v>
      </c>
      <c r="AH51" s="56">
        <f>$F$51*[5]production!Y104</f>
        <v>4.5393586989291386E-10</v>
      </c>
      <c r="AI51" s="56">
        <f>$F$51*[5]production!Z104</f>
        <v>4.3449846917475298E-6</v>
      </c>
      <c r="AJ51" s="56">
        <f>$F$51*[5]production!AA104</f>
        <v>1.3138921567456007E-5</v>
      </c>
      <c r="AK51" s="56">
        <f>$F$51*[5]production!AB104</f>
        <v>1.0992004748842981E-5</v>
      </c>
      <c r="AL51" s="56">
        <f>$F$51*[5]production!AC104</f>
        <v>1.3251691799284749E-6</v>
      </c>
      <c r="AM51" s="56">
        <f>$F$51*[5]production!AD104</f>
        <v>2.4321731645258169E-4</v>
      </c>
      <c r="AN51" s="56">
        <f>$F$51*[5]production!AE104</f>
        <v>1.7564558387030421E-6</v>
      </c>
      <c r="AO51" s="56">
        <f>$F$51*[5]production!AF104</f>
        <v>9.8916622969275042E-5</v>
      </c>
      <c r="AP51" s="56">
        <f>$F$51*[5]production!AG104</f>
        <v>1.1426193932571788E-4</v>
      </c>
      <c r="AQ51" s="56">
        <f>$F$51*[5]production!AH104</f>
        <v>1.1780444724118199E-4</v>
      </c>
    </row>
    <row r="53" spans="1:43">
      <c r="A53" s="51" t="s">
        <v>139</v>
      </c>
      <c r="F53" s="50">
        <f>F18+F33</f>
        <v>5.1540000000000002E-2</v>
      </c>
      <c r="G53" s="49" t="s">
        <v>141</v>
      </c>
    </row>
  </sheetData>
  <mergeCells count="10">
    <mergeCell ref="M11:M12"/>
    <mergeCell ref="N11:V11"/>
    <mergeCell ref="W11:AN11"/>
    <mergeCell ref="AO11:AQ11"/>
    <mergeCell ref="A11:A12"/>
    <mergeCell ref="B11:B12"/>
    <mergeCell ref="C11:C12"/>
    <mergeCell ref="D11:D12"/>
    <mergeCell ref="E11:E12"/>
    <mergeCell ref="F11:F12"/>
  </mergeCells>
  <dataValidations count="3">
    <dataValidation type="list" allowBlank="1" showInputMessage="1" showErrorMessage="1" sqref="B2" xr:uid="{EDC3A261-3AA9-41C7-8F62-E5D616B22B9E}">
      <formula1>"70%,80%,90%,100%,0%"</formula1>
    </dataValidation>
    <dataValidation type="list" allowBlank="1" showInputMessage="1" showErrorMessage="1" sqref="B4:B9" xr:uid="{53EE7C40-C9E8-4AC8-AB27-66DA4C2BCFA7}">
      <formula1>"80%,100%,120%"</formula1>
    </dataValidation>
    <dataValidation type="list" allowBlank="1" showInputMessage="1" showErrorMessage="1" sqref="B3" xr:uid="{3E035638-024D-4C03-B375-6794353FA204}">
      <formula1>"90%,95%,100%,0%"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deal_recycling.ideal_recycling">
                <anchor moveWithCells="1">
                  <from>
                    <xdr:col>3</xdr:col>
                    <xdr:colOff>19050</xdr:colOff>
                    <xdr:row>6</xdr:row>
                    <xdr:rowOff>161925</xdr:rowOff>
                  </from>
                  <to>
                    <xdr:col>4</xdr:col>
                    <xdr:colOff>876300</xdr:colOff>
                    <xdr:row>9</xdr:row>
                    <xdr:rowOff>9525</xdr:rowOff>
                  </to>
                </anchor>
              </controlPr>
            </control>
          </mc:Choice>
        </mc:AlternateContent>
        <mc:AlternateContent xmlns:mc="http://schemas.openxmlformats.org/markup-compatibility/2006">
          <mc:Choice Requires="x14">
            <control shapeId="4098" r:id="rId5" name="Button 2">
              <controlPr defaultSize="0" print="0" autoFill="0" autoPict="0" macro="[0]!no_recycling.no_recycling">
                <anchor moveWithCells="1">
                  <from>
                    <xdr:col>3</xdr:col>
                    <xdr:colOff>9525</xdr:colOff>
                    <xdr:row>0</xdr:row>
                    <xdr:rowOff>161925</xdr:rowOff>
                  </from>
                  <to>
                    <xdr:col>4</xdr:col>
                    <xdr:colOff>866775</xdr:colOff>
                    <xdr:row>3</xdr:row>
                    <xdr:rowOff>9525</xdr:rowOff>
                  </to>
                </anchor>
              </controlPr>
            </control>
          </mc:Choice>
        </mc:AlternateContent>
        <mc:AlternateContent xmlns:mc="http://schemas.openxmlformats.org/markup-compatibility/2006">
          <mc:Choice Requires="x14">
            <control shapeId="4099" r:id="rId6" name="Button 3">
              <controlPr defaultSize="0" print="0" autoFill="0" autoPict="0" macro="[0]!norminal_recycling.norminal_recycling">
                <anchor moveWithCells="1">
                  <from>
                    <xdr:col>3</xdr:col>
                    <xdr:colOff>9525</xdr:colOff>
                    <xdr:row>3</xdr:row>
                    <xdr:rowOff>171450</xdr:rowOff>
                  </from>
                  <to>
                    <xdr:col>4</xdr:col>
                    <xdr:colOff>866775</xdr:colOff>
                    <xdr:row>6</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35F8C-B831-4304-B514-2F6FC64E6A8C}">
  <sheetPr codeName="Sheet8"/>
  <dimension ref="A1:H24"/>
  <sheetViews>
    <sheetView zoomScaleNormal="100" workbookViewId="0">
      <pane xSplit="1" topLeftCell="J1" activePane="topRight" state="frozen"/>
      <selection pane="topRight" activeCell="Y25" sqref="Y25"/>
    </sheetView>
  </sheetViews>
  <sheetFormatPr defaultRowHeight="15"/>
  <cols>
    <col min="1" max="1" width="61.85546875" customWidth="1"/>
  </cols>
  <sheetData>
    <row r="1" spans="1:8">
      <c r="C1" s="82">
        <f>results!G35</f>
        <v>14.157545352377836</v>
      </c>
    </row>
    <row r="2" spans="1:8" ht="15.75" thickBot="1">
      <c r="C2" s="83">
        <f>results!H35</f>
        <v>251.40733489173084</v>
      </c>
    </row>
    <row r="4" spans="1:8" ht="15.75" thickBot="1"/>
    <row r="5" spans="1:8" ht="16.5" thickTop="1" thickBot="1">
      <c r="A5" s="21" t="s">
        <v>123</v>
      </c>
      <c r="H5">
        <v>0</v>
      </c>
    </row>
    <row r="6" spans="1:8" ht="15.75" thickTop="1">
      <c r="A6" t="s">
        <v>168</v>
      </c>
      <c r="B6" s="88">
        <v>0.9</v>
      </c>
      <c r="C6">
        <v>14.157653794899437</v>
      </c>
      <c r="D6" s="86">
        <v>0.95</v>
      </c>
      <c r="E6">
        <v>14.157545352377836</v>
      </c>
      <c r="F6" s="87">
        <v>1</v>
      </c>
      <c r="G6">
        <v>14.157436909856239</v>
      </c>
      <c r="H6">
        <f t="shared" ref="H6:H13" si="0">ABS(G6-C6)</f>
        <v>2.1688504319783419E-4</v>
      </c>
    </row>
    <row r="7" spans="1:8">
      <c r="A7" t="s">
        <v>166</v>
      </c>
      <c r="B7" s="89">
        <f t="shared" ref="B7:B12" si="1">D7*0.8</f>
        <v>2.4E-2</v>
      </c>
      <c r="C7">
        <v>14.153319638088744</v>
      </c>
      <c r="D7" s="90">
        <v>0.03</v>
      </c>
      <c r="E7">
        <v>14.157545352377836</v>
      </c>
      <c r="F7" s="91">
        <f t="shared" ref="F7:F12" si="2">D7*1.2</f>
        <v>3.5999999999999997E-2</v>
      </c>
      <c r="G7">
        <v>14.161771066666931</v>
      </c>
      <c r="H7">
        <f t="shared" si="0"/>
        <v>8.4514285781871479E-3</v>
      </c>
    </row>
    <row r="8" spans="1:8">
      <c r="A8" t="s">
        <v>165</v>
      </c>
      <c r="B8" s="89">
        <f t="shared" si="1"/>
        <v>8.0000000000000016E-2</v>
      </c>
      <c r="C8">
        <v>14.14334695236648</v>
      </c>
      <c r="D8" s="90">
        <v>0.1</v>
      </c>
      <c r="E8">
        <v>14.157545352377836</v>
      </c>
      <c r="F8" s="91">
        <f t="shared" si="2"/>
        <v>0.12</v>
      </c>
      <c r="G8">
        <v>14.171743752389196</v>
      </c>
      <c r="H8">
        <f t="shared" si="0"/>
        <v>2.8396800022715496E-2</v>
      </c>
    </row>
    <row r="9" spans="1:8">
      <c r="A9" t="s">
        <v>164</v>
      </c>
      <c r="B9" s="89">
        <f t="shared" si="1"/>
        <v>0.11120000000000002</v>
      </c>
      <c r="C9">
        <v>14.137825352362059</v>
      </c>
      <c r="D9" s="90">
        <v>0.13900000000000001</v>
      </c>
      <c r="E9">
        <v>14.157545352377836</v>
      </c>
      <c r="F9" s="91">
        <f t="shared" si="2"/>
        <v>0.1668</v>
      </c>
      <c r="G9">
        <v>14.177265352393613</v>
      </c>
      <c r="H9">
        <f t="shared" si="0"/>
        <v>3.9440000031554234E-2</v>
      </c>
    </row>
    <row r="10" spans="1:8">
      <c r="A10" t="s">
        <v>163</v>
      </c>
      <c r="B10" s="89">
        <f t="shared" si="1"/>
        <v>2.5712000000000002</v>
      </c>
      <c r="C10">
        <v>13.701168209155592</v>
      </c>
      <c r="D10" s="90">
        <v>3.214</v>
      </c>
      <c r="E10">
        <v>14.157545352377836</v>
      </c>
      <c r="F10" s="91">
        <f t="shared" si="2"/>
        <v>3.8567999999999998</v>
      </c>
      <c r="G10">
        <v>14.613922495600081</v>
      </c>
      <c r="H10">
        <f t="shared" si="0"/>
        <v>0.91275428644448908</v>
      </c>
    </row>
    <row r="11" spans="1:8">
      <c r="A11" t="s">
        <v>162</v>
      </c>
      <c r="B11" s="89">
        <f t="shared" si="1"/>
        <v>5.0664000000000007</v>
      </c>
      <c r="C11">
        <v>13.258313351658451</v>
      </c>
      <c r="D11" s="90">
        <v>6.3330000000000002</v>
      </c>
      <c r="E11">
        <v>14.157545352377836</v>
      </c>
      <c r="F11" s="91">
        <f t="shared" si="2"/>
        <v>7.5995999999999997</v>
      </c>
      <c r="G11">
        <v>15.056777353097223</v>
      </c>
      <c r="H11">
        <f t="shared" si="0"/>
        <v>1.7984640014387718</v>
      </c>
    </row>
    <row r="12" spans="1:8">
      <c r="A12" t="s">
        <v>161</v>
      </c>
      <c r="B12" s="89">
        <f t="shared" si="1"/>
        <v>5.1432000000000002</v>
      </c>
      <c r="C12">
        <v>13.244791065933347</v>
      </c>
      <c r="D12" s="90">
        <v>6.4290000000000003</v>
      </c>
      <c r="E12">
        <v>14.157545352377836</v>
      </c>
      <c r="F12" s="91">
        <f t="shared" si="2"/>
        <v>7.7148000000000003</v>
      </c>
      <c r="G12">
        <v>15.070299638822325</v>
      </c>
      <c r="H12">
        <f t="shared" si="0"/>
        <v>1.8255085728889782</v>
      </c>
    </row>
    <row r="13" spans="1:8">
      <c r="A13" t="s">
        <v>167</v>
      </c>
      <c r="B13" s="88">
        <v>0.8</v>
      </c>
      <c r="C13">
        <v>15.841331695377837</v>
      </c>
      <c r="D13" s="86">
        <v>0.9</v>
      </c>
      <c r="E13">
        <v>14.157545352377836</v>
      </c>
      <c r="F13" s="87">
        <v>1</v>
      </c>
      <c r="G13">
        <v>12.473759009377837</v>
      </c>
      <c r="H13">
        <f t="shared" si="0"/>
        <v>3.3675726860000008</v>
      </c>
    </row>
    <row r="15" spans="1:8" ht="15.75" thickBot="1"/>
    <row r="16" spans="1:8" ht="16.5" thickTop="1" thickBot="1">
      <c r="A16" s="21" t="s">
        <v>124</v>
      </c>
      <c r="H16">
        <v>0</v>
      </c>
    </row>
    <row r="17" spans="1:8" ht="15.75" thickTop="1">
      <c r="A17" t="s">
        <v>168</v>
      </c>
      <c r="B17" s="89">
        <v>0.9</v>
      </c>
      <c r="C17">
        <v>251.40889429380508</v>
      </c>
      <c r="D17" s="90">
        <v>0.95</v>
      </c>
      <c r="E17">
        <v>251.40733489173084</v>
      </c>
      <c r="F17" s="91">
        <v>1</v>
      </c>
      <c r="G17">
        <v>251.40577548965661</v>
      </c>
      <c r="H17">
        <f t="shared" ref="H17:H24" si="3">ABS(G17-C17)</f>
        <v>3.1188041484710993E-3</v>
      </c>
    </row>
    <row r="18" spans="1:8">
      <c r="A18" t="s">
        <v>166</v>
      </c>
      <c r="B18" s="89">
        <f t="shared" ref="B18:B23" si="4">D18*0.8</f>
        <v>2.4E-2</v>
      </c>
      <c r="C18">
        <v>251.33298011355112</v>
      </c>
      <c r="D18" s="90">
        <v>0.03</v>
      </c>
      <c r="E18">
        <v>251.40733489173084</v>
      </c>
      <c r="F18" s="91">
        <f t="shared" ref="F18:F23" si="5">D18*1.2</f>
        <v>3.5999999999999997E-2</v>
      </c>
      <c r="G18">
        <v>251.48168966991057</v>
      </c>
      <c r="H18">
        <f t="shared" si="3"/>
        <v>0.14870955635944938</v>
      </c>
    </row>
    <row r="19" spans="1:8">
      <c r="A19" t="s">
        <v>165</v>
      </c>
      <c r="B19" s="89">
        <f t="shared" si="4"/>
        <v>8.0000000000000016E-2</v>
      </c>
      <c r="C19">
        <v>251.15750283704696</v>
      </c>
      <c r="D19" s="90">
        <v>0.1</v>
      </c>
      <c r="E19">
        <v>251.40733489173084</v>
      </c>
      <c r="F19" s="91">
        <f t="shared" si="5"/>
        <v>0.12</v>
      </c>
      <c r="G19">
        <v>251.65716694641469</v>
      </c>
      <c r="H19">
        <f t="shared" si="3"/>
        <v>0.49966410936772832</v>
      </c>
    </row>
    <row r="20" spans="1:8">
      <c r="A20" t="s">
        <v>164</v>
      </c>
      <c r="B20" s="89">
        <f t="shared" si="4"/>
        <v>0.11120000000000002</v>
      </c>
      <c r="C20">
        <v>251.06034592689213</v>
      </c>
      <c r="D20" s="90">
        <v>0.13900000000000001</v>
      </c>
      <c r="E20">
        <v>251.40733489173084</v>
      </c>
      <c r="F20" s="91">
        <f t="shared" si="5"/>
        <v>0.1668</v>
      </c>
      <c r="G20">
        <v>251.75432385656953</v>
      </c>
      <c r="H20">
        <f t="shared" si="3"/>
        <v>0.69397792967740202</v>
      </c>
    </row>
    <row r="21" spans="1:8">
      <c r="A21" t="s">
        <v>163</v>
      </c>
      <c r="B21" s="89">
        <f t="shared" si="4"/>
        <v>2.5712000000000002</v>
      </c>
      <c r="C21">
        <v>243.37701884832086</v>
      </c>
      <c r="D21" s="90">
        <v>3.214</v>
      </c>
      <c r="E21">
        <v>251.40733489173084</v>
      </c>
      <c r="F21" s="91">
        <f t="shared" si="5"/>
        <v>3.8567999999999998</v>
      </c>
      <c r="G21">
        <v>259.43765093514082</v>
      </c>
      <c r="H21">
        <f t="shared" si="3"/>
        <v>16.060632086819965</v>
      </c>
    </row>
    <row r="22" spans="1:8">
      <c r="A22" t="s">
        <v>162</v>
      </c>
      <c r="B22" s="89">
        <f t="shared" si="4"/>
        <v>5.0664000000000007</v>
      </c>
      <c r="C22">
        <v>235.58463809508604</v>
      </c>
      <c r="D22" s="90">
        <v>6.3330000000000002</v>
      </c>
      <c r="E22">
        <v>251.40733489173084</v>
      </c>
      <c r="F22" s="91">
        <f t="shared" si="5"/>
        <v>7.5995999999999997</v>
      </c>
      <c r="G22">
        <v>267.23003168837568</v>
      </c>
      <c r="H22">
        <f t="shared" si="3"/>
        <v>31.64539359328964</v>
      </c>
    </row>
    <row r="23" spans="1:8">
      <c r="A23" t="s">
        <v>161</v>
      </c>
      <c r="B23" s="89">
        <f t="shared" si="4"/>
        <v>5.1432000000000002</v>
      </c>
      <c r="C23">
        <v>235.3467028049109</v>
      </c>
      <c r="D23" s="90">
        <v>6.4290000000000003</v>
      </c>
      <c r="E23">
        <v>251.40733489173084</v>
      </c>
      <c r="F23" s="91">
        <f t="shared" si="5"/>
        <v>7.7148000000000003</v>
      </c>
      <c r="G23">
        <v>267.46796697855081</v>
      </c>
      <c r="H23">
        <f t="shared" si="3"/>
        <v>32.121264173639901</v>
      </c>
    </row>
    <row r="24" spans="1:8">
      <c r="A24" t="s">
        <v>167</v>
      </c>
      <c r="B24" s="89">
        <v>0.8</v>
      </c>
      <c r="C24">
        <v>280.63020530061897</v>
      </c>
      <c r="D24" s="90">
        <v>0.9</v>
      </c>
      <c r="E24">
        <v>251.40733489173084</v>
      </c>
      <c r="F24" s="91">
        <v>1</v>
      </c>
      <c r="G24">
        <v>222.18446448284274</v>
      </c>
      <c r="H24">
        <f t="shared" si="3"/>
        <v>58.445740817776226</v>
      </c>
    </row>
  </sheetData>
  <sortState xmlns:xlrd2="http://schemas.microsoft.com/office/spreadsheetml/2017/richdata2" ref="A16:H24">
    <sortCondition ref="H17"/>
  </sortState>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65589-257D-4152-9D9D-32ED2294AB59}">
  <sheetPr codeName="Sheet2"/>
  <dimension ref="A1:AM20"/>
  <sheetViews>
    <sheetView zoomScale="85" zoomScaleNormal="85" workbookViewId="0">
      <selection activeCell="E18" sqref="E18"/>
    </sheetView>
  </sheetViews>
  <sheetFormatPr defaultRowHeight="15"/>
  <cols>
    <col min="2" max="2" width="32.140625" customWidth="1"/>
    <col min="3" max="7" width="22.5703125" customWidth="1"/>
    <col min="8" max="8" width="23.140625" customWidth="1"/>
    <col min="10" max="17" width="0" hidden="1" customWidth="1"/>
  </cols>
  <sheetData>
    <row r="1" spans="1:39">
      <c r="I1" s="99" t="s">
        <v>35</v>
      </c>
      <c r="J1" s="100" t="s">
        <v>36</v>
      </c>
      <c r="K1" s="100"/>
      <c r="L1" s="100"/>
      <c r="M1" s="100"/>
      <c r="N1" s="100"/>
      <c r="O1" s="100"/>
      <c r="P1" s="100"/>
      <c r="Q1" s="100"/>
      <c r="R1" s="100"/>
      <c r="S1" s="101" t="s">
        <v>37</v>
      </c>
      <c r="T1" s="101"/>
      <c r="U1" s="101"/>
      <c r="V1" s="101"/>
      <c r="W1" s="101"/>
      <c r="X1" s="101"/>
      <c r="Y1" s="101"/>
      <c r="Z1" s="101"/>
      <c r="AA1" s="101"/>
      <c r="AB1" s="101"/>
      <c r="AC1" s="101"/>
      <c r="AD1" s="101"/>
      <c r="AE1" s="101"/>
      <c r="AF1" s="101"/>
      <c r="AG1" s="101"/>
      <c r="AH1" s="101"/>
      <c r="AI1" s="101"/>
      <c r="AJ1" s="101"/>
      <c r="AK1" s="100" t="s">
        <v>38</v>
      </c>
      <c r="AL1" s="100"/>
      <c r="AM1" s="100"/>
    </row>
    <row r="2" spans="1:39" ht="15.75" thickBot="1">
      <c r="A2" s="22" t="s">
        <v>136</v>
      </c>
      <c r="C2" t="s">
        <v>25</v>
      </c>
      <c r="D2" t="s">
        <v>26</v>
      </c>
      <c r="E2" t="s">
        <v>27</v>
      </c>
      <c r="I2" s="99"/>
      <c r="J2" s="7" t="s">
        <v>39</v>
      </c>
      <c r="K2" s="7" t="s">
        <v>40</v>
      </c>
      <c r="L2" s="7" t="s">
        <v>41</v>
      </c>
      <c r="M2" s="7" t="s">
        <v>42</v>
      </c>
      <c r="N2" s="7" t="s">
        <v>43</v>
      </c>
      <c r="O2" s="7" t="s">
        <v>44</v>
      </c>
      <c r="P2" s="7" t="s">
        <v>45</v>
      </c>
      <c r="Q2" s="7" t="s">
        <v>46</v>
      </c>
      <c r="R2" s="7" t="s">
        <v>47</v>
      </c>
      <c r="S2" s="7" t="s">
        <v>48</v>
      </c>
      <c r="T2" s="7" t="s">
        <v>49</v>
      </c>
      <c r="U2" s="7" t="s">
        <v>50</v>
      </c>
      <c r="V2" s="7" t="s">
        <v>51</v>
      </c>
      <c r="W2" s="7" t="s">
        <v>52</v>
      </c>
      <c r="X2" s="7" t="s">
        <v>53</v>
      </c>
      <c r="Y2" s="7" t="s">
        <v>54</v>
      </c>
      <c r="Z2" s="7" t="s">
        <v>55</v>
      </c>
      <c r="AA2" s="7" t="s">
        <v>56</v>
      </c>
      <c r="AB2" s="7" t="s">
        <v>57</v>
      </c>
      <c r="AC2" s="7" t="s">
        <v>58</v>
      </c>
      <c r="AD2" s="7" t="s">
        <v>59</v>
      </c>
      <c r="AE2" s="7" t="s">
        <v>60</v>
      </c>
      <c r="AF2" s="7" t="s">
        <v>61</v>
      </c>
      <c r="AG2" s="7" t="s">
        <v>62</v>
      </c>
      <c r="AH2" s="7" t="s">
        <v>63</v>
      </c>
      <c r="AI2" s="7" t="s">
        <v>64</v>
      </c>
      <c r="AJ2" s="7" t="s">
        <v>65</v>
      </c>
      <c r="AK2" s="8" t="s">
        <v>66</v>
      </c>
      <c r="AL2" s="8" t="s">
        <v>67</v>
      </c>
      <c r="AM2" s="8" t="s">
        <v>68</v>
      </c>
    </row>
    <row r="3" spans="1:39">
      <c r="B3" s="26" t="s">
        <v>28</v>
      </c>
      <c r="C3" s="27"/>
      <c r="D3" s="28"/>
      <c r="E3" s="27"/>
      <c r="F3" s="29"/>
      <c r="H3" t="s">
        <v>131</v>
      </c>
      <c r="I3">
        <f>$F4*[2]production!D$7</f>
        <v>1.6328160013062525E-2</v>
      </c>
      <c r="J3">
        <f>$F4*[2]production!E$7</f>
        <v>1.3259960010607967E-4</v>
      </c>
      <c r="K3">
        <f>$F4*[2]production!F$7</f>
        <v>0.28575200022860153</v>
      </c>
      <c r="L3">
        <f>$F4*[2]production!G$7</f>
        <v>9.3718100074974457E-6</v>
      </c>
      <c r="M3">
        <f>$F4*[2]production!H$7</f>
        <v>9.8603300078882613E-4</v>
      </c>
      <c r="N3">
        <f>$F4*[2]production!I$7</f>
        <v>1.0729040008583231E-6</v>
      </c>
      <c r="O3">
        <f>$F4*[2]production!J$7</f>
        <v>6.4542600051634072E-8</v>
      </c>
      <c r="P3">
        <f>$F4*[2]production!K$7</f>
        <v>3.8375500030700388E-4</v>
      </c>
      <c r="Q3">
        <f>$F4*[2]production!L$7</f>
        <v>4.1965800033572636E-5</v>
      </c>
      <c r="R3">
        <f>$F4*[2]production!M$7</f>
        <v>0.28730686288644547</v>
      </c>
      <c r="S3">
        <f>$F4*[2]production!N$7</f>
        <v>1.8693710014954964E-5</v>
      </c>
      <c r="T3">
        <f>$F4*[2]production!O$7</f>
        <v>1.5409770012327814E-2</v>
      </c>
      <c r="U3">
        <f>$F4*[2]production!P$7</f>
        <v>6.8057000054445585E-3</v>
      </c>
      <c r="V3">
        <f>$F4*[2]production!Q$7</f>
        <v>5.8673000046938391E-5</v>
      </c>
      <c r="W3">
        <f>$F4*[2]production!R$7</f>
        <v>2.8632700022906155E-7</v>
      </c>
      <c r="X3">
        <f>$F4*[2]production!S$7</f>
        <v>0.12002550009602038</v>
      </c>
      <c r="Y3">
        <f>$F4*[2]production!T$7</f>
        <v>9.7129000077703195E-5</v>
      </c>
      <c r="Z3">
        <f>$F4*[2]production!U$7</f>
        <v>3.6096200028876951E-2</v>
      </c>
      <c r="AA3">
        <f>$F4*[2]production!V$7</f>
        <v>1.4139250011311397E-5</v>
      </c>
      <c r="AB3">
        <f>$F4*[2]production!W$7</f>
        <v>6.8977000055181581E-5</v>
      </c>
      <c r="AC3">
        <f>$F4*[2]production!X$7</f>
        <v>2.5380500020304394E-6</v>
      </c>
      <c r="AD3">
        <f>$F4*[2]production!Y$7</f>
        <v>1.3637620010910093E-9</v>
      </c>
      <c r="AE3">
        <f>$F4*[2]production!Z$7</f>
        <v>1.7218260013774604E-5</v>
      </c>
      <c r="AF3">
        <f>$F4*[2]production!AA$7</f>
        <v>4.6312800037050232E-5</v>
      </c>
      <c r="AG3">
        <f>$F4*[2]production!AB$7</f>
        <v>6.6700000053359981E-5</v>
      </c>
      <c r="AH3">
        <f>$F4*[2]production!AC$7</f>
        <v>1.1937690009550149E-6</v>
      </c>
      <c r="AI3">
        <f>$F4*[2]production!AD$7</f>
        <v>7.3625300058900238E-6</v>
      </c>
      <c r="AJ3">
        <f>$F4*[2]production!AE$7</f>
        <v>1.844278001475422E-6</v>
      </c>
      <c r="AK3">
        <f>$F4*[2]production!AF$7</f>
        <v>4.5112200036089749E-4</v>
      </c>
      <c r="AL3">
        <f>$F4*[2]production!AG$7</f>
        <v>1.3910860011128686E-3</v>
      </c>
      <c r="AM3">
        <f>$F4*[2]production!AH$7</f>
        <v>8.1928300065542631E-4</v>
      </c>
    </row>
    <row r="4" spans="1:39" ht="15.75" thickBot="1">
      <c r="B4" s="30" t="s">
        <v>131</v>
      </c>
      <c r="C4" s="31">
        <v>138</v>
      </c>
      <c r="D4" s="32">
        <f>60*10</f>
        <v>600</v>
      </c>
      <c r="E4" s="31">
        <f>C4*D4/1000000</f>
        <v>8.2799999999999999E-2</v>
      </c>
      <c r="F4" s="33">
        <f>E4*0.277777778</f>
        <v>2.3000000018399996E-2</v>
      </c>
      <c r="H4" t="s">
        <v>80</v>
      </c>
      <c r="I4">
        <f>$F6*[2]production!D$7</f>
        <v>1.4790000011831998E-2</v>
      </c>
      <c r="J4">
        <f>$F6*[2]production!E$7</f>
        <v>1.2010833342941998E-4</v>
      </c>
      <c r="K4">
        <f>$F6*[2]production!F$7</f>
        <v>0.25883333354039995</v>
      </c>
      <c r="L4">
        <f>$F6*[2]production!G$7</f>
        <v>8.488958340124499E-6</v>
      </c>
      <c r="M4">
        <f>$F6*[2]production!H$7</f>
        <v>8.931458340478498E-4</v>
      </c>
      <c r="N4">
        <f>$F6*[2]production!I$7</f>
        <v>9.718333341107997E-7</v>
      </c>
      <c r="O4">
        <f>$F6*[2]production!J$7</f>
        <v>5.8462500046769988E-8</v>
      </c>
      <c r="P4">
        <f>$F6*[2]production!K$7</f>
        <v>3.4760416694474991E-4</v>
      </c>
      <c r="Q4">
        <f>$F6*[2]production!L$7</f>
        <v>3.8012500030409996E-5</v>
      </c>
      <c r="R4">
        <f>$F6*[2]production!M$7</f>
        <v>0.2602417236290267</v>
      </c>
      <c r="S4">
        <f>$F6*[2]production!N$7</f>
        <v>1.6932708346879497E-5</v>
      </c>
      <c r="T4">
        <f>$F6*[2]production!O$7</f>
        <v>1.3958125011166497E-2</v>
      </c>
      <c r="U4">
        <f>$F6*[2]production!P$7</f>
        <v>6.1645833382649989E-3</v>
      </c>
      <c r="V4">
        <f>$F6*[2]production!Q$7</f>
        <v>5.3145833375849992E-5</v>
      </c>
      <c r="W4">
        <f>$F6*[2]production!R$7</f>
        <v>2.5935416687414999E-7</v>
      </c>
      <c r="X4">
        <f>$F6*[2]production!S$7</f>
        <v>0.10871875008697497</v>
      </c>
      <c r="Y4">
        <f>$F6*[2]production!T$7</f>
        <v>8.7979166737049995E-5</v>
      </c>
      <c r="Z4">
        <f>$F6*[2]production!U$7</f>
        <v>3.2695833359489994E-2</v>
      </c>
      <c r="AA4">
        <f>$F6*[2]production!V$7</f>
        <v>1.2807291676912498E-5</v>
      </c>
      <c r="AB4">
        <f>$F6*[2]production!W$7</f>
        <v>6.2479166716649989E-5</v>
      </c>
      <c r="AC4">
        <f>$F6*[2]production!X$7</f>
        <v>2.2989583351724996E-6</v>
      </c>
      <c r="AD4">
        <f>$F6*[2]production!Y$7</f>
        <v>1.2352916676548999E-9</v>
      </c>
      <c r="AE4">
        <f>$F6*[2]production!Z$7</f>
        <v>1.5596250012476997E-5</v>
      </c>
      <c r="AF4">
        <f>$F6*[2]production!AA$7</f>
        <v>4.1950000033559991E-5</v>
      </c>
      <c r="AG4">
        <f>$F6*[2]production!AB$7</f>
        <v>6.0416666714999987E-5</v>
      </c>
      <c r="AH4">
        <f>$F6*[2]production!AC$7</f>
        <v>1.0813125008650499E-6</v>
      </c>
      <c r="AI4">
        <f>$F6*[2]production!AD$7</f>
        <v>6.6689583386684999E-6</v>
      </c>
      <c r="AJ4">
        <f>$F6*[2]production!AE$7</f>
        <v>1.6705416680030996E-6</v>
      </c>
      <c r="AK4">
        <f>$F6*[2]production!AF$7</f>
        <v>4.0862500032689994E-4</v>
      </c>
      <c r="AL4">
        <f>$F6*[2]production!AG$7</f>
        <v>1.2600416676746998E-3</v>
      </c>
      <c r="AM4">
        <f>$F6*[2]production!AH$7</f>
        <v>7.4210416726034993E-4</v>
      </c>
    </row>
    <row r="5" spans="1:39">
      <c r="B5" s="26" t="s">
        <v>29</v>
      </c>
      <c r="C5" s="34"/>
      <c r="D5" s="28"/>
      <c r="E5" s="34"/>
      <c r="F5" s="35"/>
      <c r="H5" t="s">
        <v>84</v>
      </c>
      <c r="I5">
        <f>$F7*[2]production!D$7</f>
        <v>4.5637714322224454</v>
      </c>
      <c r="J5">
        <f>$F7*[2]production!E$7</f>
        <v>3.7062000029649593E-2</v>
      </c>
      <c r="K5">
        <f>$F7*[2]production!F$7</f>
        <v>79.868571492466273</v>
      </c>
      <c r="L5">
        <f>$F7*[2]production!G$7</f>
        <v>2.6194500020955596E-3</v>
      </c>
      <c r="M5">
        <f>$F7*[2]production!H$7</f>
        <v>0.27559928593476507</v>
      </c>
      <c r="N5">
        <f>$F7*[2]production!I$7</f>
        <v>2.9988000023990394E-4</v>
      </c>
      <c r="O5">
        <f>$F7*[2]production!J$7</f>
        <v>1.8039857157289026E-5</v>
      </c>
      <c r="P5">
        <f>$F7*[2]production!K$7</f>
        <v>0.10726071437152283</v>
      </c>
      <c r="Q5">
        <f>$F7*[2]production!L$7</f>
        <v>1.1729571437955085E-2</v>
      </c>
      <c r="R5">
        <f>$F7*[2]production!M$7</f>
        <v>80.303160434099667</v>
      </c>
      <c r="S5">
        <f>$F7*[2]production!N$7</f>
        <v>5.2249500041799592E-3</v>
      </c>
      <c r="T5">
        <f>$F7*[2]production!O$7</f>
        <v>4.3070785748742333</v>
      </c>
      <c r="U5">
        <f>$F7*[2]production!P$7</f>
        <v>1.9022142872360568</v>
      </c>
      <c r="V5">
        <f>$F7*[2]production!Q$7</f>
        <v>1.6399285727405139E-2</v>
      </c>
      <c r="W5">
        <f>$F7*[2]production!R$7</f>
        <v>8.0029285778309141E-5</v>
      </c>
      <c r="X5">
        <f>$F7*[2]production!S$7</f>
        <v>33.547500026837994</v>
      </c>
      <c r="Y5">
        <f>$F7*[2]production!T$7</f>
        <v>2.7147857164575427E-2</v>
      </c>
      <c r="Z5">
        <f>$F7*[2]production!U$7</f>
        <v>10.089000008071197</v>
      </c>
      <c r="AA5">
        <f>$F7*[2]production!V$7</f>
        <v>3.951964288875856E-3</v>
      </c>
      <c r="AB5">
        <f>$F7*[2]production!W$7</f>
        <v>1.9279285729709141E-2</v>
      </c>
      <c r="AC5">
        <f>$F7*[2]production!X$7</f>
        <v>7.0939285771037136E-4</v>
      </c>
      <c r="AD5">
        <f>$F7*[2]production!Y$7</f>
        <v>3.8117571459065481E-7</v>
      </c>
      <c r="AE5">
        <f>$F7*[2]production!Z$7</f>
        <v>4.8125571467071875E-3</v>
      </c>
      <c r="AF5">
        <f>$F7*[2]production!AA$7</f>
        <v>1.2944571438927084E-2</v>
      </c>
      <c r="AG5">
        <f>$F7*[2]production!AB$7</f>
        <v>1.8642857157771423E-2</v>
      </c>
      <c r="AH5">
        <f>$F7*[2]production!AC$7</f>
        <v>3.3366214312407252E-4</v>
      </c>
      <c r="AI5">
        <f>$F7*[2]production!AD$7</f>
        <v>2.0578500016462799E-3</v>
      </c>
      <c r="AJ5">
        <f>$F7*[2]production!AE$7</f>
        <v>5.1548142898381357E-4</v>
      </c>
      <c r="AK5">
        <f>$F7*[2]production!AF$7</f>
        <v>0.12609000010087199</v>
      </c>
      <c r="AL5">
        <f>$F7*[2]production!AG$7</f>
        <v>0.38881285745390737</v>
      </c>
      <c r="AM5">
        <f>$F7*[2]production!AH$7</f>
        <v>0.22899214304033655</v>
      </c>
    </row>
    <row r="6" spans="1:39">
      <c r="B6" s="36" t="s">
        <v>130</v>
      </c>
      <c r="C6" s="23">
        <v>2500</v>
      </c>
      <c r="D6" s="24">
        <f>1/120*3600</f>
        <v>30</v>
      </c>
      <c r="E6" s="37">
        <f>C6*D6/1000000</f>
        <v>7.4999999999999997E-2</v>
      </c>
      <c r="F6" s="38">
        <f t="shared" ref="F6:F16" si="0">E6*0.277777778</f>
        <v>2.0833333349999997E-2</v>
      </c>
      <c r="H6" t="s">
        <v>81</v>
      </c>
      <c r="I6">
        <f>$F9*[2]production!D$7</f>
        <v>2.1128571445474281E-2</v>
      </c>
      <c r="J6">
        <f>$F9*[2]production!E$7</f>
        <v>1.7158333347059996E-4</v>
      </c>
      <c r="K6">
        <f>$F9*[2]production!F$7</f>
        <v>0.36976190505771422</v>
      </c>
      <c r="L6">
        <f>$F9*[2]production!G$7</f>
        <v>1.2127083343034997E-5</v>
      </c>
      <c r="M6">
        <f>$F9*[2]production!H$7</f>
        <v>1.275922620068357E-3</v>
      </c>
      <c r="N6">
        <f>$F9*[2]production!I$7</f>
        <v>1.3883333344439998E-6</v>
      </c>
      <c r="O6">
        <f>$F9*[2]production!J$7</f>
        <v>8.3517857209671417E-8</v>
      </c>
      <c r="P6">
        <f>$F9*[2]production!K$7</f>
        <v>4.9657738134964273E-4</v>
      </c>
      <c r="Q6">
        <f>$F9*[2]production!L$7</f>
        <v>5.4303571472014274E-5</v>
      </c>
      <c r="R6">
        <f>$F9*[2]production!M$7</f>
        <v>0.37177389089860957</v>
      </c>
      <c r="S6">
        <f>$F9*[2]production!N$7</f>
        <v>2.4189583352684997E-5</v>
      </c>
      <c r="T6">
        <f>$F9*[2]production!O$7</f>
        <v>1.9940178587380709E-2</v>
      </c>
      <c r="U6">
        <f>$F9*[2]production!P$7</f>
        <v>8.806547626092856E-3</v>
      </c>
      <c r="V6">
        <f>$F9*[2]production!Q$7</f>
        <v>7.5922619108357133E-5</v>
      </c>
      <c r="W6">
        <f>$F9*[2]production!R$7</f>
        <v>3.7050595267735709E-7</v>
      </c>
      <c r="X6">
        <f>$F9*[2]production!S$7</f>
        <v>0.15531250012424996</v>
      </c>
      <c r="Y6">
        <f>$F9*[2]production!T$7</f>
        <v>1.2568452391007142E-4</v>
      </c>
      <c r="Z6">
        <f>$F9*[2]production!U$7</f>
        <v>4.6708333370699989E-2</v>
      </c>
      <c r="AA6">
        <f>$F9*[2]production!V$7</f>
        <v>1.8296130967017852E-5</v>
      </c>
      <c r="AB6">
        <f>$F9*[2]production!W$7</f>
        <v>8.9255952452357121E-5</v>
      </c>
      <c r="AC6">
        <f>$F9*[2]production!X$7</f>
        <v>3.2842261931035708E-6</v>
      </c>
      <c r="AD6">
        <f>$F9*[2]production!Y$7</f>
        <v>1.7647023823641425E-9</v>
      </c>
      <c r="AE6">
        <f>$F9*[2]production!Z$7</f>
        <v>2.2280357160681425E-5</v>
      </c>
      <c r="AF6">
        <f>$F9*[2]production!AA$7</f>
        <v>5.9928571476514276E-5</v>
      </c>
      <c r="AG6">
        <f>$F9*[2]production!AB$7</f>
        <v>8.6309523878571413E-5</v>
      </c>
      <c r="AH6">
        <f>$F9*[2]production!AC$7</f>
        <v>1.5447321440929283E-6</v>
      </c>
      <c r="AI6">
        <f>$F9*[2]production!AD$7</f>
        <v>9.5270833409549991E-6</v>
      </c>
      <c r="AJ6">
        <f>$F9*[2]production!AE$7</f>
        <v>2.3864880971472853E-6</v>
      </c>
      <c r="AK6">
        <f>$F9*[2]production!AF$7</f>
        <v>5.8375000046699988E-4</v>
      </c>
      <c r="AL6">
        <f>$F9*[2]production!AG$7</f>
        <v>1.8000595252495712E-3</v>
      </c>
      <c r="AM6">
        <f>$F9*[2]production!AH$7</f>
        <v>1.0601488103719283E-3</v>
      </c>
    </row>
    <row r="7" spans="1:39" ht="15.75" thickBot="1">
      <c r="A7">
        <v>150</v>
      </c>
      <c r="B7" s="30" t="s">
        <v>126</v>
      </c>
      <c r="C7" s="31">
        <f>12000/140*A7</f>
        <v>12857.142857142857</v>
      </c>
      <c r="D7" s="32">
        <f>30*60</f>
        <v>1800</v>
      </c>
      <c r="E7" s="31">
        <f>C7*D7/1000000*'material inventory'!B4</f>
        <v>23.142857142857142</v>
      </c>
      <c r="F7" s="33">
        <f t="shared" si="0"/>
        <v>6.4285714337142847</v>
      </c>
      <c r="H7" t="s">
        <v>85</v>
      </c>
      <c r="I7">
        <f>$F10*[2]production!D$7</f>
        <v>7.0992000056793583E-2</v>
      </c>
      <c r="J7">
        <f>$F10*[2]production!E$7</f>
        <v>5.7652000046121588E-4</v>
      </c>
      <c r="K7">
        <f>$F10*[2]production!F$7</f>
        <v>1.2424000009939198</v>
      </c>
      <c r="L7">
        <f>$F10*[2]production!G$7</f>
        <v>4.0747000032597597E-5</v>
      </c>
      <c r="M7">
        <f>$F10*[2]production!H$7</f>
        <v>4.2871000034296796E-3</v>
      </c>
      <c r="N7">
        <f>$F10*[2]production!I$7</f>
        <v>4.6648000037318389E-6</v>
      </c>
      <c r="O7">
        <f>$F10*[2]production!J$7</f>
        <v>2.8062000022449595E-7</v>
      </c>
      <c r="P7">
        <f>$F10*[2]production!K$7</f>
        <v>1.6685000013347995E-3</v>
      </c>
      <c r="Q7">
        <f>$F10*[2]production!L$7</f>
        <v>1.8246000014596797E-4</v>
      </c>
      <c r="R7">
        <f>$F10*[2]production!M$7</f>
        <v>1.2491602734193281</v>
      </c>
      <c r="S7">
        <f>$F10*[2]production!N$7</f>
        <v>8.1277000065021584E-5</v>
      </c>
      <c r="T7">
        <f>$F10*[2]production!O$7</f>
        <v>6.6999000053599184E-2</v>
      </c>
      <c r="U7">
        <f>$F10*[2]production!P$7</f>
        <v>2.9590000023671997E-2</v>
      </c>
      <c r="V7">
        <f>$F10*[2]production!Q$7</f>
        <v>2.5510000020407994E-4</v>
      </c>
      <c r="W7">
        <f>$F10*[2]production!R$7</f>
        <v>1.2449000009959199E-6</v>
      </c>
      <c r="X7">
        <f>$F10*[2]production!S$7</f>
        <v>0.52185000041747986</v>
      </c>
      <c r="Y7">
        <f>$F10*[2]production!T$7</f>
        <v>4.2230000033783996E-4</v>
      </c>
      <c r="Z7">
        <f>$F10*[2]production!U$7</f>
        <v>0.15694000012555195</v>
      </c>
      <c r="AA7">
        <f>$F10*[2]production!V$7</f>
        <v>6.1475000049179983E-5</v>
      </c>
      <c r="AB7">
        <f>$F10*[2]production!W$7</f>
        <v>2.9990000023991993E-4</v>
      </c>
      <c r="AC7">
        <f>$F10*[2]production!X$7</f>
        <v>1.1035000008827998E-5</v>
      </c>
      <c r="AD7">
        <f>$F10*[2]production!Y$7</f>
        <v>5.9294000047435191E-9</v>
      </c>
      <c r="AE7">
        <f>$F10*[2]production!Z$7</f>
        <v>7.4862000059889582E-5</v>
      </c>
      <c r="AF7">
        <f>$F10*[2]production!AA$7</f>
        <v>2.0136000016108795E-4</v>
      </c>
      <c r="AG7">
        <f>$F10*[2]production!AB$7</f>
        <v>2.9000000023199991E-4</v>
      </c>
      <c r="AH7">
        <f>$F10*[2]production!AC$7</f>
        <v>5.1903000041522395E-6</v>
      </c>
      <c r="AI7">
        <f>$F10*[2]production!AD$7</f>
        <v>3.2011000025608797E-5</v>
      </c>
      <c r="AJ7">
        <f>$F10*[2]production!AE$7</f>
        <v>8.0186000064148784E-6</v>
      </c>
      <c r="AK7">
        <f>$F10*[2]production!AF$7</f>
        <v>1.9614000015691197E-3</v>
      </c>
      <c r="AL7">
        <f>$F10*[2]production!AG$7</f>
        <v>6.0482000048385593E-3</v>
      </c>
      <c r="AM7">
        <f>$F10*[2]production!AH$7</f>
        <v>3.5621000028496796E-3</v>
      </c>
    </row>
    <row r="8" spans="1:39">
      <c r="B8" s="26" t="s">
        <v>30</v>
      </c>
      <c r="C8" s="34"/>
      <c r="D8" s="28"/>
      <c r="E8" s="34"/>
      <c r="F8" s="35"/>
      <c r="H8" t="s">
        <v>82</v>
      </c>
      <c r="I8">
        <f>$F11*[2]production!D$7</f>
        <v>2.1128571445474281E-2</v>
      </c>
      <c r="J8">
        <f>$F11*[2]production!E$7</f>
        <v>1.7158333347059996E-4</v>
      </c>
      <c r="K8">
        <f>$F11*[2]production!F$7</f>
        <v>0.36976190505771422</v>
      </c>
      <c r="L8">
        <f>$F11*[2]production!G$7</f>
        <v>1.2127083343034997E-5</v>
      </c>
      <c r="M8">
        <f>$F11*[2]production!H$7</f>
        <v>1.275922620068357E-3</v>
      </c>
      <c r="N8">
        <f>$F11*[2]production!I$7</f>
        <v>1.3883333344439998E-6</v>
      </c>
      <c r="O8">
        <f>$F11*[2]production!J$7</f>
        <v>8.3517857209671417E-8</v>
      </c>
      <c r="P8">
        <f>$F11*[2]production!K$7</f>
        <v>4.9657738134964273E-4</v>
      </c>
      <c r="Q8">
        <f>$F11*[2]production!L$7</f>
        <v>5.4303571472014274E-5</v>
      </c>
      <c r="R8">
        <f>$F11*[2]production!M$7</f>
        <v>0.37177389089860957</v>
      </c>
      <c r="S8">
        <f>$F11*[2]production!N$7</f>
        <v>2.4189583352684997E-5</v>
      </c>
      <c r="T8">
        <f>$F11*[2]production!O$7</f>
        <v>1.9940178587380709E-2</v>
      </c>
      <c r="U8">
        <f>$F11*[2]production!P$7</f>
        <v>8.806547626092856E-3</v>
      </c>
      <c r="V8">
        <f>$F11*[2]production!Q$7</f>
        <v>7.5922619108357133E-5</v>
      </c>
      <c r="W8">
        <f>$F11*[2]production!R$7</f>
        <v>3.7050595267735709E-7</v>
      </c>
      <c r="X8">
        <f>$F11*[2]production!S$7</f>
        <v>0.15531250012424996</v>
      </c>
      <c r="Y8">
        <f>$F11*[2]production!T$7</f>
        <v>1.2568452391007142E-4</v>
      </c>
      <c r="Z8">
        <f>$F11*[2]production!U$7</f>
        <v>4.6708333370699989E-2</v>
      </c>
      <c r="AA8">
        <f>$F11*[2]production!V$7</f>
        <v>1.8296130967017852E-5</v>
      </c>
      <c r="AB8">
        <f>$F11*[2]production!W$7</f>
        <v>8.9255952452357121E-5</v>
      </c>
      <c r="AC8">
        <f>$F11*[2]production!X$7</f>
        <v>3.2842261931035708E-6</v>
      </c>
      <c r="AD8">
        <f>$F11*[2]production!Y$7</f>
        <v>1.7647023823641425E-9</v>
      </c>
      <c r="AE8">
        <f>$F11*[2]production!Z$7</f>
        <v>2.2280357160681425E-5</v>
      </c>
      <c r="AF8">
        <f>$F11*[2]production!AA$7</f>
        <v>5.9928571476514276E-5</v>
      </c>
      <c r="AG8">
        <f>$F11*[2]production!AB$7</f>
        <v>8.6309523878571413E-5</v>
      </c>
      <c r="AH8">
        <f>$F11*[2]production!AC$7</f>
        <v>1.5447321440929283E-6</v>
      </c>
      <c r="AI8">
        <f>$F11*[2]production!AD$7</f>
        <v>9.5270833409549991E-6</v>
      </c>
      <c r="AJ8">
        <f>$F11*[2]production!AE$7</f>
        <v>2.3864880971472853E-6</v>
      </c>
      <c r="AK8">
        <f>$F11*[2]production!AF$7</f>
        <v>5.8375000046699988E-4</v>
      </c>
      <c r="AL8">
        <f>$F11*[2]production!AG$7</f>
        <v>1.8000595252495712E-3</v>
      </c>
      <c r="AM8">
        <f>$F11*[2]production!AH$7</f>
        <v>1.0601488103719283E-3</v>
      </c>
    </row>
    <row r="9" spans="1:39">
      <c r="B9" s="36" t="s">
        <v>125</v>
      </c>
      <c r="C9" s="23">
        <v>2500</v>
      </c>
      <c r="D9" s="24">
        <f>1/84*3600</f>
        <v>42.857142857142854</v>
      </c>
      <c r="E9" s="37">
        <f>C9*D9/1000000</f>
        <v>0.10714285714285714</v>
      </c>
      <c r="F9" s="38">
        <f t="shared" si="0"/>
        <v>2.9761904785714281E-2</v>
      </c>
      <c r="H9" t="s">
        <v>86</v>
      </c>
      <c r="I9">
        <f>$F12*[2]production!D$7</f>
        <v>2.2818857161112227</v>
      </c>
      <c r="J9">
        <f>$F12*[2]production!E$7</f>
        <v>1.8531000014824797E-2</v>
      </c>
      <c r="K9">
        <f>$F12*[2]production!F$7</f>
        <v>39.934285746233137</v>
      </c>
      <c r="L9">
        <f>$F12*[2]production!G$7</f>
        <v>1.3097250010477798E-3</v>
      </c>
      <c r="M9">
        <f>$F12*[2]production!H$7</f>
        <v>0.13779964296738254</v>
      </c>
      <c r="N9">
        <f>$F12*[2]production!I$7</f>
        <v>1.4994000011995197E-4</v>
      </c>
      <c r="O9">
        <f>$F12*[2]production!J$7</f>
        <v>9.0199285786445132E-6</v>
      </c>
      <c r="P9">
        <f>$F12*[2]production!K$7</f>
        <v>5.3630357185761417E-2</v>
      </c>
      <c r="Q9">
        <f>$F12*[2]production!L$7</f>
        <v>5.8647857189775424E-3</v>
      </c>
      <c r="R9">
        <f>$F12*[2]production!M$7</f>
        <v>40.151580217049833</v>
      </c>
      <c r="S9">
        <f>$F12*[2]production!N$7</f>
        <v>2.6124750020899796E-3</v>
      </c>
      <c r="T9">
        <f>$F12*[2]production!O$7</f>
        <v>2.1535392874371166</v>
      </c>
      <c r="U9">
        <f>$F12*[2]production!P$7</f>
        <v>0.95110714361802839</v>
      </c>
      <c r="V9">
        <f>$F12*[2]production!Q$7</f>
        <v>8.1996428637025696E-3</v>
      </c>
      <c r="W9">
        <f>$F12*[2]production!R$7</f>
        <v>4.0014642889154571E-5</v>
      </c>
      <c r="X9">
        <f>$F12*[2]production!S$7</f>
        <v>16.773750013418997</v>
      </c>
      <c r="Y9">
        <f>$F12*[2]production!T$7</f>
        <v>1.3573928582287714E-2</v>
      </c>
      <c r="Z9">
        <f>$F12*[2]production!U$7</f>
        <v>5.0445000040355987</v>
      </c>
      <c r="AA9">
        <f>$F12*[2]production!V$7</f>
        <v>1.975982144437928E-3</v>
      </c>
      <c r="AB9">
        <f>$F12*[2]production!W$7</f>
        <v>9.6396428648545703E-3</v>
      </c>
      <c r="AC9">
        <f>$F12*[2]production!X$7</f>
        <v>3.5469642885518568E-4</v>
      </c>
      <c r="AD9">
        <f>$F12*[2]production!Y$7</f>
        <v>1.905878572953274E-7</v>
      </c>
      <c r="AE9">
        <f>$F12*[2]production!Z$7</f>
        <v>2.4062785733535937E-3</v>
      </c>
      <c r="AF9">
        <f>$F12*[2]production!AA$7</f>
        <v>6.4722857194635421E-3</v>
      </c>
      <c r="AG9">
        <f>$F12*[2]production!AB$7</f>
        <v>9.3214285788857116E-3</v>
      </c>
      <c r="AH9">
        <f>$F12*[2]production!AC$7</f>
        <v>1.6683107156203626E-4</v>
      </c>
      <c r="AI9">
        <f>$F12*[2]production!AD$7</f>
        <v>1.0289250008231399E-3</v>
      </c>
      <c r="AJ9">
        <f>$F12*[2]production!AE$7</f>
        <v>2.5774071449190678E-4</v>
      </c>
      <c r="AK9">
        <f>$F12*[2]production!AF$7</f>
        <v>6.3045000050435993E-2</v>
      </c>
      <c r="AL9">
        <f>$F12*[2]production!AG$7</f>
        <v>0.19440642872695368</v>
      </c>
      <c r="AM9">
        <f>$F12*[2]production!AH$7</f>
        <v>0.11449607152016827</v>
      </c>
    </row>
    <row r="10" spans="1:39">
      <c r="A10">
        <v>70</v>
      </c>
      <c r="B10" s="39" t="s">
        <v>126</v>
      </c>
      <c r="C10" s="40">
        <f>12000/140*A10</f>
        <v>6000</v>
      </c>
      <c r="D10" s="41">
        <v>60</v>
      </c>
      <c r="E10" s="40">
        <f>C10*D10/1000000*'material inventory'!B8</f>
        <v>0.36</v>
      </c>
      <c r="F10" s="42">
        <f t="shared" si="0"/>
        <v>0.10000000007999998</v>
      </c>
      <c r="H10" t="s">
        <v>83</v>
      </c>
      <c r="I10">
        <f>$F14*[2]production!D$7</f>
        <v>9.8600000078879993E-2</v>
      </c>
      <c r="J10">
        <f>$F14*[2]production!E$7</f>
        <v>8.0072222286279996E-4</v>
      </c>
      <c r="K10">
        <f>$F14*[2]production!F$7</f>
        <v>1.7255555569359997</v>
      </c>
      <c r="L10">
        <f>$F14*[2]production!G$7</f>
        <v>5.6593055600829996E-5</v>
      </c>
      <c r="M10">
        <f>$F14*[2]production!H$7</f>
        <v>5.9543055603189995E-3</v>
      </c>
      <c r="N10">
        <f>$F14*[2]production!I$7</f>
        <v>6.4788888940719992E-6</v>
      </c>
      <c r="O10">
        <f>$F14*[2]production!J$7</f>
        <v>3.8975000031179993E-7</v>
      </c>
      <c r="P10">
        <f>$F14*[2]production!K$7</f>
        <v>2.3173611129649998E-3</v>
      </c>
      <c r="Q10">
        <f>$F14*[2]production!L$7</f>
        <v>2.5341666686939999E-4</v>
      </c>
      <c r="R10">
        <f>$F14*[2]production!M$7</f>
        <v>1.7349448241935115</v>
      </c>
      <c r="S10">
        <f>$F14*[2]production!N$7</f>
        <v>1.1288472231252999E-4</v>
      </c>
      <c r="T10">
        <f>$F14*[2]production!O$7</f>
        <v>9.3054166741109987E-2</v>
      </c>
      <c r="U10">
        <f>$F14*[2]production!P$7</f>
        <v>4.1097222255099992E-2</v>
      </c>
      <c r="V10">
        <f>$F14*[2]production!Q$7</f>
        <v>3.5430555583899995E-4</v>
      </c>
      <c r="W10">
        <f>$F14*[2]production!R$7</f>
        <v>1.729027779161E-6</v>
      </c>
      <c r="X10">
        <f>$F14*[2]production!S$7</f>
        <v>0.7247916672464999</v>
      </c>
      <c r="Y10">
        <f>$F14*[2]production!T$7</f>
        <v>5.8652777824699993E-4</v>
      </c>
      <c r="Z10">
        <f>$F14*[2]production!U$7</f>
        <v>0.21797222239659997</v>
      </c>
      <c r="AA10">
        <f>$F14*[2]production!V$7</f>
        <v>8.5381944512749982E-5</v>
      </c>
      <c r="AB10">
        <f>$F14*[2]production!W$7</f>
        <v>4.1652777811099993E-4</v>
      </c>
      <c r="AC10">
        <f>$F14*[2]production!X$7</f>
        <v>1.5326388901149997E-5</v>
      </c>
      <c r="AD10">
        <f>$F14*[2]production!Y$7</f>
        <v>8.2352777843660001E-9</v>
      </c>
      <c r="AE10">
        <f>$F14*[2]production!Z$7</f>
        <v>1.0397500008317998E-4</v>
      </c>
      <c r="AF10">
        <f>$F14*[2]production!AA$7</f>
        <v>2.7966666689039997E-4</v>
      </c>
      <c r="AG10">
        <f>$F14*[2]production!AB$7</f>
        <v>4.0277777809999996E-4</v>
      </c>
      <c r="AH10">
        <f>$F14*[2]production!AC$7</f>
        <v>7.2087500057669995E-6</v>
      </c>
      <c r="AI10">
        <f>$F14*[2]production!AD$7</f>
        <v>4.4459722257790003E-5</v>
      </c>
      <c r="AJ10">
        <f>$F14*[2]production!AE$7</f>
        <v>1.1136944453353999E-5</v>
      </c>
      <c r="AK10">
        <f>$F14*[2]production!AF$7</f>
        <v>2.7241666688459995E-3</v>
      </c>
      <c r="AL10">
        <f>$F14*[2]production!AG$7</f>
        <v>8.4002777844979989E-3</v>
      </c>
      <c r="AM10">
        <f>$F14*[2]production!AH$7</f>
        <v>4.9473611150689994E-3</v>
      </c>
    </row>
    <row r="11" spans="1:39">
      <c r="B11" s="36" t="s">
        <v>127</v>
      </c>
      <c r="C11" s="23">
        <v>2500</v>
      </c>
      <c r="D11" s="24">
        <f>1/84*3600</f>
        <v>42.857142857142854</v>
      </c>
      <c r="E11" s="37">
        <f>C11*D11/1000000*'material inventory'!B9</f>
        <v>0.10714285714285714</v>
      </c>
      <c r="F11" s="38">
        <f t="shared" si="0"/>
        <v>2.9761904785714281E-2</v>
      </c>
      <c r="H11" t="s">
        <v>147</v>
      </c>
      <c r="I11">
        <f>$F16*[2]production!D$7</f>
        <v>4.4961600035969278</v>
      </c>
      <c r="J11">
        <f>$F16*[2]production!E$7</f>
        <v>3.6512933362543673E-2</v>
      </c>
      <c r="K11">
        <f>$F16*[2]production!F$7</f>
        <v>78.685333396281592</v>
      </c>
      <c r="L11">
        <f>$F16*[2]production!G$7</f>
        <v>2.5806433353978476E-3</v>
      </c>
      <c r="M11">
        <f>$F16*[2]production!H$7</f>
        <v>0.27151633355054638</v>
      </c>
      <c r="N11">
        <f>$F16*[2]production!I$7</f>
        <v>2.9543733356968317E-4</v>
      </c>
      <c r="O11">
        <f>$F16*[2]production!J$7</f>
        <v>1.7772600014218078E-5</v>
      </c>
      <c r="P11">
        <f>$F16*[2]production!K$7</f>
        <v>0.10567166675120397</v>
      </c>
      <c r="Q11">
        <f>$F16*[2]production!L$7</f>
        <v>1.1555800009244638E-2</v>
      </c>
      <c r="R11">
        <f>$F16*[2]production!M$7</f>
        <v>79.113483983224114</v>
      </c>
      <c r="S11">
        <f>$F16*[2]production!N$7</f>
        <v>5.1475433374513673E-3</v>
      </c>
      <c r="T11">
        <f>$F16*[2]production!O$7</f>
        <v>4.2432700033946151</v>
      </c>
      <c r="U11">
        <f>$F16*[2]production!P$7</f>
        <v>1.8740333348325597</v>
      </c>
      <c r="V11">
        <f>$F16*[2]production!Q$7</f>
        <v>1.6156333346258399E-2</v>
      </c>
      <c r="W11">
        <f>$F16*[2]production!R$7</f>
        <v>7.8843666729741597E-5</v>
      </c>
      <c r="X11">
        <f>$F16*[2]production!S$7</f>
        <v>33.050500026440396</v>
      </c>
      <c r="Y11">
        <f>$F16*[2]production!T$7</f>
        <v>2.6745666688063198E-2</v>
      </c>
      <c r="Z11">
        <f>$F16*[2]production!U$7</f>
        <v>9.9395333412849585</v>
      </c>
      <c r="AA11">
        <f>$F16*[2]production!V$7</f>
        <v>3.8934166697813994E-3</v>
      </c>
      <c r="AB11">
        <f>$F16*[2]production!W$7</f>
        <v>1.8993666681861598E-2</v>
      </c>
      <c r="AC11">
        <f>$F16*[2]production!X$7</f>
        <v>6.9888333389243992E-4</v>
      </c>
      <c r="AD11">
        <f>$F16*[2]production!Y$7</f>
        <v>3.7552866696708955E-7</v>
      </c>
      <c r="AE11">
        <f>$F16*[2]production!Z$7</f>
        <v>4.7412600037930073E-3</v>
      </c>
      <c r="AF11">
        <f>$F16*[2]production!AA$7</f>
        <v>1.2752800010202238E-2</v>
      </c>
      <c r="AG11">
        <f>$F16*[2]production!AB$7</f>
        <v>1.8366666681359996E-2</v>
      </c>
      <c r="AH11">
        <f>$F16*[2]production!AC$7</f>
        <v>3.2871900026297518E-4</v>
      </c>
      <c r="AI11">
        <f>$F16*[2]production!AD$7</f>
        <v>2.0273633349552241E-3</v>
      </c>
      <c r="AJ11">
        <f>$F16*[2]production!AE$7</f>
        <v>5.0784466707294227E-4</v>
      </c>
      <c r="AK11">
        <f>$F16*[2]production!AF$7</f>
        <v>0.12422200009937759</v>
      </c>
      <c r="AL11">
        <f>$F16*[2]production!AG$7</f>
        <v>0.38305266697310875</v>
      </c>
      <c r="AM11">
        <f>$F16*[2]production!AH$7</f>
        <v>0.22559966684714639</v>
      </c>
    </row>
    <row r="12" spans="1:39" ht="15.75" thickBot="1">
      <c r="A12">
        <v>150</v>
      </c>
      <c r="B12" s="30" t="s">
        <v>128</v>
      </c>
      <c r="C12" s="31">
        <f>12000/140*A12</f>
        <v>12857.142857142857</v>
      </c>
      <c r="D12" s="32">
        <f>60*15</f>
        <v>900</v>
      </c>
      <c r="E12" s="31">
        <f>C12*D12/1000000*'material inventory'!B6</f>
        <v>11.571428571428571</v>
      </c>
      <c r="F12" s="33">
        <f t="shared" si="0"/>
        <v>3.2142857168571424</v>
      </c>
      <c r="H12" t="s">
        <v>72</v>
      </c>
      <c r="I12">
        <f>$F18*[2]production!D$7</f>
        <v>8.8740000070991979E-3</v>
      </c>
      <c r="J12">
        <f>$F18*[2]production!E$7</f>
        <v>7.2065000057651985E-5</v>
      </c>
      <c r="K12">
        <f>$F18*[2]production!F$7</f>
        <v>0.15530000012423997</v>
      </c>
      <c r="L12">
        <f>$F18*[2]production!G$7</f>
        <v>5.0933750040746996E-6</v>
      </c>
      <c r="M12">
        <f>$F18*[2]production!H$7</f>
        <v>5.3588750042870995E-4</v>
      </c>
      <c r="N12">
        <f>$F18*[2]production!I$7</f>
        <v>5.8310000046647986E-7</v>
      </c>
      <c r="O12">
        <f>$F18*[2]production!J$7</f>
        <v>3.5077500028061994E-8</v>
      </c>
      <c r="P12">
        <f>$F18*[2]production!K$7</f>
        <v>2.0856250016684994E-4</v>
      </c>
      <c r="Q12">
        <f>$F18*[2]production!L$7</f>
        <v>2.2807500018245996E-5</v>
      </c>
      <c r="R12">
        <f>$F18*[2]production!M$7</f>
        <v>0.15614503417741601</v>
      </c>
      <c r="S12">
        <f>$F18*[2]production!N$7</f>
        <v>1.0159625008127698E-5</v>
      </c>
      <c r="T12">
        <f>$F18*[2]production!O$7</f>
        <v>8.374875006699898E-3</v>
      </c>
      <c r="U12">
        <f>$F18*[2]production!P$7</f>
        <v>3.6987500029589996E-3</v>
      </c>
      <c r="V12">
        <f>$F18*[2]production!Q$7</f>
        <v>3.1887500025509992E-5</v>
      </c>
      <c r="W12">
        <f>$F18*[2]production!R$7</f>
        <v>1.5561250012448999E-7</v>
      </c>
      <c r="X12">
        <f>$F18*[2]production!S$7</f>
        <v>6.5231250052184983E-2</v>
      </c>
      <c r="Y12">
        <f>$F18*[2]production!T$7</f>
        <v>5.2787500042229995E-5</v>
      </c>
      <c r="Z12">
        <f>$F18*[2]production!U$7</f>
        <v>1.9617500015693994E-2</v>
      </c>
      <c r="AA12">
        <f>$F18*[2]production!V$7</f>
        <v>7.6843750061474979E-6</v>
      </c>
      <c r="AB12">
        <f>$F18*[2]production!W$7</f>
        <v>3.7487500029989991E-5</v>
      </c>
      <c r="AC12">
        <f>$F18*[2]production!X$7</f>
        <v>1.3793750011034997E-6</v>
      </c>
      <c r="AD12">
        <f>$F18*[2]production!Y$7</f>
        <v>7.4117500059293989E-10</v>
      </c>
      <c r="AE12">
        <f>$F18*[2]production!Z$7</f>
        <v>9.3577500074861978E-6</v>
      </c>
      <c r="AF12">
        <f>$F18*[2]production!AA$7</f>
        <v>2.5170000020135994E-5</v>
      </c>
      <c r="AG12">
        <f>$F18*[2]production!AB$7</f>
        <v>3.6250000028999989E-5</v>
      </c>
      <c r="AH12">
        <f>$F18*[2]production!AC$7</f>
        <v>6.4878750051902993E-7</v>
      </c>
      <c r="AI12">
        <f>$F18*[2]production!AD$7</f>
        <v>4.0013750032010996E-6</v>
      </c>
      <c r="AJ12">
        <f>$F18*[2]production!AE$7</f>
        <v>1.0023250008018598E-6</v>
      </c>
      <c r="AK12">
        <f>$F18*[2]production!AF$7</f>
        <v>2.4517500019613996E-4</v>
      </c>
      <c r="AL12">
        <f>$F18*[2]production!AG$7</f>
        <v>7.5602500060481992E-4</v>
      </c>
      <c r="AM12">
        <f>$F18*[2]production!AH$7</f>
        <v>4.4526250035620995E-4</v>
      </c>
    </row>
    <row r="13" spans="1:39">
      <c r="B13" s="26" t="s">
        <v>31</v>
      </c>
      <c r="C13" s="34"/>
      <c r="D13" s="28"/>
      <c r="E13" s="34"/>
      <c r="F13" s="35"/>
    </row>
    <row r="14" spans="1:39" ht="15.75" thickBot="1">
      <c r="B14" s="36" t="s">
        <v>129</v>
      </c>
      <c r="C14" s="23">
        <v>2500</v>
      </c>
      <c r="D14" s="24">
        <f>1/18*3600</f>
        <v>200</v>
      </c>
      <c r="E14" s="37">
        <f>C14*D14/1000000*'material inventory'!B7</f>
        <v>0.5</v>
      </c>
      <c r="F14" s="38">
        <f t="shared" si="0"/>
        <v>0.13888888899999999</v>
      </c>
    </row>
    <row r="15" spans="1:39">
      <c r="B15" s="26" t="s">
        <v>32</v>
      </c>
      <c r="C15" s="34"/>
      <c r="D15" s="28"/>
      <c r="E15" s="34"/>
      <c r="F15" s="35"/>
    </row>
    <row r="16" spans="1:39" ht="15.75" thickBot="1">
      <c r="A16">
        <v>150</v>
      </c>
      <c r="B16" s="30" t="s">
        <v>33</v>
      </c>
      <c r="C16" s="31">
        <f>(2.8*10000/240*A16*'material inventory'!C35+57500)</f>
        <v>71500</v>
      </c>
      <c r="D16" s="32">
        <f>'material inventory'!B35/33*60</f>
        <v>109.09090909090909</v>
      </c>
      <c r="E16" s="31">
        <f>(C16*D16+50000*5*60)/1000000*'material inventory'!B5</f>
        <v>22.8</v>
      </c>
      <c r="F16" s="33">
        <f t="shared" si="0"/>
        <v>6.3333333383999992</v>
      </c>
    </row>
    <row r="17" spans="2:18">
      <c r="B17" s="44" t="s">
        <v>71</v>
      </c>
      <c r="C17" s="45"/>
      <c r="D17" s="46"/>
      <c r="E17" s="45"/>
      <c r="F17" s="42"/>
      <c r="H17" s="3" t="s">
        <v>131</v>
      </c>
      <c r="I17" s="3">
        <v>1.6328160013062525E-2</v>
      </c>
      <c r="J17" s="3"/>
      <c r="K17" s="3"/>
      <c r="L17" s="3"/>
      <c r="M17" s="3"/>
      <c r="N17" s="3"/>
      <c r="O17" s="3"/>
      <c r="P17" s="3"/>
      <c r="Q17" s="3"/>
      <c r="R17" s="3">
        <v>0.28730686288644547</v>
      </c>
    </row>
    <row r="18" spans="2:18" ht="15.75" thickBot="1">
      <c r="B18" s="43" t="s">
        <v>72</v>
      </c>
      <c r="C18" s="31">
        <v>1500</v>
      </c>
      <c r="D18" s="32">
        <f>1/120*3600</f>
        <v>30</v>
      </c>
      <c r="E18" s="31">
        <f>C18*D18/1000000</f>
        <v>4.4999999999999998E-2</v>
      </c>
      <c r="F18" s="33">
        <f t="shared" ref="F18" si="1">E18*0.277777778</f>
        <v>1.2500000009999998E-2</v>
      </c>
    </row>
    <row r="20" spans="2:18">
      <c r="B20" t="s">
        <v>34</v>
      </c>
      <c r="E20" s="20">
        <f>SUM(E3:E19)*0.277777778</f>
        <v>16.330936521001259</v>
      </c>
      <c r="F20" s="20">
        <f>SUM(F4:F19)</f>
        <v>16.330936521001256</v>
      </c>
    </row>
  </sheetData>
  <sortState xmlns:xlrd2="http://schemas.microsoft.com/office/spreadsheetml/2017/richdata2" ref="B26:F36">
    <sortCondition ref="F26"/>
  </sortState>
  <mergeCells count="4">
    <mergeCell ref="I1:I2"/>
    <mergeCell ref="J1:R1"/>
    <mergeCell ref="S1:AJ1"/>
    <mergeCell ref="AK1:AM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FE37F-8A7A-4EFA-9E3A-EF018A09AAD1}">
  <sheetPr codeName="Sheet3"/>
  <dimension ref="A1:X39"/>
  <sheetViews>
    <sheetView tabSelected="1" topLeftCell="A4" zoomScaleNormal="100" workbookViewId="0">
      <selection activeCell="G37" sqref="G37"/>
    </sheetView>
  </sheetViews>
  <sheetFormatPr defaultRowHeight="15"/>
  <cols>
    <col min="1" max="1" width="29.85546875" customWidth="1"/>
    <col min="2" max="6" width="9.28515625" bestFit="1" customWidth="1"/>
    <col min="7" max="8" width="21.7109375" customWidth="1"/>
    <col min="9" max="13" width="9.42578125" bestFit="1" customWidth="1"/>
    <col min="14" max="14" width="12.7109375" bestFit="1" customWidth="1"/>
    <col min="15" max="15" width="12.140625" bestFit="1" customWidth="1"/>
    <col min="16" max="24" width="9.42578125" bestFit="1" customWidth="1"/>
  </cols>
  <sheetData>
    <row r="1" spans="1:8">
      <c r="A1" s="58"/>
      <c r="B1" s="58" t="s">
        <v>69</v>
      </c>
      <c r="C1" s="58" t="s">
        <v>70</v>
      </c>
      <c r="D1" s="58"/>
      <c r="E1" s="58"/>
      <c r="F1" s="58"/>
      <c r="G1" s="58" t="str">
        <f>B1</f>
        <v>Carbon footprint</v>
      </c>
      <c r="H1" s="58" t="str">
        <f>C1</f>
        <v>Primary energy consumption</v>
      </c>
    </row>
    <row r="2" spans="1:8">
      <c r="A2" s="59" t="str">
        <f>'material inventory'!L13</f>
        <v>ITO glass</v>
      </c>
      <c r="B2">
        <f>'material inventory'!M13</f>
        <v>1.6837863429999995</v>
      </c>
      <c r="C2">
        <f>'material inventory'!V13</f>
        <v>29.222870408888099</v>
      </c>
      <c r="D2" s="9"/>
      <c r="E2" s="9"/>
      <c r="F2" s="9"/>
      <c r="G2" s="9">
        <f>B2</f>
        <v>1.6837863429999995</v>
      </c>
      <c r="H2" s="9">
        <f>C2</f>
        <v>29.222870408888099</v>
      </c>
    </row>
    <row r="3" spans="1:8">
      <c r="A3" s="59" t="str">
        <f>'material inventory'!L14</f>
        <v>SnO₂</v>
      </c>
      <c r="B3">
        <f>'material inventory'!M14</f>
        <v>2.4568249999999997E-3</v>
      </c>
      <c r="C3">
        <f>'material inventory'!V14</f>
        <v>3.7774549302499995E-2</v>
      </c>
      <c r="G3" s="9">
        <f t="shared" ref="G3:G31" si="0">B3</f>
        <v>2.4568249999999997E-3</v>
      </c>
      <c r="H3" s="9">
        <f t="shared" ref="H3:H31" si="1">C3</f>
        <v>3.7774549302499995E-2</v>
      </c>
    </row>
    <row r="4" spans="1:8">
      <c r="A4" s="59" t="str">
        <f>'material inventory'!L15</f>
        <v>H₂O</v>
      </c>
      <c r="B4">
        <f>'material inventory'!M15</f>
        <v>8.8302478460674152E-6</v>
      </c>
      <c r="C4">
        <f>'material inventory'!V15</f>
        <v>1.2149445721202592E-4</v>
      </c>
      <c r="G4" s="9">
        <f t="shared" si="0"/>
        <v>8.8302478460674152E-6</v>
      </c>
      <c r="H4" s="9">
        <f t="shared" si="1"/>
        <v>1.2149445721202592E-4</v>
      </c>
    </row>
    <row r="5" spans="1:8">
      <c r="A5" s="59" t="str">
        <f>'material inventory'!L16</f>
        <v>PbI₂</v>
      </c>
      <c r="B5">
        <f>'material inventory'!M16</f>
        <v>5.0422090564514258E-3</v>
      </c>
      <c r="C5">
        <f>'material inventory'!V16</f>
        <v>5.9957782482828542E-2</v>
      </c>
      <c r="G5" s="9">
        <f t="shared" si="0"/>
        <v>5.0422090564514258E-3</v>
      </c>
      <c r="H5" s="9">
        <f t="shared" si="1"/>
        <v>5.9957782482828542E-2</v>
      </c>
    </row>
    <row r="6" spans="1:8">
      <c r="A6" s="59" t="str">
        <f>'material inventory'!L17</f>
        <v>DMF</v>
      </c>
      <c r="B6">
        <f>'material inventory'!M17</f>
        <v>4.7500373710823293E-3</v>
      </c>
      <c r="C6">
        <f>'material inventory'!V17</f>
        <v>0.12919759675539927</v>
      </c>
      <c r="G6" s="9">
        <f t="shared" si="0"/>
        <v>4.7500373710823293E-3</v>
      </c>
      <c r="H6" s="9">
        <f t="shared" si="1"/>
        <v>0.12919759675539927</v>
      </c>
    </row>
    <row r="7" spans="1:8">
      <c r="A7" s="59" t="str">
        <f>'material inventory'!L18</f>
        <v>DMSO</v>
      </c>
      <c r="B7">
        <f>'material inventory'!M18</f>
        <v>1.2872013029725408E-4</v>
      </c>
      <c r="C7">
        <f>'material inventory'!V18</f>
        <v>5.9398302219234068E-3</v>
      </c>
      <c r="G7" s="9">
        <f t="shared" si="0"/>
        <v>1.2872013029725408E-4</v>
      </c>
      <c r="H7" s="9">
        <f t="shared" si="1"/>
        <v>5.9398302219234068E-3</v>
      </c>
    </row>
    <row r="8" spans="1:8">
      <c r="A8" s="59" t="str">
        <f>'material inventory'!L19</f>
        <v>FAI</v>
      </c>
      <c r="B8">
        <f>'material inventory'!M19</f>
        <v>2.3900391307546311E-2</v>
      </c>
      <c r="C8">
        <f>'material inventory'!V19</f>
        <v>0.42337780030357741</v>
      </c>
      <c r="G8" s="9">
        <f t="shared" si="0"/>
        <v>2.3900391307546311E-2</v>
      </c>
      <c r="H8" s="9">
        <f t="shared" si="1"/>
        <v>0.42337780030357741</v>
      </c>
    </row>
    <row r="9" spans="1:8">
      <c r="A9" s="59" t="str">
        <f>'material inventory'!L20</f>
        <v>MABr</v>
      </c>
      <c r="B9">
        <f>'material inventory'!M20</f>
        <v>0.10592670348814012</v>
      </c>
      <c r="C9">
        <f>'material inventory'!V20</f>
        <v>1.865990772517371</v>
      </c>
      <c r="G9" s="9">
        <f t="shared" si="0"/>
        <v>0.10592670348814012</v>
      </c>
      <c r="H9" s="9">
        <f t="shared" si="1"/>
        <v>1.865990772517371</v>
      </c>
    </row>
    <row r="10" spans="1:8">
      <c r="A10" s="59" t="str">
        <f>'material inventory'!L21</f>
        <v>MACl</v>
      </c>
      <c r="B10">
        <f>'material inventory'!M21</f>
        <v>1.5715091537824337E-7</v>
      </c>
      <c r="C10">
        <f>'material inventory'!V21</f>
        <v>2.8340510885295118E-6</v>
      </c>
      <c r="G10" s="9">
        <f t="shared" si="0"/>
        <v>1.5715091537824337E-7</v>
      </c>
      <c r="H10" s="9">
        <f t="shared" si="1"/>
        <v>2.8340510885295118E-6</v>
      </c>
    </row>
    <row r="11" spans="1:8">
      <c r="A11" s="59" t="str">
        <f>'material inventory'!L22</f>
        <v>Isopropanol</v>
      </c>
      <c r="B11">
        <f>'material inventory'!M22</f>
        <v>0.10111823698954497</v>
      </c>
      <c r="C11">
        <f>'material inventory'!V22</f>
        <v>3.3424294376453116</v>
      </c>
      <c r="G11" s="9">
        <f t="shared" si="0"/>
        <v>0.10111823698954497</v>
      </c>
      <c r="H11" s="9">
        <f t="shared" si="1"/>
        <v>3.3424294376453116</v>
      </c>
    </row>
    <row r="12" spans="1:8">
      <c r="A12" s="59" t="str">
        <f>'material inventory'!L23</f>
        <v>Spiro-OMeTAD</v>
      </c>
      <c r="B12">
        <f>'material inventory'!M23</f>
        <v>3.1854997688690531E-2</v>
      </c>
      <c r="C12">
        <f>'material inventory'!V23</f>
        <v>0.51315829357722298</v>
      </c>
      <c r="G12" s="9">
        <f t="shared" si="0"/>
        <v>3.1854997688690531E-2</v>
      </c>
      <c r="H12" s="9">
        <f t="shared" si="1"/>
        <v>0.51315829357722298</v>
      </c>
    </row>
    <row r="13" spans="1:8">
      <c r="A13" s="59" t="str">
        <f>'material inventory'!L24</f>
        <v>LiTFSI</v>
      </c>
      <c r="B13">
        <f>'material inventory'!M24</f>
        <v>1.4649900522011319E-3</v>
      </c>
      <c r="C13">
        <f>'material inventory'!V24</f>
        <v>2.2981147890881671E-2</v>
      </c>
      <c r="G13" s="9">
        <f t="shared" si="0"/>
        <v>1.4649900522011319E-3</v>
      </c>
      <c r="H13" s="9">
        <f t="shared" si="1"/>
        <v>2.2981147890881671E-2</v>
      </c>
    </row>
    <row r="14" spans="1:8">
      <c r="A14" s="59" t="str">
        <f>'material inventory'!L25</f>
        <v>Acetonitrile</v>
      </c>
      <c r="B14">
        <f>'material inventory'!M25</f>
        <v>4.0681139631535285E-4</v>
      </c>
      <c r="C14">
        <f>'material inventory'!V25</f>
        <v>1.1011636458905816E-2</v>
      </c>
      <c r="G14" s="9">
        <f t="shared" si="0"/>
        <v>4.0681139631535285E-4</v>
      </c>
      <c r="H14" s="9">
        <f t="shared" si="1"/>
        <v>1.1011636458905816E-2</v>
      </c>
    </row>
    <row r="15" spans="1:8">
      <c r="A15" s="59" t="str">
        <f>'material inventory'!L26</f>
        <v>4-tert Butylpyridine</v>
      </c>
      <c r="B15">
        <f>'material inventory'!M26</f>
        <v>1.1128396373775934E-3</v>
      </c>
      <c r="C15">
        <f>'material inventory'!V26</f>
        <v>1.8248398073474791E-2</v>
      </c>
      <c r="G15" s="9">
        <f t="shared" si="0"/>
        <v>1.1128396373775934E-3</v>
      </c>
      <c r="H15" s="9">
        <f t="shared" si="1"/>
        <v>1.8248398073474791E-2</v>
      </c>
    </row>
    <row r="16" spans="1:8">
      <c r="A16" s="59" t="str">
        <f>'material inventory'!L27</f>
        <v>Chlorobenzene</v>
      </c>
      <c r="B16">
        <f>'material inventory'!M27</f>
        <v>1.3047440743568469E-2</v>
      </c>
      <c r="C16">
        <f>'material inventory'!V27</f>
        <v>0.3158692872487171</v>
      </c>
      <c r="G16" s="9">
        <f t="shared" si="0"/>
        <v>1.3047440743568469E-2</v>
      </c>
      <c r="H16" s="9">
        <f t="shared" si="1"/>
        <v>0.3158692872487171</v>
      </c>
    </row>
    <row r="17" spans="1:8">
      <c r="A17" s="59" t="str">
        <f>'material inventory'!L28</f>
        <v>Cu</v>
      </c>
      <c r="B17">
        <f>'material inventory'!M28</f>
        <v>2.2772929536000004E-3</v>
      </c>
      <c r="C17">
        <f>'material inventory'!V28</f>
        <v>3.2747443559147528E-2</v>
      </c>
      <c r="G17" s="9">
        <f t="shared" si="0"/>
        <v>2.2772929536000004E-3</v>
      </c>
      <c r="H17" s="9">
        <f t="shared" si="1"/>
        <v>3.2747443559147528E-2</v>
      </c>
    </row>
    <row r="18" spans="1:8">
      <c r="A18" s="59" t="str">
        <f>'material inventory'!L29</f>
        <v>Ar</v>
      </c>
      <c r="B18">
        <f>'material inventory'!M29</f>
        <v>0.17435194181818181</v>
      </c>
      <c r="C18">
        <f>'material inventory'!V29</f>
        <v>2.6195734909818178</v>
      </c>
      <c r="G18" s="9">
        <f t="shared" si="0"/>
        <v>0.17435194181818181</v>
      </c>
      <c r="H18" s="9">
        <f t="shared" si="1"/>
        <v>2.6195734909818178</v>
      </c>
    </row>
    <row r="19" spans="1:8">
      <c r="A19" s="59" t="str">
        <f>'material inventory'!L30</f>
        <v>O₂</v>
      </c>
      <c r="B19">
        <f>'material inventory'!M30</f>
        <v>7.6841745454545455E-5</v>
      </c>
      <c r="C19">
        <f>'material inventory'!V30</f>
        <v>1.0469033187490908E-3</v>
      </c>
      <c r="G19" s="9">
        <f t="shared" si="0"/>
        <v>7.6841745454545455E-5</v>
      </c>
      <c r="H19" s="9">
        <f t="shared" si="1"/>
        <v>1.0469033187490908E-3</v>
      </c>
    </row>
    <row r="20" spans="1:8">
      <c r="A20" s="59" t="str">
        <f>'material inventory'!L31</f>
        <v>Adhesive</v>
      </c>
      <c r="B20">
        <f>'material inventory'!M31</f>
        <v>5.8513339999999997E-2</v>
      </c>
      <c r="C20">
        <f>'material inventory'!V31</f>
        <v>1.121768096012</v>
      </c>
      <c r="G20" s="9">
        <f t="shared" si="0"/>
        <v>5.8513339999999997E-2</v>
      </c>
      <c r="H20" s="9">
        <f t="shared" si="1"/>
        <v>1.121768096012</v>
      </c>
    </row>
    <row r="21" spans="1:8">
      <c r="A21" s="59" t="str">
        <f>'material inventory'!L32</f>
        <v>PET</v>
      </c>
      <c r="B21">
        <f>'material inventory'!M32</f>
        <v>0.19433649</v>
      </c>
      <c r="C21">
        <f>'material inventory'!V32</f>
        <v>4.876431431436</v>
      </c>
      <c r="G21" s="9">
        <f t="shared" si="0"/>
        <v>0.19433649</v>
      </c>
      <c r="H21" s="9">
        <f t="shared" si="1"/>
        <v>4.876431431436</v>
      </c>
    </row>
    <row r="22" spans="1:8">
      <c r="A22" s="60" t="str">
        <f>'energy consumption'!H3</f>
        <v>UV/O₃ cleaning</v>
      </c>
      <c r="B22">
        <f>'energy consumption'!I3</f>
        <v>1.6328160013062525E-2</v>
      </c>
      <c r="C22">
        <f>'energy consumption'!R3</f>
        <v>0.28730686288644547</v>
      </c>
      <c r="G22" s="9">
        <f t="shared" si="0"/>
        <v>1.6328160013062525E-2</v>
      </c>
      <c r="H22" s="9">
        <f t="shared" si="1"/>
        <v>0.28730686288644547</v>
      </c>
    </row>
    <row r="23" spans="1:8">
      <c r="A23" s="60" t="str">
        <f>'energy consumption'!H4</f>
        <v>ETL slot-die coating</v>
      </c>
      <c r="B23">
        <f>'energy consumption'!I4</f>
        <v>1.4790000011831998E-2</v>
      </c>
      <c r="C23">
        <f>'energy consumption'!R4</f>
        <v>0.2602417236290267</v>
      </c>
      <c r="G23" s="9">
        <f t="shared" si="0"/>
        <v>1.4790000011831998E-2</v>
      </c>
      <c r="H23" s="9">
        <f t="shared" si="1"/>
        <v>0.2602417236290267</v>
      </c>
    </row>
    <row r="24" spans="1:8">
      <c r="A24" s="60" t="str">
        <f>'energy consumption'!H5</f>
        <v>ETL annealing</v>
      </c>
      <c r="B24">
        <f>'energy consumption'!I5</f>
        <v>4.5637714322224454</v>
      </c>
      <c r="C24">
        <f>'energy consumption'!R5</f>
        <v>80.303160434099667</v>
      </c>
      <c r="G24" s="9">
        <f t="shared" si="0"/>
        <v>4.5637714322224454</v>
      </c>
      <c r="H24" s="9">
        <f t="shared" si="1"/>
        <v>80.303160434099667</v>
      </c>
    </row>
    <row r="25" spans="1:8">
      <c r="A25" s="60" t="str">
        <f>'energy consumption'!H6</f>
        <v>PL 1st-step slot-die coating</v>
      </c>
      <c r="B25">
        <f>'energy consumption'!I6</f>
        <v>2.1128571445474281E-2</v>
      </c>
      <c r="C25">
        <f>'energy consumption'!R6</f>
        <v>0.37177389089860957</v>
      </c>
      <c r="G25" s="9">
        <f t="shared" si="0"/>
        <v>2.1128571445474281E-2</v>
      </c>
      <c r="H25" s="9">
        <f t="shared" si="1"/>
        <v>0.37177389089860957</v>
      </c>
    </row>
    <row r="26" spans="1:8">
      <c r="A26" s="60" t="str">
        <f>'energy consumption'!H7</f>
        <v>PL annealing</v>
      </c>
      <c r="B26">
        <f>'energy consumption'!I7</f>
        <v>7.0992000056793583E-2</v>
      </c>
      <c r="C26">
        <f>'energy consumption'!R7</f>
        <v>1.2491602734193281</v>
      </c>
      <c r="G26" s="9">
        <f t="shared" si="0"/>
        <v>7.0992000056793583E-2</v>
      </c>
      <c r="H26" s="9">
        <f t="shared" si="1"/>
        <v>1.2491602734193281</v>
      </c>
    </row>
    <row r="27" spans="1:8">
      <c r="A27" s="60" t="str">
        <f>'energy consumption'!H8</f>
        <v>PL 2nd-step slot-die coating</v>
      </c>
      <c r="B27">
        <f>'energy consumption'!I8</f>
        <v>2.1128571445474281E-2</v>
      </c>
      <c r="C27">
        <f>'energy consumption'!R8</f>
        <v>0.37177389089860957</v>
      </c>
      <c r="G27" s="9">
        <f t="shared" si="0"/>
        <v>2.1128571445474281E-2</v>
      </c>
      <c r="H27" s="9">
        <f t="shared" si="1"/>
        <v>0.37177389089860957</v>
      </c>
    </row>
    <row r="28" spans="1:8">
      <c r="A28" s="60" t="str">
        <f>'energy consumption'!H9</f>
        <v>PL post-annealing</v>
      </c>
      <c r="B28">
        <f>'energy consumption'!I9</f>
        <v>2.2818857161112227</v>
      </c>
      <c r="C28">
        <f>'energy consumption'!R9</f>
        <v>40.151580217049833</v>
      </c>
      <c r="G28" s="9">
        <f t="shared" si="0"/>
        <v>2.2818857161112227</v>
      </c>
      <c r="H28" s="9">
        <f t="shared" si="1"/>
        <v>40.151580217049833</v>
      </c>
    </row>
    <row r="29" spans="1:8">
      <c r="A29" s="60" t="str">
        <f>'energy consumption'!H10</f>
        <v>HTL slot-die coating</v>
      </c>
      <c r="B29">
        <f>'energy consumption'!I10</f>
        <v>9.8600000078879993E-2</v>
      </c>
      <c r="C29">
        <f>'energy consumption'!R10</f>
        <v>1.7349448241935115</v>
      </c>
      <c r="G29" s="9">
        <f t="shared" si="0"/>
        <v>9.8600000078879993E-2</v>
      </c>
      <c r="H29" s="9">
        <f t="shared" si="1"/>
        <v>1.7349448241935115</v>
      </c>
    </row>
    <row r="30" spans="1:8">
      <c r="A30" s="60" t="str">
        <f>'energy consumption'!H11</f>
        <v>Electrode sputtering</v>
      </c>
      <c r="B30">
        <f>'energy consumption'!I11</f>
        <v>4.4961600035969278</v>
      </c>
      <c r="C30">
        <f>'energy consumption'!R11</f>
        <v>79.113483983224114</v>
      </c>
      <c r="G30" s="9">
        <f t="shared" si="0"/>
        <v>4.4961600035969278</v>
      </c>
      <c r="H30" s="9">
        <f t="shared" si="1"/>
        <v>79.113483983224114</v>
      </c>
    </row>
    <row r="31" spans="1:8">
      <c r="A31" s="60" t="str">
        <f>'energy consumption'!H12</f>
        <v>Lamination</v>
      </c>
      <c r="B31">
        <f>'energy consumption'!I12</f>
        <v>8.8740000070991979E-3</v>
      </c>
      <c r="C31">
        <f>'energy consumption'!R12</f>
        <v>0.15614503417741601</v>
      </c>
      <c r="G31" s="9">
        <f t="shared" si="0"/>
        <v>8.8740000070991979E-3</v>
      </c>
      <c r="H31" s="9">
        <f t="shared" si="1"/>
        <v>0.15614503417741601</v>
      </c>
    </row>
    <row r="32" spans="1:8">
      <c r="A32" s="61" t="s">
        <v>14</v>
      </c>
      <c r="B32" s="84">
        <f>'material inventory'!M33</f>
        <v>0</v>
      </c>
      <c r="C32" s="85">
        <f>'material inventory'!V33</f>
        <v>0</v>
      </c>
      <c r="D32" s="84"/>
      <c r="E32" s="84"/>
      <c r="F32" s="84"/>
      <c r="G32" s="84">
        <f>B32</f>
        <v>0</v>
      </c>
      <c r="H32" s="84">
        <f>C32</f>
        <v>0</v>
      </c>
    </row>
    <row r="33" spans="1:24">
      <c r="A33" s="61" t="s">
        <v>74</v>
      </c>
      <c r="B33" s="84">
        <f>'material inventory'!M47</f>
        <v>1.2757696199999999E-4</v>
      </c>
      <c r="C33" s="84">
        <f>'material inventory'!V47</f>
        <v>1.0661210680980003E-3</v>
      </c>
      <c r="D33" s="84"/>
      <c r="E33" s="84"/>
      <c r="F33" s="84"/>
      <c r="G33" s="84">
        <f t="shared" ref="G33" si="2">B33</f>
        <v>1.2757696199999999E-4</v>
      </c>
      <c r="H33" s="84">
        <f t="shared" ref="H33" si="3">C33</f>
        <v>1.0661210680980003E-3</v>
      </c>
    </row>
    <row r="34" spans="1:24">
      <c r="A34" s="61" t="s">
        <v>73</v>
      </c>
      <c r="B34" s="84">
        <f>'material inventory'!M51</f>
        <v>1.2908860778050111E-3</v>
      </c>
      <c r="C34" s="85">
        <f>'material inventory'!V51</f>
        <v>4.1314842180230411E-2</v>
      </c>
      <c r="D34" s="85"/>
      <c r="E34" s="85"/>
      <c r="F34" s="85"/>
      <c r="G34" s="85">
        <v>0.15919788064941176</v>
      </c>
      <c r="H34" s="85">
        <v>2.7861990010039213</v>
      </c>
    </row>
    <row r="35" spans="1:24">
      <c r="A35" s="81" t="s">
        <v>34</v>
      </c>
      <c r="B35" s="81">
        <f>SUM(B2:B34)</f>
        <v>13.99963835780623</v>
      </c>
      <c r="C35" s="81">
        <f t="shared" ref="C35:H35" si="4">SUM(C2:C34)</f>
        <v>248.66245073290716</v>
      </c>
      <c r="D35" s="81"/>
      <c r="E35" s="81"/>
      <c r="F35" s="81"/>
      <c r="G35" s="81">
        <f>SUM(G2:G34)</f>
        <v>14.157545352377836</v>
      </c>
      <c r="H35" s="81">
        <f t="shared" si="4"/>
        <v>251.40733489173084</v>
      </c>
    </row>
    <row r="36" spans="1:24">
      <c r="B36" s="9"/>
      <c r="C36" s="9"/>
      <c r="D36" s="9"/>
      <c r="E36" s="9"/>
      <c r="F36" s="9"/>
      <c r="G36" s="9"/>
      <c r="H36" s="9"/>
      <c r="I36" s="9"/>
      <c r="J36" s="9"/>
      <c r="K36" s="9"/>
      <c r="L36" s="9"/>
      <c r="M36" s="9"/>
      <c r="N36" s="9"/>
      <c r="O36" s="9"/>
      <c r="P36" s="9"/>
      <c r="Q36" s="9"/>
      <c r="R36" s="9"/>
      <c r="S36" s="9"/>
      <c r="T36" s="9"/>
      <c r="U36" s="9"/>
      <c r="V36" s="9"/>
      <c r="W36" s="9"/>
      <c r="X36" s="9"/>
    </row>
    <row r="37" spans="1:24">
      <c r="B37" s="9"/>
      <c r="C37" s="9"/>
      <c r="D37" s="9"/>
      <c r="E37" s="9"/>
      <c r="F37" s="9"/>
      <c r="G37" s="9"/>
      <c r="H37" s="9"/>
      <c r="I37" s="9"/>
      <c r="J37" s="9"/>
      <c r="K37" s="9"/>
      <c r="L37" s="9"/>
      <c r="M37" s="9"/>
      <c r="N37" s="9"/>
      <c r="O37" s="9"/>
      <c r="P37" s="9"/>
      <c r="Q37" s="9"/>
      <c r="R37" s="9"/>
      <c r="S37" s="9"/>
      <c r="T37" s="9"/>
      <c r="U37" s="9"/>
      <c r="V37" s="9"/>
      <c r="W37" s="9"/>
      <c r="X37" s="9"/>
    </row>
    <row r="38" spans="1:24">
      <c r="B38" s="9"/>
      <c r="C38" s="9"/>
      <c r="D38" s="9"/>
      <c r="E38" s="9"/>
      <c r="F38" s="9"/>
      <c r="G38" s="9"/>
      <c r="H38" s="9"/>
      <c r="I38" s="9"/>
      <c r="J38" s="9"/>
      <c r="K38" s="9"/>
      <c r="L38" s="9"/>
      <c r="M38" s="9"/>
      <c r="N38" s="9"/>
      <c r="O38" s="9"/>
      <c r="P38" s="9"/>
      <c r="Q38" s="9"/>
      <c r="R38" s="9"/>
      <c r="S38" s="9"/>
      <c r="T38" s="9"/>
      <c r="U38" s="9"/>
      <c r="V38" s="9"/>
      <c r="W38" s="9"/>
      <c r="X38" s="9"/>
    </row>
    <row r="39" spans="1:24">
      <c r="B39" s="9"/>
      <c r="C39" s="9"/>
      <c r="D39" s="9"/>
      <c r="E39" s="9"/>
      <c r="F39" s="9"/>
      <c r="G39" s="9"/>
      <c r="H39" s="9"/>
      <c r="I39" s="9"/>
      <c r="J39" s="9"/>
      <c r="K39" s="9"/>
      <c r="L39" s="9"/>
      <c r="M39" s="9"/>
      <c r="N39" s="9"/>
      <c r="O39" s="9"/>
      <c r="P39" s="9"/>
      <c r="Q39" s="9"/>
      <c r="R39" s="9"/>
      <c r="S39" s="9"/>
      <c r="T39" s="9"/>
      <c r="U39" s="9"/>
      <c r="V39" s="9"/>
      <c r="W39" s="9"/>
      <c r="X39" s="9"/>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11CF6-C510-4C2A-B15C-E110865D75B8}">
  <sheetPr codeName="Sheet4"/>
  <dimension ref="A1:P31"/>
  <sheetViews>
    <sheetView workbookViewId="0"/>
  </sheetViews>
  <sheetFormatPr defaultRowHeight="15"/>
  <cols>
    <col min="1" max="2" width="36.7109375" customWidth="1"/>
  </cols>
  <sheetData>
    <row r="1" spans="1:16">
      <c r="A1" s="18" t="s">
        <v>104</v>
      </c>
    </row>
    <row r="2" spans="1:16">
      <c r="P2">
        <f ca="1">_xll.CB.RecalcCounterFN()</f>
        <v>0</v>
      </c>
    </row>
    <row r="3" spans="1:16">
      <c r="A3" t="s">
        <v>105</v>
      </c>
      <c r="B3" t="s">
        <v>106</v>
      </c>
      <c r="C3">
        <v>0</v>
      </c>
    </row>
    <row r="4" spans="1:16">
      <c r="A4" t="s">
        <v>107</v>
      </c>
    </row>
    <row r="5" spans="1:16">
      <c r="A5" t="s">
        <v>108</v>
      </c>
    </row>
    <row r="7" spans="1:16">
      <c r="A7" s="18" t="s">
        <v>109</v>
      </c>
      <c r="B7" t="s">
        <v>110</v>
      </c>
    </row>
    <row r="8" spans="1:16">
      <c r="B8">
        <v>2</v>
      </c>
    </row>
    <row r="10" spans="1:16">
      <c r="A10" t="s">
        <v>111</v>
      </c>
    </row>
    <row r="11" spans="1:16">
      <c r="A11" t="e">
        <f>CB_DATA_!#REF!</f>
        <v>#REF!</v>
      </c>
      <c r="B11" t="e">
        <f>uncertainty!#REF!</f>
        <v>#REF!</v>
      </c>
    </row>
    <row r="13" spans="1:16">
      <c r="A13" t="s">
        <v>112</v>
      </c>
    </row>
    <row r="14" spans="1:16">
      <c r="A14" t="s">
        <v>116</v>
      </c>
      <c r="B14" t="s">
        <v>120</v>
      </c>
    </row>
    <row r="16" spans="1:16">
      <c r="A16" t="s">
        <v>113</v>
      </c>
    </row>
    <row r="19" spans="1:2">
      <c r="A19" t="s">
        <v>114</v>
      </c>
    </row>
    <row r="20" spans="1:2">
      <c r="A20">
        <v>31</v>
      </c>
      <c r="B20">
        <v>31</v>
      </c>
    </row>
    <row r="25" spans="1:2">
      <c r="A25" s="18" t="s">
        <v>115</v>
      </c>
    </row>
    <row r="26" spans="1:2">
      <c r="A26" s="19" t="s">
        <v>117</v>
      </c>
      <c r="B26" s="19" t="s">
        <v>121</v>
      </c>
    </row>
    <row r="27" spans="1:2">
      <c r="A27" t="s">
        <v>118</v>
      </c>
      <c r="B27" t="s">
        <v>170</v>
      </c>
    </row>
    <row r="28" spans="1:2">
      <c r="A28" s="19" t="s">
        <v>119</v>
      </c>
      <c r="B28" s="19" t="s">
        <v>119</v>
      </c>
    </row>
    <row r="29" spans="1:2">
      <c r="A29" s="19" t="s">
        <v>121</v>
      </c>
      <c r="B29" s="19" t="s">
        <v>117</v>
      </c>
    </row>
    <row r="30" spans="1:2">
      <c r="A30" t="s">
        <v>169</v>
      </c>
      <c r="B30" t="s">
        <v>122</v>
      </c>
    </row>
    <row r="31" spans="1:2">
      <c r="A31" s="19" t="s">
        <v>119</v>
      </c>
      <c r="B31" s="19" t="s">
        <v>119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4FB53D-E28D-4BB1-B583-EDF3A50CD6B1}">
  <sheetPr codeName="Sheet5"/>
  <dimension ref="A1:T12"/>
  <sheetViews>
    <sheetView zoomScale="90" zoomScaleNormal="90" workbookViewId="0">
      <selection activeCell="C8" sqref="C8"/>
    </sheetView>
  </sheetViews>
  <sheetFormatPr defaultRowHeight="15"/>
  <sheetData>
    <row r="1" spans="1:20">
      <c r="A1" t="s">
        <v>87</v>
      </c>
      <c r="B1" t="s">
        <v>88</v>
      </c>
      <c r="C1" t="s">
        <v>89</v>
      </c>
      <c r="F1" s="11">
        <v>0.17280000000000001</v>
      </c>
      <c r="H1" s="12"/>
      <c r="K1" s="102"/>
      <c r="L1" s="103"/>
    </row>
    <row r="2" spans="1:20">
      <c r="A2" t="s">
        <v>91</v>
      </c>
      <c r="B2" t="s">
        <v>92</v>
      </c>
      <c r="C2" s="13">
        <v>1700</v>
      </c>
      <c r="E2">
        <v>58.9</v>
      </c>
      <c r="R2" s="14"/>
      <c r="T2" s="14"/>
    </row>
    <row r="3" spans="1:20">
      <c r="A3" t="s">
        <v>93</v>
      </c>
      <c r="B3" t="s">
        <v>94</v>
      </c>
      <c r="C3" s="15">
        <v>0.75</v>
      </c>
      <c r="E3">
        <v>1.23</v>
      </c>
      <c r="R3" s="14"/>
      <c r="T3" s="14"/>
    </row>
    <row r="4" spans="1:20">
      <c r="A4" t="s">
        <v>95</v>
      </c>
      <c r="B4" t="s">
        <v>94</v>
      </c>
      <c r="C4" s="16">
        <v>0.17280000000000001</v>
      </c>
      <c r="E4">
        <v>1.05</v>
      </c>
      <c r="R4" s="11"/>
      <c r="T4" s="11"/>
    </row>
    <row r="5" spans="1:20">
      <c r="A5" t="s">
        <v>96</v>
      </c>
      <c r="B5" t="s">
        <v>97</v>
      </c>
      <c r="C5">
        <v>12.49</v>
      </c>
      <c r="R5" s="11"/>
      <c r="T5" s="11"/>
    </row>
    <row r="6" spans="1:20">
      <c r="A6" t="s">
        <v>98</v>
      </c>
      <c r="B6" t="s">
        <v>99</v>
      </c>
      <c r="C6" s="13">
        <v>5</v>
      </c>
      <c r="E6">
        <v>1.1499999999999999</v>
      </c>
      <c r="T6" s="11"/>
    </row>
    <row r="7" spans="1:20">
      <c r="A7" t="s">
        <v>100</v>
      </c>
      <c r="B7" t="s">
        <v>101</v>
      </c>
      <c r="C7" s="13">
        <v>251.40733489173084</v>
      </c>
      <c r="E7">
        <v>1.1100000000000001</v>
      </c>
    </row>
    <row r="8" spans="1:20">
      <c r="A8" t="s">
        <v>102</v>
      </c>
      <c r="C8" s="13">
        <v>14.157545352377836</v>
      </c>
      <c r="E8">
        <v>1.1100000000000001</v>
      </c>
    </row>
    <row r="9" spans="1:20">
      <c r="B9" t="s">
        <v>90</v>
      </c>
      <c r="C9" s="17">
        <f>C7/C5/C2/C4/C3</f>
        <v>9.1361155333755328E-2</v>
      </c>
    </row>
    <row r="10" spans="1:20">
      <c r="B10" t="s">
        <v>103</v>
      </c>
      <c r="C10" s="17">
        <f>C8*1000/C2/C3/C4/C6</f>
        <v>12.851802244351703</v>
      </c>
    </row>
    <row r="12" spans="1:20">
      <c r="B12">
        <f>results!G35</f>
        <v>14.157545352377836</v>
      </c>
      <c r="C12">
        <f>results!H35</f>
        <v>251.40733489173084</v>
      </c>
    </row>
  </sheetData>
  <mergeCells count="1">
    <mergeCell ref="K1:L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material inventory</vt:lpstr>
      <vt:lpstr>sensitivity</vt:lpstr>
      <vt:lpstr>energy consumption</vt:lpstr>
      <vt:lpstr>results</vt:lpstr>
      <vt:lpstr>uncertainty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2020-01-04T20:16:53Z</dcterms:modified>
</cp:coreProperties>
</file>