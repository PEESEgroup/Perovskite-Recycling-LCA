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filterPrivacy="1" codeName="ThisWorkbook"/>
  <xr:revisionPtr revIDLastSave="0" documentId="13_ncr:1_{E313DAD1-AC12-4185-A23D-88FD300BC753}" xr6:coauthVersionLast="45" xr6:coauthVersionMax="45" xr10:uidLastSave="{00000000-0000-0000-0000-000000000000}"/>
  <bookViews>
    <workbookView xWindow="-120" yWindow="-120" windowWidth="29040" windowHeight="15840" activeTab="1" xr2:uid="{00000000-000D-0000-FFFF-FFFF00000000}"/>
  </bookViews>
  <sheets>
    <sheet name="material inventory" sheetId="1" r:id="rId1"/>
    <sheet name="SA" sheetId="9" r:id="rId2"/>
    <sheet name="energy consumption" sheetId="2" r:id="rId3"/>
    <sheet name="results" sheetId="3" r:id="rId4"/>
    <sheet name="Uncertainty" sheetId="6" r:id="rId5"/>
    <sheet name="CB_DATA_" sheetId="7" state="veryHidden" r:id="rId6"/>
  </sheets>
  <externalReferences>
    <externalReference r:id="rId7"/>
    <externalReference r:id="rId8"/>
    <externalReference r:id="rId9"/>
    <externalReference r:id="rId10"/>
    <externalReference r:id="rId11"/>
    <externalReference r:id="rId12"/>
    <externalReference r:id="rId13"/>
  </externalReferences>
  <definedNames>
    <definedName name="CB_1c2d49e324ed4e7da175c17c8db60240" localSheetId="4" hidden="1">Uncertainty!$C$7</definedName>
    <definedName name="CB_2cdc45dd5f8d4cc7b4ff87873aae04d1" localSheetId="4" hidden="1">Uncertainty!$C$2</definedName>
    <definedName name="CB_32f4655ac3ab434194c7b86bd67bc805" localSheetId="4" hidden="1">Uncertainty!$C$3</definedName>
    <definedName name="CB_3ac30f0184cf42678239f7c66ea8a529" localSheetId="4" hidden="1">Uncertainty!$C$9</definedName>
    <definedName name="CB_6cce6e717ea84b8897b18e32d5cb528d" localSheetId="5" hidden="1">#N/A</definedName>
    <definedName name="CB_75ed55e36f4149248c3750bc1129767a" localSheetId="4" hidden="1">Uncertainty!$C$10</definedName>
    <definedName name="CB_aa4b7a1efa6049f59cecdf639b09afdf" localSheetId="4" hidden="1">Uncertainty!$C$8</definedName>
    <definedName name="CB_bccb9057926646e69a291bc05746de34" localSheetId="4" hidden="1">Uncertainty!$C$4</definedName>
    <definedName name="CB_Block_00000000000000000000000000000000" localSheetId="5" hidden="1">"'7.0.0.0"</definedName>
    <definedName name="CB_Block_00000000000000000000000000000000" localSheetId="4" hidden="1">"'7.0.0.0"</definedName>
    <definedName name="CB_Block_00000000000000000000000000000001" localSheetId="5" hidden="1">"'637136702040074612"</definedName>
    <definedName name="CB_Block_00000000000000000000000000000001" localSheetId="4" hidden="1">"'637136702040230837"</definedName>
    <definedName name="CB_Block_00000000000000000000000000000003" localSheetId="5" hidden="1">"'11.1.4716.0"</definedName>
    <definedName name="CB_Block_00000000000000000000000000000003" localSheetId="4" hidden="1">"'11.1.4716.0"</definedName>
    <definedName name="CB_BlockExt_00000000000000000000000000000003" localSheetId="5" hidden="1">"'11.1.2.4.850"</definedName>
    <definedName name="CB_BlockExt_00000000000000000000000000000003" localSheetId="4" hidden="1">"'11.1.2.4.850"</definedName>
    <definedName name="CB_d178b39d90604c338af4f22e9fbc11ac" localSheetId="4" hidden="1">Uncertainty!$C$6</definedName>
    <definedName name="CB_ed51c116888c4fb39993e96de61a4d6a" localSheetId="5" hidden="1">#N/A</definedName>
    <definedName name="CBCR_0998db07e3b846769f5c68f9ed31f13c" localSheetId="4" hidden="1">Uncertainty!$C$6</definedName>
    <definedName name="CBCR_16ba2e36b1334b1fa5fb5ac6b87ab68d" localSheetId="4" hidden="1">Uncertainty!$E$2</definedName>
    <definedName name="CBCR_32c89657044d4516a8b1b9fc29fa2d57" localSheetId="4" hidden="1">Uncertainty!$C$4</definedName>
    <definedName name="CBCR_40a5d849477d48958bc065f7f31e8072" localSheetId="4" hidden="1">Uncertainty!$E$3</definedName>
    <definedName name="CBCR_41c9df0dabe044d0ba5193fe4892825e" localSheetId="4" hidden="1">Uncertainty!$C$3</definedName>
    <definedName name="CBCR_4b685d810b0847c1b95e63536d4b6991" localSheetId="4" hidden="1">Uncertainty!$E$4</definedName>
    <definedName name="CBCR_7130398f71004f39b12785da9edbed93" localSheetId="4" hidden="1">Uncertainty!$C$8</definedName>
    <definedName name="CBCR_74f2ef91954b40b0a37284c96181256a" localSheetId="4" hidden="1">Uncertainty!$E$6</definedName>
    <definedName name="CBCR_7c92ef8c22b440fb98f802417457e02c" localSheetId="4" hidden="1">Uncertainty!$E$7</definedName>
    <definedName name="CBCR_7cfa2d48f4e84779babcbede400aaa44" localSheetId="4" hidden="1">Uncertainty!$C$7</definedName>
    <definedName name="CBCR_c9009dcb285d48dfad05779cee2f5a96" localSheetId="4" hidden="1">Uncertainty!$C$2</definedName>
    <definedName name="CBCR_e8f97c1cc6e24f6ba9a5570aedc6a013" localSheetId="4" hidden="1">Uncertainty!$E$8</definedName>
    <definedName name="CBWorkbookPriority" localSheetId="5" hidden="1">-1136982859178000</definedName>
    <definedName name="CBx_208da5f2eda141d0b81b4e857c35f51e" localSheetId="5" hidden="1">"'CB_DATA_'!$A$1"</definedName>
    <definedName name="CBx_b381d8ac5bae45d2bae9ce2f79d122a3" localSheetId="5" hidden="1">"'Uncertainty'!$A$1"</definedName>
    <definedName name="CBx_Sheet_Guid" localSheetId="5" hidden="1">"'208da5f2-eda1-41d0-b81b-4e857c35f51e"</definedName>
    <definedName name="CBx_Sheet_Guid" localSheetId="4" hidden="1">"'b381d8ac-5bae-45d2-bae9-ce2f79d122a3"</definedName>
    <definedName name="CBx_SheetRef" localSheetId="5" hidden="1">CB_DATA_!$A$14</definedName>
    <definedName name="CBx_SheetRef" localSheetId="4" hidden="1">CB_DATA_!$B$14</definedName>
    <definedName name="CBx_StorageType" localSheetId="5" hidden="1">2</definedName>
    <definedName name="CBx_StorageType" localSheetId="4"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5" i="9" l="1"/>
  <c r="F23" i="9"/>
  <c r="F22" i="9"/>
  <c r="F20" i="9"/>
  <c r="F19" i="9"/>
  <c r="F21" i="9"/>
  <c r="B25" i="9"/>
  <c r="B23" i="9"/>
  <c r="B22" i="9"/>
  <c r="B20" i="9"/>
  <c r="B19" i="9"/>
  <c r="B21" i="9"/>
  <c r="H25" i="9"/>
  <c r="H23" i="9"/>
  <c r="H22" i="9"/>
  <c r="H20" i="9"/>
  <c r="H19" i="9"/>
  <c r="H24" i="9"/>
  <c r="H18" i="9"/>
  <c r="H17" i="9"/>
  <c r="H21" i="9"/>
  <c r="H13" i="9"/>
  <c r="H11" i="9"/>
  <c r="H10" i="9"/>
  <c r="H8" i="9"/>
  <c r="H7" i="9"/>
  <c r="H12" i="9"/>
  <c r="H6" i="9"/>
  <c r="H5" i="9"/>
  <c r="H9" i="9"/>
  <c r="P2" i="7"/>
  <c r="F13" i="9" l="1"/>
  <c r="F11" i="9"/>
  <c r="F10" i="9"/>
  <c r="F8" i="9"/>
  <c r="F7" i="9"/>
  <c r="F9" i="9"/>
  <c r="B13" i="9"/>
  <c r="B11" i="9"/>
  <c r="B10" i="9"/>
  <c r="B8" i="9"/>
  <c r="B7" i="9"/>
  <c r="B9" i="9"/>
  <c r="F40" i="1" l="1"/>
  <c r="G40" i="1"/>
  <c r="F62" i="1" s="1"/>
  <c r="E38" i="1" l="1"/>
  <c r="E37" i="1"/>
  <c r="E36" i="1"/>
  <c r="E34" i="1"/>
  <c r="E33" i="1"/>
  <c r="E30" i="1"/>
  <c r="E29" i="1"/>
  <c r="E28" i="1"/>
  <c r="E27" i="1"/>
  <c r="E26" i="1"/>
  <c r="E25" i="1"/>
  <c r="E23" i="1"/>
  <c r="E22" i="1"/>
  <c r="F22" i="1" s="1"/>
  <c r="F23" i="1" s="1"/>
  <c r="F20" i="1"/>
  <c r="F18" i="1"/>
  <c r="F16" i="1"/>
  <c r="F15" i="1"/>
  <c r="F14" i="1"/>
  <c r="A4" i="3" l="1"/>
  <c r="T16" i="1"/>
  <c r="A25" i="3"/>
  <c r="A26" i="3"/>
  <c r="A27" i="3"/>
  <c r="A28" i="3"/>
  <c r="A29" i="3"/>
  <c r="A30" i="3"/>
  <c r="A31" i="3"/>
  <c r="A32" i="3"/>
  <c r="A24" i="3"/>
  <c r="C20" i="2"/>
  <c r="E20" i="2" s="1"/>
  <c r="D20" i="2"/>
  <c r="F41" i="1" s="1"/>
  <c r="F63" i="1" s="1"/>
  <c r="T55" i="1" s="1"/>
  <c r="C16" i="2"/>
  <c r="C18" i="2"/>
  <c r="C15" i="2"/>
  <c r="E15" i="2" s="1"/>
  <c r="C14" i="2"/>
  <c r="C12" i="2"/>
  <c r="C11" i="2"/>
  <c r="E11" i="2" s="1"/>
  <c r="C7" i="2"/>
  <c r="A64" i="1"/>
  <c r="A63" i="1"/>
  <c r="A62" i="1"/>
  <c r="X16" i="1" l="1"/>
  <c r="AF16" i="1"/>
  <c r="Y16" i="1"/>
  <c r="AG16" i="1"/>
  <c r="AO16" i="1"/>
  <c r="AA16" i="1"/>
  <c r="AI16" i="1"/>
  <c r="AQ16" i="1"/>
  <c r="V16" i="1"/>
  <c r="C4" i="3" s="1"/>
  <c r="H4" i="3" s="1"/>
  <c r="Z16" i="1"/>
  <c r="AH16" i="1"/>
  <c r="AP16" i="1"/>
  <c r="AJ16" i="1"/>
  <c r="AN16" i="1"/>
  <c r="AB16" i="1"/>
  <c r="AC16" i="1"/>
  <c r="AK16" i="1"/>
  <c r="U16" i="1"/>
  <c r="B4" i="3" s="1"/>
  <c r="G4" i="3" s="1"/>
  <c r="AD16" i="1"/>
  <c r="AL16" i="1"/>
  <c r="W16" i="1"/>
  <c r="AE16" i="1"/>
  <c r="AM16" i="1"/>
  <c r="T33" i="1"/>
  <c r="F42" i="1"/>
  <c r="F64" i="1" l="1"/>
  <c r="T56" i="1" s="1"/>
  <c r="T34" i="1"/>
  <c r="Z33" i="1"/>
  <c r="AH33" i="1"/>
  <c r="AP33" i="1"/>
  <c r="V33" i="1"/>
  <c r="C21" i="3" s="1"/>
  <c r="H21" i="3" s="1"/>
  <c r="AB33" i="1"/>
  <c r="U33" i="1"/>
  <c r="B21" i="3" s="1"/>
  <c r="G21" i="3" s="1"/>
  <c r="AC33" i="1"/>
  <c r="AK33" i="1"/>
  <c r="AN33" i="1"/>
  <c r="Y33" i="1"/>
  <c r="AO33" i="1"/>
  <c r="AA33" i="1"/>
  <c r="AI33" i="1"/>
  <c r="AQ33" i="1"/>
  <c r="AJ33" i="1"/>
  <c r="X33" i="1"/>
  <c r="AF33" i="1"/>
  <c r="AG33" i="1"/>
  <c r="AD33" i="1"/>
  <c r="AL33" i="1"/>
  <c r="W33" i="1"/>
  <c r="AE33" i="1"/>
  <c r="AM33" i="1"/>
  <c r="AC34" i="1" l="1"/>
  <c r="AK34" i="1"/>
  <c r="W34" i="1"/>
  <c r="AM34" i="1"/>
  <c r="X34" i="1"/>
  <c r="AN34" i="1"/>
  <c r="AI34" i="1"/>
  <c r="AJ34" i="1"/>
  <c r="V34" i="1"/>
  <c r="C22" i="3" s="1"/>
  <c r="H22" i="3" s="1"/>
  <c r="AD34" i="1"/>
  <c r="AL34" i="1"/>
  <c r="U34" i="1"/>
  <c r="B22" i="3" s="1"/>
  <c r="G22" i="3" s="1"/>
  <c r="AE34" i="1"/>
  <c r="AF34" i="1"/>
  <c r="AA34" i="1"/>
  <c r="AQ34" i="1"/>
  <c r="AB34" i="1"/>
  <c r="Y34" i="1"/>
  <c r="AG34" i="1"/>
  <c r="AO34" i="1"/>
  <c r="Z34" i="1"/>
  <c r="AH34" i="1"/>
  <c r="AP34" i="1"/>
  <c r="F1" i="6" l="1"/>
  <c r="B18" i="3" l="1"/>
  <c r="G18" i="3" s="1"/>
  <c r="C18" i="3"/>
  <c r="H18" i="3" s="1"/>
  <c r="S36" i="1" l="1"/>
  <c r="S37" i="1"/>
  <c r="S38" i="1"/>
  <c r="S39" i="1"/>
  <c r="S40" i="1"/>
  <c r="S41" i="1"/>
  <c r="S42" i="1"/>
  <c r="S43" i="1"/>
  <c r="S44" i="1"/>
  <c r="S45" i="1"/>
  <c r="S46" i="1"/>
  <c r="S47" i="1"/>
  <c r="S48" i="1"/>
  <c r="S49" i="1"/>
  <c r="S50" i="1"/>
  <c r="S51" i="1"/>
  <c r="S52" i="1"/>
  <c r="S53" i="1"/>
  <c r="S54" i="1"/>
  <c r="F31" i="1" l="1"/>
  <c r="A11" i="7" l="1"/>
  <c r="B11" i="7"/>
  <c r="C10" i="6" l="1"/>
  <c r="C9" i="6"/>
  <c r="H30" i="1" l="1"/>
  <c r="H29" i="1" s="1"/>
  <c r="B1" i="3" l="1"/>
  <c r="C1" i="3"/>
  <c r="D16" i="2"/>
  <c r="E16" i="2" s="1"/>
  <c r="D12" i="2"/>
  <c r="E12" i="2" s="1"/>
  <c r="D26" i="2" l="1"/>
  <c r="C26" i="2"/>
  <c r="F20" i="2"/>
  <c r="O11" i="2" s="1"/>
  <c r="E18" i="2"/>
  <c r="F18" i="2" s="1"/>
  <c r="O10" i="2" s="1"/>
  <c r="F16" i="2"/>
  <c r="O9" i="2" s="1"/>
  <c r="F15" i="2"/>
  <c r="O8" i="2" s="1"/>
  <c r="E14" i="2"/>
  <c r="F14" i="2" s="1"/>
  <c r="F12" i="2"/>
  <c r="O6" i="2" s="1"/>
  <c r="F11" i="2"/>
  <c r="O5" i="2" s="1"/>
  <c r="D7" i="2"/>
  <c r="E7" i="2" s="1"/>
  <c r="E26" i="2" l="1"/>
  <c r="F26" i="2" s="1"/>
  <c r="V8" i="2"/>
  <c r="AD8" i="2"/>
  <c r="AL8" i="2"/>
  <c r="W8" i="2"/>
  <c r="AE8" i="2"/>
  <c r="X8" i="2"/>
  <c r="AF8" i="2"/>
  <c r="AA8" i="2"/>
  <c r="Y8" i="2"/>
  <c r="AG8" i="2"/>
  <c r="R8" i="2"/>
  <c r="Z8" i="2"/>
  <c r="AH8" i="2"/>
  <c r="Q8" i="2"/>
  <c r="S8" i="2"/>
  <c r="AI8" i="2"/>
  <c r="T8" i="2"/>
  <c r="AB8" i="2"/>
  <c r="AJ8" i="2"/>
  <c r="U8" i="2"/>
  <c r="AC8" i="2"/>
  <c r="AK8" i="2"/>
  <c r="X6" i="2"/>
  <c r="AF6" i="2"/>
  <c r="Y6" i="2"/>
  <c r="AG6" i="2"/>
  <c r="R6" i="2"/>
  <c r="Z6" i="2"/>
  <c r="AH6" i="2"/>
  <c r="Q6" i="2"/>
  <c r="S6" i="2"/>
  <c r="AA6" i="2"/>
  <c r="AI6" i="2"/>
  <c r="T6" i="2"/>
  <c r="AB6" i="2"/>
  <c r="AJ6" i="2"/>
  <c r="U6" i="2"/>
  <c r="AC6" i="2"/>
  <c r="AK6" i="2"/>
  <c r="V6" i="2"/>
  <c r="AD6" i="2"/>
  <c r="AL6" i="2"/>
  <c r="W6" i="2"/>
  <c r="AE6" i="2"/>
  <c r="Y9" i="2"/>
  <c r="AG9" i="2"/>
  <c r="Z9" i="2"/>
  <c r="R9" i="2"/>
  <c r="S9" i="2"/>
  <c r="AA9" i="2"/>
  <c r="AI9" i="2"/>
  <c r="V9" i="2"/>
  <c r="AD9" i="2"/>
  <c r="Q9" i="2"/>
  <c r="T9" i="2"/>
  <c r="AB9" i="2"/>
  <c r="AJ9" i="2"/>
  <c r="U9" i="2"/>
  <c r="AC9" i="2"/>
  <c r="AK9" i="2"/>
  <c r="AL9" i="2"/>
  <c r="W9" i="2"/>
  <c r="AE9" i="2"/>
  <c r="AH9" i="2"/>
  <c r="X9" i="2"/>
  <c r="AF9" i="2"/>
  <c r="W11" i="2"/>
  <c r="AE11" i="2"/>
  <c r="AF11" i="2"/>
  <c r="Y11" i="2"/>
  <c r="AG11" i="2"/>
  <c r="T11" i="2"/>
  <c r="AB11" i="2"/>
  <c r="R11" i="2"/>
  <c r="Z11" i="2"/>
  <c r="AH11" i="2"/>
  <c r="S11" i="2"/>
  <c r="AA11" i="2"/>
  <c r="AI11" i="2"/>
  <c r="AJ11" i="2"/>
  <c r="U11" i="2"/>
  <c r="AC11" i="2"/>
  <c r="AK11" i="2"/>
  <c r="X11" i="2"/>
  <c r="V11" i="2"/>
  <c r="AD11" i="2"/>
  <c r="AL11" i="2"/>
  <c r="Q11" i="2"/>
  <c r="T10" i="2"/>
  <c r="AB10" i="2"/>
  <c r="AJ10" i="2"/>
  <c r="AK10" i="2"/>
  <c r="V10" i="2"/>
  <c r="AD10" i="2"/>
  <c r="AL10" i="2"/>
  <c r="Y10" i="2"/>
  <c r="W10" i="2"/>
  <c r="AE10" i="2"/>
  <c r="X10" i="2"/>
  <c r="AF10" i="2"/>
  <c r="AG10" i="2"/>
  <c r="R10" i="2"/>
  <c r="Z10" i="2"/>
  <c r="AH10" i="2"/>
  <c r="Q10" i="2"/>
  <c r="AC10" i="2"/>
  <c r="S10" i="2"/>
  <c r="AA10" i="2"/>
  <c r="AI10" i="2"/>
  <c r="U10" i="2"/>
  <c r="U5" i="2"/>
  <c r="AC5" i="2"/>
  <c r="AK5" i="2"/>
  <c r="AD5" i="2"/>
  <c r="V5" i="2"/>
  <c r="W5" i="2"/>
  <c r="AE5" i="2"/>
  <c r="X5" i="2"/>
  <c r="AF5" i="2"/>
  <c r="Y5" i="2"/>
  <c r="AG5" i="2"/>
  <c r="R5" i="2"/>
  <c r="Z5" i="2"/>
  <c r="AH5" i="2"/>
  <c r="S5" i="2"/>
  <c r="AA5" i="2"/>
  <c r="AI5" i="2"/>
  <c r="AL5" i="2"/>
  <c r="T5" i="2"/>
  <c r="AB5" i="2"/>
  <c r="AJ5" i="2"/>
  <c r="Q5" i="2"/>
  <c r="O7" i="2"/>
  <c r="G15" i="2"/>
  <c r="F7" i="2"/>
  <c r="O3" i="2" s="1"/>
  <c r="P8" i="2"/>
  <c r="P6" i="2"/>
  <c r="P9" i="2"/>
  <c r="P11" i="2"/>
  <c r="P10" i="2"/>
  <c r="P5" i="2"/>
  <c r="Y3" i="2" l="1"/>
  <c r="R3" i="2"/>
  <c r="Z3" i="2"/>
  <c r="AH3" i="2"/>
  <c r="S3" i="2"/>
  <c r="AI3" i="2"/>
  <c r="T3" i="2"/>
  <c r="AB3" i="2"/>
  <c r="AJ3" i="2"/>
  <c r="U3" i="2"/>
  <c r="AC3" i="2"/>
  <c r="AA3" i="2"/>
  <c r="AK3" i="2"/>
  <c r="V3" i="2"/>
  <c r="AD3" i="2"/>
  <c r="AL3" i="2"/>
  <c r="W3" i="2"/>
  <c r="AE3" i="2"/>
  <c r="X3" i="2"/>
  <c r="AF3" i="2"/>
  <c r="Q3" i="2"/>
  <c r="AG3" i="2"/>
  <c r="P7" i="2"/>
  <c r="P13" i="2" s="1"/>
  <c r="B23" i="3" s="1"/>
  <c r="G23" i="3" s="1"/>
  <c r="S7" i="2"/>
  <c r="AA7" i="2"/>
  <c r="AI7" i="2"/>
  <c r="T7" i="2"/>
  <c r="AB7" i="2"/>
  <c r="AJ7" i="2"/>
  <c r="U7" i="2"/>
  <c r="AC7" i="2"/>
  <c r="AK7" i="2"/>
  <c r="V7" i="2"/>
  <c r="AD7" i="2"/>
  <c r="AL7" i="2"/>
  <c r="Q7" i="2"/>
  <c r="Q13" i="2" s="1"/>
  <c r="C23" i="3" s="1"/>
  <c r="H23" i="3" s="1"/>
  <c r="W7" i="2"/>
  <c r="AE7" i="2"/>
  <c r="X7" i="2"/>
  <c r="AF7" i="2"/>
  <c r="Y7" i="2"/>
  <c r="AG7" i="2"/>
  <c r="R7" i="2"/>
  <c r="Z7" i="2"/>
  <c r="AH7" i="2"/>
  <c r="B27" i="3"/>
  <c r="G27" i="3" s="1"/>
  <c r="B30" i="3"/>
  <c r="G30" i="3" s="1"/>
  <c r="C32" i="3"/>
  <c r="H32" i="3" s="1"/>
  <c r="C30" i="3"/>
  <c r="H30" i="3" s="1"/>
  <c r="C31" i="3"/>
  <c r="H31" i="3" s="1"/>
  <c r="B32" i="3"/>
  <c r="G32" i="3" s="1"/>
  <c r="C26" i="3"/>
  <c r="H26" i="3" s="1"/>
  <c r="B31" i="3"/>
  <c r="G31" i="3" s="1"/>
  <c r="B26" i="3"/>
  <c r="G26" i="3" s="1"/>
  <c r="P3" i="2"/>
  <c r="C29" i="3"/>
  <c r="H29" i="3" s="1"/>
  <c r="C27" i="3"/>
  <c r="H27" i="3" s="1"/>
  <c r="B29" i="3"/>
  <c r="G29" i="3" s="1"/>
  <c r="A2" i="3"/>
  <c r="A3" i="3"/>
  <c r="A5" i="3"/>
  <c r="B28" i="3" l="1"/>
  <c r="G28" i="3" s="1"/>
  <c r="C28" i="3"/>
  <c r="H28" i="3" s="1"/>
  <c r="B24" i="3"/>
  <c r="G24" i="3" s="1"/>
  <c r="C24" i="3"/>
  <c r="H24" i="3" s="1"/>
  <c r="I28" i="1"/>
  <c r="I29" i="1"/>
  <c r="I30" i="1"/>
  <c r="I27" i="1"/>
  <c r="D25" i="1"/>
  <c r="D27" i="1"/>
  <c r="J30" i="1" l="1"/>
  <c r="J28" i="1"/>
  <c r="J27" i="1"/>
  <c r="J29" i="1"/>
  <c r="J31" i="1" l="1"/>
  <c r="F33" i="1"/>
  <c r="M24" i="1"/>
  <c r="K25" i="1" s="1"/>
  <c r="B26" i="1" l="1"/>
  <c r="B27" i="1"/>
  <c r="B28" i="1"/>
  <c r="B25" i="1"/>
  <c r="N27" i="1"/>
  <c r="G33" i="1"/>
  <c r="F38" i="1" s="1"/>
  <c r="T27" i="1"/>
  <c r="F57" i="1"/>
  <c r="T49" i="1" s="1"/>
  <c r="F56" i="1" l="1"/>
  <c r="T48" i="1" s="1"/>
  <c r="AC27" i="1"/>
  <c r="AK27" i="1"/>
  <c r="U27" i="1"/>
  <c r="B15" i="3" s="1"/>
  <c r="G15" i="3" s="1"/>
  <c r="AD27" i="1"/>
  <c r="AL27" i="1"/>
  <c r="W27" i="1"/>
  <c r="AE27" i="1"/>
  <c r="AM27" i="1"/>
  <c r="X27" i="1"/>
  <c r="AF27" i="1"/>
  <c r="AN27" i="1"/>
  <c r="Y27" i="1"/>
  <c r="AG27" i="1"/>
  <c r="AO27" i="1"/>
  <c r="Z27" i="1"/>
  <c r="AH27" i="1"/>
  <c r="AP27" i="1"/>
  <c r="AA27" i="1"/>
  <c r="AI27" i="1"/>
  <c r="AQ27" i="1"/>
  <c r="AB27" i="1"/>
  <c r="AJ27" i="1"/>
  <c r="V27" i="1"/>
  <c r="C15" i="3" s="1"/>
  <c r="H15" i="3" s="1"/>
  <c r="F25" i="1"/>
  <c r="F28" i="1"/>
  <c r="T23" i="1" s="1"/>
  <c r="F26" i="1"/>
  <c r="F27" i="1"/>
  <c r="T26" i="1"/>
  <c r="F37" i="1"/>
  <c r="F36" i="1"/>
  <c r="T30" i="1" s="1"/>
  <c r="F34" i="1"/>
  <c r="T28" i="1" s="1"/>
  <c r="T32" i="1"/>
  <c r="AC32" i="1" l="1"/>
  <c r="AK32" i="1"/>
  <c r="U32" i="1"/>
  <c r="AP32" i="1"/>
  <c r="W32" i="1"/>
  <c r="AE32" i="1"/>
  <c r="AM32" i="1"/>
  <c r="AH32" i="1"/>
  <c r="X32" i="1"/>
  <c r="AF32" i="1"/>
  <c r="AN32" i="1"/>
  <c r="Y32" i="1"/>
  <c r="AG32" i="1"/>
  <c r="AO32" i="1"/>
  <c r="AA32" i="1"/>
  <c r="AI32" i="1"/>
  <c r="AQ32" i="1"/>
  <c r="AD32" i="1"/>
  <c r="Z32" i="1"/>
  <c r="AB32" i="1"/>
  <c r="AJ32" i="1"/>
  <c r="V32" i="1"/>
  <c r="AL32" i="1"/>
  <c r="AD28" i="1"/>
  <c r="AL28" i="1"/>
  <c r="AJ28" i="1"/>
  <c r="AK28" i="1"/>
  <c r="W28" i="1"/>
  <c r="AE28" i="1"/>
  <c r="AM28" i="1"/>
  <c r="AG28" i="1"/>
  <c r="X28" i="1"/>
  <c r="AF28" i="1"/>
  <c r="AN28" i="1"/>
  <c r="Y28" i="1"/>
  <c r="V28" i="1"/>
  <c r="C16" i="3" s="1"/>
  <c r="H16" i="3" s="1"/>
  <c r="AO28" i="1"/>
  <c r="Z28" i="1"/>
  <c r="AH28" i="1"/>
  <c r="AP28" i="1"/>
  <c r="AQ28" i="1"/>
  <c r="AB28" i="1"/>
  <c r="AC28" i="1"/>
  <c r="AA28" i="1"/>
  <c r="AI28" i="1"/>
  <c r="U28" i="1"/>
  <c r="B16" i="3" s="1"/>
  <c r="G16" i="3" s="1"/>
  <c r="AC23" i="1"/>
  <c r="AK23" i="1"/>
  <c r="U23" i="1"/>
  <c r="B11" i="3" s="1"/>
  <c r="G11" i="3" s="1"/>
  <c r="AD23" i="1"/>
  <c r="AL23" i="1"/>
  <c r="AE23" i="1"/>
  <c r="AM23" i="1"/>
  <c r="X23" i="1"/>
  <c r="AF23" i="1"/>
  <c r="AN23" i="1"/>
  <c r="Y23" i="1"/>
  <c r="AO23" i="1"/>
  <c r="AH23" i="1"/>
  <c r="AI23" i="1"/>
  <c r="AJ23" i="1"/>
  <c r="W23" i="1"/>
  <c r="AG23" i="1"/>
  <c r="Z23" i="1"/>
  <c r="AP23" i="1"/>
  <c r="AQ23" i="1"/>
  <c r="V23" i="1"/>
  <c r="C11" i="3" s="1"/>
  <c r="H11" i="3" s="1"/>
  <c r="AB23" i="1"/>
  <c r="AA23" i="1"/>
  <c r="T14" i="1"/>
  <c r="AC26" i="1"/>
  <c r="AK26" i="1"/>
  <c r="AD26" i="1"/>
  <c r="AL26" i="1"/>
  <c r="V26" i="1"/>
  <c r="C14" i="3" s="1"/>
  <c r="H14" i="3" s="1"/>
  <c r="W26" i="1"/>
  <c r="AE26" i="1"/>
  <c r="AM26" i="1"/>
  <c r="X26" i="1"/>
  <c r="AF26" i="1"/>
  <c r="AN26" i="1"/>
  <c r="U26" i="1"/>
  <c r="B14" i="3" s="1"/>
  <c r="G14" i="3" s="1"/>
  <c r="AH26" i="1"/>
  <c r="AJ26" i="1"/>
  <c r="Y26" i="1"/>
  <c r="AG26" i="1"/>
  <c r="AO26" i="1"/>
  <c r="Z26" i="1"/>
  <c r="AP26" i="1"/>
  <c r="AB26" i="1"/>
  <c r="AA26" i="1"/>
  <c r="AI26" i="1"/>
  <c r="AQ26" i="1"/>
  <c r="F35" i="1"/>
  <c r="T29" i="1" s="1"/>
  <c r="F58" i="1"/>
  <c r="T50" i="1" s="1"/>
  <c r="K9" i="2"/>
  <c r="D9" i="2" s="1"/>
  <c r="E9" i="2" s="1"/>
  <c r="F48" i="1"/>
  <c r="T40" i="1" s="1"/>
  <c r="F47" i="1"/>
  <c r="T39" i="1" s="1"/>
  <c r="F45" i="1"/>
  <c r="T37" i="1" s="1"/>
  <c r="T21" i="1"/>
  <c r="P28" i="1"/>
  <c r="F51" i="1"/>
  <c r="T43" i="1" s="1"/>
  <c r="F53" i="1"/>
  <c r="T45" i="1" s="1"/>
  <c r="F50" i="1"/>
  <c r="T42" i="1" s="1"/>
  <c r="P27" i="1"/>
  <c r="Q27" i="1" s="1"/>
  <c r="T20" i="1"/>
  <c r="F49" i="1"/>
  <c r="T41" i="1" s="1"/>
  <c r="F52" i="1"/>
  <c r="T44" i="1" s="1"/>
  <c r="T22" i="1"/>
  <c r="F61" i="1"/>
  <c r="T53" i="1" s="1"/>
  <c r="F60" i="1"/>
  <c r="T52" i="1" s="1"/>
  <c r="T31" i="1"/>
  <c r="F19" i="1"/>
  <c r="F67" i="1" s="1"/>
  <c r="F44" i="1"/>
  <c r="T36" i="1" s="1"/>
  <c r="T19" i="1"/>
  <c r="T18" i="1"/>
  <c r="F46" i="1"/>
  <c r="T38" i="1" s="1"/>
  <c r="T54" i="1"/>
  <c r="T17" i="1" l="1"/>
  <c r="T58" i="1"/>
  <c r="L9" i="2"/>
  <c r="Y53" i="1"/>
  <c r="AO53" i="1"/>
  <c r="AP53" i="1"/>
  <c r="Z53" i="1"/>
  <c r="V53" i="1"/>
  <c r="AA53" i="1"/>
  <c r="AI53" i="1"/>
  <c r="AQ53" i="1"/>
  <c r="AC53" i="1"/>
  <c r="U53" i="1"/>
  <c r="AH53" i="1"/>
  <c r="AB53" i="1"/>
  <c r="AJ53" i="1"/>
  <c r="AK53" i="1"/>
  <c r="AD53" i="1"/>
  <c r="AL53" i="1"/>
  <c r="W53" i="1"/>
  <c r="AE53" i="1"/>
  <c r="AM53" i="1"/>
  <c r="X53" i="1"/>
  <c r="AF53" i="1"/>
  <c r="AN53" i="1"/>
  <c r="AG53" i="1"/>
  <c r="AJ54" i="1"/>
  <c r="AD54" i="1"/>
  <c r="AL54" i="1"/>
  <c r="X54" i="1"/>
  <c r="AF54" i="1"/>
  <c r="AN54" i="1"/>
  <c r="Y54" i="1"/>
  <c r="V54" i="1"/>
  <c r="W54" i="1"/>
  <c r="AE54" i="1"/>
  <c r="AM54" i="1"/>
  <c r="AO54" i="1"/>
  <c r="AG54" i="1"/>
  <c r="AK54" i="1"/>
  <c r="Z54" i="1"/>
  <c r="AH54" i="1"/>
  <c r="AP54" i="1"/>
  <c r="AA54" i="1"/>
  <c r="AI54" i="1"/>
  <c r="AQ54" i="1"/>
  <c r="U54" i="1"/>
  <c r="AB54" i="1"/>
  <c r="AC54" i="1"/>
  <c r="AK38" i="1"/>
  <c r="AD38" i="1"/>
  <c r="AL38" i="1"/>
  <c r="W38" i="1"/>
  <c r="AE38" i="1"/>
  <c r="AM38" i="1"/>
  <c r="Y38" i="1"/>
  <c r="AG38" i="1"/>
  <c r="AO38" i="1"/>
  <c r="AH38" i="1"/>
  <c r="AP38" i="1"/>
  <c r="V38" i="1"/>
  <c r="X38" i="1"/>
  <c r="AF38" i="1"/>
  <c r="AN38" i="1"/>
  <c r="Z38" i="1"/>
  <c r="AA38" i="1"/>
  <c r="AI38" i="1"/>
  <c r="AQ38" i="1"/>
  <c r="AB38" i="1"/>
  <c r="AJ38" i="1"/>
  <c r="AC38" i="1"/>
  <c r="U38" i="1"/>
  <c r="X39" i="1"/>
  <c r="AF39" i="1"/>
  <c r="AN39" i="1"/>
  <c r="Y39" i="1"/>
  <c r="AG39" i="1"/>
  <c r="AO39" i="1"/>
  <c r="Z39" i="1"/>
  <c r="AH39" i="1"/>
  <c r="AP39" i="1"/>
  <c r="AJ39" i="1"/>
  <c r="AK39" i="1"/>
  <c r="AA39" i="1"/>
  <c r="AI39" i="1"/>
  <c r="AQ39" i="1"/>
  <c r="AB39" i="1"/>
  <c r="V39" i="1"/>
  <c r="AC39" i="1"/>
  <c r="AD39" i="1"/>
  <c r="AL39" i="1"/>
  <c r="W39" i="1"/>
  <c r="AE39" i="1"/>
  <c r="AM39" i="1"/>
  <c r="U39" i="1"/>
  <c r="AI40" i="1"/>
  <c r="AB40" i="1"/>
  <c r="AJ40" i="1"/>
  <c r="AC40" i="1"/>
  <c r="AK40" i="1"/>
  <c r="U40" i="1"/>
  <c r="W40" i="1"/>
  <c r="AE40" i="1"/>
  <c r="AF40" i="1"/>
  <c r="AD40" i="1"/>
  <c r="AL40" i="1"/>
  <c r="V40" i="1"/>
  <c r="AM40" i="1"/>
  <c r="X40" i="1"/>
  <c r="AN40" i="1"/>
  <c r="Y40" i="1"/>
  <c r="AG40" i="1"/>
  <c r="AO40" i="1"/>
  <c r="Z40" i="1"/>
  <c r="AH40" i="1"/>
  <c r="AP40" i="1"/>
  <c r="AA40" i="1"/>
  <c r="AQ40" i="1"/>
  <c r="Z36" i="1"/>
  <c r="AH36" i="1"/>
  <c r="AP36" i="1"/>
  <c r="AA36" i="1"/>
  <c r="AI36" i="1"/>
  <c r="AQ36" i="1"/>
  <c r="AB36" i="1"/>
  <c r="AJ36" i="1"/>
  <c r="AL36" i="1"/>
  <c r="AE36" i="1"/>
  <c r="AC36" i="1"/>
  <c r="AK36" i="1"/>
  <c r="AD36" i="1"/>
  <c r="W36" i="1"/>
  <c r="U36" i="1"/>
  <c r="AM36" i="1"/>
  <c r="X36" i="1"/>
  <c r="AF36" i="1"/>
  <c r="AN36" i="1"/>
  <c r="V36" i="1"/>
  <c r="Y36" i="1"/>
  <c r="AG36" i="1"/>
  <c r="AO36" i="1"/>
  <c r="AB22" i="1"/>
  <c r="AJ22" i="1"/>
  <c r="V22" i="1"/>
  <c r="C10" i="3" s="1"/>
  <c r="H10" i="3" s="1"/>
  <c r="AD22" i="1"/>
  <c r="AC22" i="1"/>
  <c r="AK22" i="1"/>
  <c r="U22" i="1"/>
  <c r="B10" i="3" s="1"/>
  <c r="G10" i="3" s="1"/>
  <c r="AL22" i="1"/>
  <c r="X22" i="1"/>
  <c r="AF22" i="1"/>
  <c r="Y22" i="1"/>
  <c r="AG22" i="1"/>
  <c r="AO22" i="1"/>
  <c r="AQ22" i="1"/>
  <c r="W22" i="1"/>
  <c r="AE22" i="1"/>
  <c r="AM22" i="1"/>
  <c r="Z22" i="1"/>
  <c r="AH22" i="1"/>
  <c r="AP22" i="1"/>
  <c r="AA22" i="1"/>
  <c r="AI22" i="1"/>
  <c r="AN22" i="1"/>
  <c r="X20" i="1"/>
  <c r="AF20" i="1"/>
  <c r="AN20" i="1"/>
  <c r="AQ20" i="1"/>
  <c r="Y20" i="1"/>
  <c r="AG20" i="1"/>
  <c r="AO20" i="1"/>
  <c r="AK20" i="1"/>
  <c r="Z20" i="1"/>
  <c r="AH20" i="1"/>
  <c r="AP20" i="1"/>
  <c r="W20" i="1"/>
  <c r="AA20" i="1"/>
  <c r="AI20" i="1"/>
  <c r="AM20" i="1"/>
  <c r="AB20" i="1"/>
  <c r="AJ20" i="1"/>
  <c r="V20" i="1"/>
  <c r="C8" i="3" s="1"/>
  <c r="H8" i="3" s="1"/>
  <c r="U20" i="1"/>
  <c r="B8" i="3" s="1"/>
  <c r="G8" i="3" s="1"/>
  <c r="AC20" i="1"/>
  <c r="AE20" i="1"/>
  <c r="AD20" i="1"/>
  <c r="AL20" i="1"/>
  <c r="Y31" i="1"/>
  <c r="AG31" i="1"/>
  <c r="AO31" i="1"/>
  <c r="Z31" i="1"/>
  <c r="AH31" i="1"/>
  <c r="AP31" i="1"/>
  <c r="U31" i="1"/>
  <c r="AL31" i="1"/>
  <c r="AA31" i="1"/>
  <c r="AI31" i="1"/>
  <c r="AQ31" i="1"/>
  <c r="AB31" i="1"/>
  <c r="AJ31" i="1"/>
  <c r="AD31" i="1"/>
  <c r="AC31" i="1"/>
  <c r="AK31" i="1"/>
  <c r="W31" i="1"/>
  <c r="AE31" i="1"/>
  <c r="AM31" i="1"/>
  <c r="X31" i="1"/>
  <c r="AF31" i="1"/>
  <c r="AN31" i="1"/>
  <c r="V31" i="1"/>
  <c r="X19" i="1"/>
  <c r="AF19" i="1"/>
  <c r="AN19" i="1"/>
  <c r="Y19" i="1"/>
  <c r="AG19" i="1"/>
  <c r="AO19" i="1"/>
  <c r="AK19" i="1"/>
  <c r="W19" i="1"/>
  <c r="Z19" i="1"/>
  <c r="AH19" i="1"/>
  <c r="AP19" i="1"/>
  <c r="AC19" i="1"/>
  <c r="AA19" i="1"/>
  <c r="AI19" i="1"/>
  <c r="AQ19" i="1"/>
  <c r="U19" i="1"/>
  <c r="B7" i="3" s="1"/>
  <c r="G7" i="3" s="1"/>
  <c r="AB19" i="1"/>
  <c r="AJ19" i="1"/>
  <c r="V19" i="1"/>
  <c r="C7" i="3" s="1"/>
  <c r="H7" i="3" s="1"/>
  <c r="AM19" i="1"/>
  <c r="AD19" i="1"/>
  <c r="AL19" i="1"/>
  <c r="AE19" i="1"/>
  <c r="AC18" i="1"/>
  <c r="AK18" i="1"/>
  <c r="U18" i="1"/>
  <c r="B6" i="3" s="1"/>
  <c r="G6" i="3" s="1"/>
  <c r="AE18" i="1"/>
  <c r="AP18" i="1"/>
  <c r="AD18" i="1"/>
  <c r="AL18" i="1"/>
  <c r="W18" i="1"/>
  <c r="V18" i="1"/>
  <c r="C6" i="3" s="1"/>
  <c r="H6" i="3" s="1"/>
  <c r="AM18" i="1"/>
  <c r="AA18" i="1"/>
  <c r="X18" i="1"/>
  <c r="AF18" i="1"/>
  <c r="AN18" i="1"/>
  <c r="Y18" i="1"/>
  <c r="AG18" i="1"/>
  <c r="AO18" i="1"/>
  <c r="AQ18" i="1"/>
  <c r="Z18" i="1"/>
  <c r="AH18" i="1"/>
  <c r="AI18" i="1"/>
  <c r="AB18" i="1"/>
  <c r="AJ18" i="1"/>
  <c r="AD29" i="1"/>
  <c r="AL29" i="1"/>
  <c r="W29" i="1"/>
  <c r="AE29" i="1"/>
  <c r="AM29" i="1"/>
  <c r="X29" i="1"/>
  <c r="AF29" i="1"/>
  <c r="AN29" i="1"/>
  <c r="U29" i="1"/>
  <c r="B17" i="3" s="1"/>
  <c r="G17" i="3" s="1"/>
  <c r="AQ29" i="1"/>
  <c r="Y29" i="1"/>
  <c r="AG29" i="1"/>
  <c r="AO29" i="1"/>
  <c r="Z29" i="1"/>
  <c r="AH29" i="1"/>
  <c r="AP29" i="1"/>
  <c r="AI29" i="1"/>
  <c r="AA29" i="1"/>
  <c r="V29" i="1"/>
  <c r="C17" i="3" s="1"/>
  <c r="H17" i="3" s="1"/>
  <c r="AB29" i="1"/>
  <c r="AJ29" i="1"/>
  <c r="AC29" i="1"/>
  <c r="AK29" i="1"/>
  <c r="AD14" i="1"/>
  <c r="AL14" i="1"/>
  <c r="X14" i="1"/>
  <c r="AN14" i="1"/>
  <c r="V14" i="1"/>
  <c r="AK14" i="1"/>
  <c r="W14" i="1"/>
  <c r="AE14" i="1"/>
  <c r="AM14" i="1"/>
  <c r="AF14" i="1"/>
  <c r="AA14" i="1"/>
  <c r="AJ14" i="1"/>
  <c r="Y14" i="1"/>
  <c r="AG14" i="1"/>
  <c r="AO14" i="1"/>
  <c r="AP14" i="1"/>
  <c r="AQ14" i="1"/>
  <c r="AB14" i="1"/>
  <c r="Z14" i="1"/>
  <c r="AH14" i="1"/>
  <c r="AI14" i="1"/>
  <c r="AC14" i="1"/>
  <c r="U14" i="1"/>
  <c r="B2" i="3" s="1"/>
  <c r="G2" i="3" s="1"/>
  <c r="B20" i="3"/>
  <c r="G20" i="3" s="1"/>
  <c r="AD21" i="1"/>
  <c r="AL21" i="1"/>
  <c r="W21" i="1"/>
  <c r="AE21" i="1"/>
  <c r="AM21" i="1"/>
  <c r="X21" i="1"/>
  <c r="AF21" i="1"/>
  <c r="AN21" i="1"/>
  <c r="Y21" i="1"/>
  <c r="AG21" i="1"/>
  <c r="AO21" i="1"/>
  <c r="Z21" i="1"/>
  <c r="AH21" i="1"/>
  <c r="AP21" i="1"/>
  <c r="AA21" i="1"/>
  <c r="AI21" i="1"/>
  <c r="AQ21" i="1"/>
  <c r="AB21" i="1"/>
  <c r="AJ21" i="1"/>
  <c r="V21" i="1"/>
  <c r="C9" i="3" s="1"/>
  <c r="H9" i="3" s="1"/>
  <c r="AC21" i="1"/>
  <c r="AK21" i="1"/>
  <c r="U21" i="1"/>
  <c r="B9" i="3" s="1"/>
  <c r="G9" i="3" s="1"/>
  <c r="F59" i="1"/>
  <c r="T51" i="1" s="1"/>
  <c r="T15" i="1"/>
  <c r="F29" i="1"/>
  <c r="F30" i="1"/>
  <c r="F55" i="1" s="1"/>
  <c r="T47" i="1" s="1"/>
  <c r="F9" i="2"/>
  <c r="E22" i="2"/>
  <c r="C2" i="3" l="1"/>
  <c r="H2" i="3" s="1"/>
  <c r="AD51" i="1"/>
  <c r="W51" i="1"/>
  <c r="X51" i="1"/>
  <c r="AF51" i="1"/>
  <c r="AN51" i="1"/>
  <c r="V51" i="1"/>
  <c r="Z51" i="1"/>
  <c r="AP51" i="1"/>
  <c r="AQ51" i="1"/>
  <c r="Y51" i="1"/>
  <c r="AG51" i="1"/>
  <c r="AO51" i="1"/>
  <c r="U51" i="1"/>
  <c r="AA51" i="1"/>
  <c r="AE51" i="1"/>
  <c r="AH51" i="1"/>
  <c r="AI51" i="1"/>
  <c r="AM51" i="1"/>
  <c r="AB51" i="1"/>
  <c r="AJ51" i="1"/>
  <c r="AC51" i="1"/>
  <c r="AK51" i="1"/>
  <c r="AL51" i="1"/>
  <c r="C19" i="3"/>
  <c r="H19" i="3" s="1"/>
  <c r="B19" i="3"/>
  <c r="G19" i="3" s="1"/>
  <c r="W58" i="1"/>
  <c r="AE58" i="1"/>
  <c r="AM58" i="1"/>
  <c r="AA58" i="1"/>
  <c r="AQ58" i="1"/>
  <c r="U58" i="1"/>
  <c r="B34" i="3" s="1"/>
  <c r="G34" i="3" s="1"/>
  <c r="AD58" i="1"/>
  <c r="AL58" i="1"/>
  <c r="X58" i="1"/>
  <c r="AF58" i="1"/>
  <c r="AN58" i="1"/>
  <c r="AI58" i="1"/>
  <c r="AK58" i="1"/>
  <c r="Y58" i="1"/>
  <c r="AG58" i="1"/>
  <c r="AO58" i="1"/>
  <c r="Z58" i="1"/>
  <c r="AH58" i="1"/>
  <c r="AP58" i="1"/>
  <c r="AC58" i="1"/>
  <c r="AB58" i="1"/>
  <c r="AJ58" i="1"/>
  <c r="V58" i="1"/>
  <c r="C34" i="3" s="1"/>
  <c r="H34" i="3" s="1"/>
  <c r="AQ15" i="1"/>
  <c r="U15" i="1"/>
  <c r="B3" i="3" s="1"/>
  <c r="G3" i="3" s="1"/>
  <c r="AB15" i="1"/>
  <c r="AJ15" i="1"/>
  <c r="AP15" i="1"/>
  <c r="AA15" i="1"/>
  <c r="AC15" i="1"/>
  <c r="AK15" i="1"/>
  <c r="AN15" i="1"/>
  <c r="AI15" i="1"/>
  <c r="AD15" i="1"/>
  <c r="AL15" i="1"/>
  <c r="AH15" i="1"/>
  <c r="W15" i="1"/>
  <c r="AE15" i="1"/>
  <c r="AM15" i="1"/>
  <c r="X15" i="1"/>
  <c r="AF15" i="1"/>
  <c r="V15" i="1"/>
  <c r="C3" i="3" s="1"/>
  <c r="H3" i="3" s="1"/>
  <c r="Y15" i="1"/>
  <c r="AG15" i="1"/>
  <c r="AO15" i="1"/>
  <c r="Z15" i="1"/>
  <c r="W17" i="1"/>
  <c r="AE17" i="1"/>
  <c r="AM17" i="1"/>
  <c r="V17" i="1"/>
  <c r="C5" i="3" s="1"/>
  <c r="H5" i="3" s="1"/>
  <c r="X17" i="1"/>
  <c r="AF17" i="1"/>
  <c r="AN17" i="1"/>
  <c r="AQ17" i="1"/>
  <c r="AK17" i="1"/>
  <c r="Y17" i="1"/>
  <c r="AG17" i="1"/>
  <c r="AO17" i="1"/>
  <c r="AI17" i="1"/>
  <c r="AL17" i="1"/>
  <c r="Z17" i="1"/>
  <c r="AH17" i="1"/>
  <c r="AP17" i="1"/>
  <c r="AA17" i="1"/>
  <c r="AC17" i="1"/>
  <c r="AB17" i="1"/>
  <c r="AJ17" i="1"/>
  <c r="U17" i="1"/>
  <c r="B5" i="3" s="1"/>
  <c r="G5" i="3" s="1"/>
  <c r="AD17" i="1"/>
  <c r="T24" i="1"/>
  <c r="F54" i="1"/>
  <c r="F65" i="1" s="1"/>
  <c r="T25" i="1"/>
  <c r="O4" i="2"/>
  <c r="F22" i="2"/>
  <c r="R4" i="2" l="1"/>
  <c r="Z4" i="2"/>
  <c r="AH4" i="2"/>
  <c r="Q4" i="2"/>
  <c r="Q12" i="2" s="1"/>
  <c r="S4" i="2"/>
  <c r="AA4" i="2"/>
  <c r="T4" i="2"/>
  <c r="AB4" i="2"/>
  <c r="AJ4" i="2"/>
  <c r="U4" i="2"/>
  <c r="AC4" i="2"/>
  <c r="AK4" i="2"/>
  <c r="V4" i="2"/>
  <c r="AD4" i="2"/>
  <c r="AL4" i="2"/>
  <c r="W4" i="2"/>
  <c r="AE4" i="2"/>
  <c r="X4" i="2"/>
  <c r="AF4" i="2"/>
  <c r="Y4" i="2"/>
  <c r="AG4" i="2"/>
  <c r="AI4" i="2"/>
  <c r="W24" i="1"/>
  <c r="AE24" i="1"/>
  <c r="AM24" i="1"/>
  <c r="X24" i="1"/>
  <c r="AF24" i="1"/>
  <c r="AN24" i="1"/>
  <c r="Y24" i="1"/>
  <c r="AG24" i="1"/>
  <c r="AO24" i="1"/>
  <c r="AJ24" i="1"/>
  <c r="Z24" i="1"/>
  <c r="AH24" i="1"/>
  <c r="AP24" i="1"/>
  <c r="V24" i="1"/>
  <c r="C12" i="3" s="1"/>
  <c r="H12" i="3" s="1"/>
  <c r="AA24" i="1"/>
  <c r="AI24" i="1"/>
  <c r="AQ24" i="1"/>
  <c r="AB24" i="1"/>
  <c r="AC24" i="1"/>
  <c r="AK24" i="1"/>
  <c r="U24" i="1"/>
  <c r="B12" i="3" s="1"/>
  <c r="G12" i="3" s="1"/>
  <c r="AD24" i="1"/>
  <c r="AL24" i="1"/>
  <c r="Z25" i="1"/>
  <c r="AH25" i="1"/>
  <c r="AP25" i="1"/>
  <c r="AA25" i="1"/>
  <c r="AI25" i="1"/>
  <c r="AQ25" i="1"/>
  <c r="AB25" i="1"/>
  <c r="AJ25" i="1"/>
  <c r="V25" i="1"/>
  <c r="C13" i="3" s="1"/>
  <c r="H13" i="3" s="1"/>
  <c r="AM25" i="1"/>
  <c r="AO25" i="1"/>
  <c r="AC25" i="1"/>
  <c r="AK25" i="1"/>
  <c r="AD25" i="1"/>
  <c r="AL25" i="1"/>
  <c r="U25" i="1"/>
  <c r="B13" i="3" s="1"/>
  <c r="G13" i="3" s="1"/>
  <c r="AE25" i="1"/>
  <c r="W25" i="1"/>
  <c r="X25" i="1"/>
  <c r="AF25" i="1"/>
  <c r="AN25" i="1"/>
  <c r="Y25" i="1"/>
  <c r="AG25" i="1"/>
  <c r="A72" i="1"/>
  <c r="T46" i="1"/>
  <c r="P4" i="2"/>
  <c r="Q32" i="2" l="1"/>
  <c r="AD46" i="1"/>
  <c r="AL46" i="1"/>
  <c r="V46" i="1"/>
  <c r="AO46" i="1"/>
  <c r="AK46" i="1"/>
  <c r="W46" i="1"/>
  <c r="AE46" i="1"/>
  <c r="AM46" i="1"/>
  <c r="U46" i="1"/>
  <c r="AG46" i="1"/>
  <c r="X46" i="1"/>
  <c r="AF46" i="1"/>
  <c r="AN46" i="1"/>
  <c r="AQ46" i="1"/>
  <c r="AC46" i="1"/>
  <c r="Y46" i="1"/>
  <c r="Z46" i="1"/>
  <c r="AH46" i="1"/>
  <c r="AP46" i="1"/>
  <c r="AI46" i="1"/>
  <c r="AJ46" i="1"/>
  <c r="AA46" i="1"/>
  <c r="AB46" i="1"/>
  <c r="C35" i="3"/>
  <c r="B35" i="3"/>
  <c r="C25" i="3"/>
  <c r="H25" i="3" s="1"/>
  <c r="B25" i="3"/>
  <c r="G25" i="3" s="1"/>
  <c r="P12" i="2"/>
  <c r="AO35" i="1" l="1"/>
  <c r="V35" i="1"/>
  <c r="C33" i="3" s="1"/>
  <c r="H33" i="3" s="1"/>
  <c r="AH35" i="1"/>
  <c r="AG35" i="1"/>
  <c r="AL35" i="1"/>
  <c r="AD35" i="1"/>
  <c r="AM35" i="1"/>
  <c r="AI35" i="1"/>
  <c r="Z35" i="1"/>
  <c r="AB35" i="1"/>
  <c r="AC35" i="1"/>
  <c r="AE35" i="1"/>
  <c r="AP35" i="1"/>
  <c r="Y35" i="1"/>
  <c r="AQ35" i="1"/>
  <c r="W35" i="1"/>
  <c r="AF35" i="1"/>
  <c r="X35" i="1"/>
  <c r="U35" i="1"/>
  <c r="B33" i="3" s="1"/>
  <c r="G33" i="3" s="1"/>
  <c r="G36" i="3" s="1"/>
  <c r="G37" i="3" s="1"/>
  <c r="AA35" i="1"/>
  <c r="AJ35" i="1"/>
  <c r="AN35" i="1"/>
  <c r="AK35" i="1"/>
  <c r="C1" i="9" l="1"/>
  <c r="C13" i="6"/>
  <c r="Y59" i="1"/>
  <c r="AQ59" i="1"/>
  <c r="AG59" i="1"/>
  <c r="AK59" i="1"/>
  <c r="Z59" i="1"/>
  <c r="AE59" i="1"/>
  <c r="AA59" i="1"/>
  <c r="AN59" i="1"/>
  <c r="AL59" i="1"/>
  <c r="AP59" i="1"/>
  <c r="AF59" i="1"/>
  <c r="AO59" i="1"/>
  <c r="AB59" i="1"/>
  <c r="X59" i="1"/>
  <c r="AI59" i="1"/>
  <c r="U59" i="1"/>
  <c r="AD59" i="1"/>
  <c r="AH59" i="1"/>
  <c r="AC59" i="1"/>
  <c r="AM59" i="1"/>
  <c r="W59" i="1"/>
  <c r="AJ59" i="1"/>
  <c r="B36" i="3" l="1"/>
  <c r="B37" i="3" s="1"/>
  <c r="C20" i="3" l="1"/>
  <c r="H20" i="3" s="1"/>
  <c r="H36" i="3" s="1"/>
  <c r="H37" i="3" s="1"/>
  <c r="W84" i="1"/>
  <c r="V59" i="1"/>
  <c r="C2" i="9" l="1"/>
  <c r="D13" i="6"/>
  <c r="C36" i="3"/>
  <c r="C37" i="3" s="1"/>
</calcChain>
</file>

<file path=xl/sharedStrings.xml><?xml version="1.0" encoding="utf-8"?>
<sst xmlns="http://schemas.openxmlformats.org/spreadsheetml/2006/main" count="360" uniqueCount="187">
  <si>
    <t>thickness (nm)</t>
  </si>
  <si>
    <t>area (m2)</t>
  </si>
  <si>
    <t>density (kg/m3)</t>
  </si>
  <si>
    <t>utilization efficiency</t>
  </si>
  <si>
    <t>mass (kg)</t>
  </si>
  <si>
    <t>note</t>
  </si>
  <si>
    <t>Substrate patterning</t>
  </si>
  <si>
    <t>FTO glass</t>
  </si>
  <si>
    <t>-</t>
  </si>
  <si>
    <t>Substrate</t>
  </si>
  <si>
    <t>Ethanol</t>
  </si>
  <si>
    <t>Cleaning</t>
  </si>
  <si>
    <t>Deionized water</t>
  </si>
  <si>
    <t>Blocking layer deposition</t>
  </si>
  <si>
    <t>BL-TiO2 ink</t>
  </si>
  <si>
    <t>density of ethanol</t>
  </si>
  <si>
    <t>ETL deposition</t>
  </si>
  <si>
    <t>Perovskite layer deposition</t>
  </si>
  <si>
    <t>PbI2</t>
  </si>
  <si>
    <t>HTL deposition</t>
  </si>
  <si>
    <t>Cathode deposition</t>
  </si>
  <si>
    <t>Direct emissions</t>
  </si>
  <si>
    <t>Mass of module</t>
  </si>
  <si>
    <t>Solvent of TiO2 paste</t>
  </si>
  <si>
    <t>TiO2</t>
  </si>
  <si>
    <t>Acetonitrile</t>
  </si>
  <si>
    <t>0.1 M</t>
  </si>
  <si>
    <t>uL</t>
  </si>
  <si>
    <t>cm2</t>
  </si>
  <si>
    <t>m2</t>
  </si>
  <si>
    <t>L</t>
  </si>
  <si>
    <t>spiro-OMeTAD</t>
  </si>
  <si>
    <t>Chlorobenzene</t>
  </si>
  <si>
    <t>FAI</t>
  </si>
  <si>
    <t>MABr</t>
  </si>
  <si>
    <t>PbBr2</t>
  </si>
  <si>
    <t>DMF</t>
  </si>
  <si>
    <t>DMSO</t>
  </si>
  <si>
    <t>4-tert-Butylpyridine</t>
  </si>
  <si>
    <t>mol</t>
  </si>
  <si>
    <t>FK209</t>
  </si>
  <si>
    <t>Isopropanol</t>
  </si>
  <si>
    <t>Carbon footprint</t>
  </si>
  <si>
    <t>Primary energy consumption</t>
  </si>
  <si>
    <t xml:space="preserve">ReCiPe Midpoint (E) </t>
  </si>
  <si>
    <t>ReCiPe Endpoint (E,A)</t>
  </si>
  <si>
    <t>agricultural land occupation</t>
  </si>
  <si>
    <t>climate change</t>
  </si>
  <si>
    <t>fossil depletion</t>
  </si>
  <si>
    <t>freshwater ecotoxicity</t>
  </si>
  <si>
    <t>freshwater eutrophication</t>
  </si>
  <si>
    <t>human toxicity</t>
  </si>
  <si>
    <t>ionising radiation</t>
  </si>
  <si>
    <t>marine ecotoxicity</t>
  </si>
  <si>
    <t>marine eutrophication</t>
  </si>
  <si>
    <t>metal depletion</t>
  </si>
  <si>
    <t>natural land transformation</t>
  </si>
  <si>
    <t>ozone depletion</t>
  </si>
  <si>
    <t>particulate matter formation</t>
  </si>
  <si>
    <t>photochemical oxidant formation</t>
  </si>
  <si>
    <t>terrestrial acidification</t>
  </si>
  <si>
    <t>terrestrial ecotoxicity</t>
  </si>
  <si>
    <t>urban land occupation</t>
  </si>
  <si>
    <t>water depletion</t>
  </si>
  <si>
    <t>ecosystem quality</t>
  </si>
  <si>
    <t>human health</t>
  </si>
  <si>
    <t>resources</t>
  </si>
  <si>
    <t>Direcet process energy</t>
  </si>
  <si>
    <t>Power (W)</t>
  </si>
  <si>
    <t>Time (s)</t>
  </si>
  <si>
    <t>Electricity consumption (MJ)</t>
  </si>
  <si>
    <t>Sonication</t>
  </si>
  <si>
    <t>Spray pyrolysis</t>
  </si>
  <si>
    <t>Calcining</t>
  </si>
  <si>
    <t>1st-step spin coating</t>
  </si>
  <si>
    <t>2nd-step spin coating</t>
  </si>
  <si>
    <t>Drying</t>
  </si>
  <si>
    <t>Hole transporter layer deposition</t>
  </si>
  <si>
    <t>Electrode deposition</t>
  </si>
  <si>
    <t>Total</t>
  </si>
  <si>
    <t>kWh</t>
  </si>
  <si>
    <t>UV/O3 cleaning</t>
  </si>
  <si>
    <t>power</t>
  </si>
  <si>
    <t>rate  ml/s</t>
  </si>
  <si>
    <t>time</t>
  </si>
  <si>
    <t>mp-TiO2 spin coating</t>
  </si>
  <si>
    <t>Electricity consumption (kWh)</t>
  </si>
  <si>
    <t>Spiro-OMeTAD spin coating</t>
  </si>
  <si>
    <t>wastewater</t>
  </si>
  <si>
    <t>air</t>
  </si>
  <si>
    <t>molar ratio</t>
  </si>
  <si>
    <t>mass</t>
  </si>
  <si>
    <t>Treatment</t>
  </si>
  <si>
    <t>item</t>
  </si>
  <si>
    <t>unit</t>
  </si>
  <si>
    <t>module 1</t>
  </si>
  <si>
    <t>Insolation</t>
  </si>
  <si>
    <t>kWh/m2/yr</t>
  </si>
  <si>
    <t>EPBT</t>
  </si>
  <si>
    <t>performance ratio</t>
  </si>
  <si>
    <t>CO2 emission factor</t>
  </si>
  <si>
    <t>module efficiency</t>
  </si>
  <si>
    <t>epsilon</t>
  </si>
  <si>
    <t>MJ/kWh</t>
  </si>
  <si>
    <t>lifetime</t>
  </si>
  <si>
    <t>yr</t>
  </si>
  <si>
    <t>primary energy consumption</t>
  </si>
  <si>
    <t>MJ/m2</t>
  </si>
  <si>
    <t>CO2</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</si>
  <si>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</si>
  <si>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</si>
  <si>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</si>
  <si>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</si>
  <si>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</si>
  <si>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</si>
  <si>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</si>
  <si>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</si>
  <si>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</si>
  <si>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</si>
  <si>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</si>
  <si>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</si>
  <si>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b381d8ac-5bae-45d2-bae9-ce2f79d122a3</t>
  </si>
  <si>
    <t>CB_Block_7.0.0.0:1</t>
  </si>
  <si>
    <t>Decisioneering:7.0.0.0</t>
  </si>
  <si>
    <t>CB_Block_0</t>
  </si>
  <si>
    <t>208da5f2-eda1-41d0-b81b-4e857c35f51e</t>
  </si>
  <si>
    <t>㜸〱敤㕣㕢㙣ㅣ㔷ㄹ摥㤹摤㔹敦慣敤搸㡤搳㑢㐲㥢㥡㤶搲㌶づ㙥㥣㌶㤴ㄶ㐲敡㑢㜳挳㠹摤搸㐹㐱㔰㙤挶扢㘷散㘹㜶㘶摣㤹㔹挷㉥㤵㕡愰〵㜱㉢㔰愹㔴㉤攵愲ち㈱昱挲攵㠵㙢㕦㤰㤰㐰㈸㐸㍣㠰〴ㄲて愵㐲㈰〴㐲㤱㄰㠲〷㈴昸扥㌳㌳扢戳扢摥戱扢㙤挱㐵㍥改ㅥ㥦㌹户㌹攷扦㥦晦㍦搳㡣㤲挹㘴晥㡤挴扦㑣㌹ㄶ慥㥤㕢昳〳㘱㡦㑥扡搵慡㈸〷㤶敢昸愳攳㥥㘷慣㑤㕢㝥㤰㐵㠷㝣挹㐲扢慦㤵㝣敢㘱㔱㈸慤〸捦㐷㈷㉤㤳㈹ㄴ㜴ㄵ敤㥣㠴扦挱昸㐱攷愸扥ㅣ戲昹挹㠹㤹㠵〷㌱敢㕣攰㝡㘲晦昰戹㜰散攱戱戱搱戱搱㍢敥ㅣ㝢晢攸㠱晤挳㤳戵㙡㔰昳挴㘱㐷搴〲捦愸敥ㅦ㥥慤㉤㔴慤昲㝢挴摡扣㝢㐱㌸㠷挵挲㠱摢ㄷ㡣㍢摥㌱㜶挷愱㐳收㕤㜷扤愳て慦捥㥣㥥㥣㤸昵㠴改扦㐶㜳㙡㕣昲ㅤ㔳愲㙣㜱㙦㐲㜸㤶戳㌸㍡㌹㠱晦ㄲ敢挷搳㥤愳㜳㑢㐲〴㝣戵昰㠴㔳ㄶ扥㡥㠱扤昶戸敦搷散㘵〲㑦户㡦㘲慢㘵挳て㌴㝢㔲㔴慢扡ㅤ捦㕡戰㘷〰扢慡戱搶㘷捦〹挷户〲㙢挵ち搶昲昶㍣㈶慡昴摢㘷㝤㜱挶㜰ㄶ挵㘹挳ㄶ㥡㝤慣㘶㔵㜲㘱捡㘴㙦㡥愷㐸㉥㑣㙥㝦㜴摣户㈷㤷っ㑦慥挸㈷㘰㔲晡ㅥ昵捡捤㝤㙦散㍣㉦㤷㉥摦挰㌹㙦敡摣て㉤攷っ慦摥㜳愴㜳捦㘸昳捤㉢戸慤㜳晦〴㡣㥡挷摣摡㜹㡣〴㘵㜳㙦愵㌷愲㙦〹㔱㙣㐶捦㌳敢㘱㔶㘰㐶〴敡㐵㘶扤捣晡㤰㈹戹扦㠱㑢㤲〳搹愴㤶っ戵戴愰㤶捡㙡愹愲㤶㠴㕡㌲搵搲愲㕡㕡㔲㑢㤶㕡㝡㔰㉤㕤㐰㥦㌸ㄵ㝡㝡搴㈸晤晤挸慦㙦ㅤ扦敥㔷昷㝣改攴㥦昶晥攳挹㜱扦㙦〷㍡摤ㄷ㉤㙡捡㌳㉥㠲搴ㅡ㔴㝣㜰昴〰晦㙤捣ㄵ㘰ち昳㤰㜹愷㌹㌶㔶㌹㜴挰戸摤搰戸慤ㄴ攴㌷ㄱ捡㈰晡昶㤹昷㕢㑥挵扤㈸㜱㜷敤㠴攱㡢〶攰㐶愲戶〹户收㔴晣㌷慤摦㌸ㄷㄸ㠱搸搳摡搶㤸愴㙤搸ㅣ搸㑡昸昲㝤㝢㕢㠷㥤㌳慡㌵㌱扥㙡㠵捤搷戵㌴摢戳㥥扢搰戹昵愸㈷ㅥ慡户戶慤㘸ㅣ㐲㙤㐵捥摤戶换戰㈹㕣搷昰攴㤲敢ぢ㐷㉥㙦挴㥥戵捡ㄷ㠴㌷㈷㈸ㄲ㐵㐵㙥昵㑡㌶㐵㕣㍦㌲攳㘰愳攰搶捡つ挹㕡昳摥搵〰捣㉣㉡㔸敦戲昰㠲戵㜹㘳愱㉡慥㙡敡ㄲ扥ㄳつ扢㥢慡㡦扡攵㥡㍦改㍡㠱攷㔶㥢㕢挶㉢㉢〶㈴㑤攵㤴㕢ㄱ戹㕣㐶ち〵〸摣㙣㔶㔱㌲晢㍡昳㠲㐴㐴〲挵㘴攴㙢㥡挹㙥昴っ㜶㠷㕤㔴〵㘹㔲㝤换〶㤳㜱扤㔲挶愴㜰㘰㘲㑦搴ㅦ㝣改㉤ㅢ㑣㕢挷摣敢摢㔹㔵㠷愲摤摦扢㈲㥣攰戸攱㔴慡挲㑢搵㝥ち㔷愴て㈰搳㉥㐳㈰㜴㠴ㅥ㔵㥤戲慡慣㘹ㄷ慤㑡戰㤴㕦ㄲ搶攲㔲㠰㍡㘸挸㐲㠱愰㙤㑢晡ㄵ愸搲㜷㌲ㅢ㐲㔶㉣㘶昲扢搸㈹㕦㐴捡㘸㤴㑥㈹扣摣㈴挸㌹慥㠹㤷晢捣愳㔶㌵㄰愱㔰ㅥ㌰㠱㤱㔰慢㐹昴昵㤳㐴㍤愳ㅣ㉡㡣㕤收㈴愸搴戰㥣㘰慤挱户㙤㕣ㄲㄲ搱戶㉣搸㜲戲㠰愲愰㔹ㅥ愴昰ㅡ㠸愶㐵ㅡ愴㜷㑥㄰ㄱ搹㈰㐵戳㘳收㘶㈲㘳晦ㄴㄹ㠱晥㐹㈲㘴敦〳㥤㘵〴㠹扤㥤㐸㌹愸㈳㍦㙥㑢戳昵㙣昹㔰㥡㕤〹挰改㔷㌱扢㥡搹㌵捣㜶㈳㔳晥〰〹㐷㈹㠷㜲㜳搲摦㠴㘷晤㕡㘶搷㈱㠳㝣搲㈹㜳㈲㔱㐵ㅢ㙡㌳㜶㈴晢昵挳㑥㤶㐶㜱㈸㡡㘸ㄹ搷敤捣㝥㕢㈲㍡戲㍡户㠶慥捤㐹ㅤ晢搶捥戴㤹摣づ㈹㌲愵㙢㜲慦ㅢ㜴㑤〲㠲㕤扢搴㕢搷㘳愸㍥捣散捤挸㡡晡つ捣愱㕣㘸昰㙥捥愲愷㐹昹㠶㌰㡢㐲㘳愸㑢〵ㅦㄱ㌲㡦〰㈹㐲慥敤昸戲㙤㐳搳ㅣㅣ㌱摦昰㌶昴晥捥晣ㅤ㈱扤㐵㙦㙥敢ㅤ晡㡢㕥愱ㄵ㝤㈳搸㑢昹㙤㐷ㅤ㜳ㄳ㥡昵户㌲扢ㄹ㔹㡢㡥攱改晢㤵㝡ち愴㔹㙣㈷㌰户㤳㕥ㄷ㘹攵捥慦㉤ぢ愹㠱晡捣㜹挳㕢ㄴ〱㍣ㄸ㈷愶㘰ぢ扢㥥㈷慡㌸搴㔶㘴〵捦㉦㔷㌷㔷晡㐷㍤搷㘶晤戶㡤散扦㈱ㄴ㐳㉥愷㘶㌳㉤㌶㜲㡡慤㤹昰㌹㈵㈸㠷㍡昸昶捥㐲㈲㌱愸㤹扣㌸㉥晤㝣戹㉤㐹扡㤰㈴户〲慣晡㍥㘴㤰ㄲ捡慦㍡㑡㤴晤散昶㌶搹慤搹㘲愵㠷㉦攵㜴搲攲㐳㙣㤳㈳扤愱挳㜶〲晥〳扦摦㥥戳散扡戰攸戵㘷㠵㔷㠶㙦挱慡㡡㘲攸㤶愵愸搹㤶ㄵ㙦㄰㔹㤱捤戶㥤愷㔳晣㙢㤲㑥㕡愴㐴㉡户愷㌶愶㥣挵ㅢ㐴㐵㌷㈴㠵㑡㡡㙢愸㉥㠱㐸㜹散扢㉤㘲扡㄰㌱户〱㜰晡〱㘶㘳捣づ㈲搳㝥づ㐹戳㔹挰㌳ㅣ搶戳㐲㤷㜶愹㤴㈹㄰つ搲㐵㜸愹愳戰㍡挴搷扣㥤搹㥤挸㕡捣ㅦ㍡㈰㔳〸㔱愲㍣㐱㠸㌲㡣㘱㥥戳挴㐵搲挰づㄳ㠱愵挹㥡ㅦ戸㌶㈳㑢晤收㤴㝢摡つ愶㉣㝦ㄹ㤱愸㈱㌳㉡摣扦㈴ㅣ㔰㤷〷摢愷愵捥㕤㕥ㄶㄵ摤㥣㜳㙢㄰㙤㈷愶戶挲挱ㅣ攰㠰㉤㈹捦收慡㠲搴摤昹ㄸ㔳㈸㠰戴昴户搲ㅢ扢㈹敦㌷て㝤〳つ㠸捥㕢㐱㔵昴㥡㈱搳戱㕣㌰〱㐵㐴づ㉡㍤收晣㤲㈷挴㔴扦㜹捣戳㉡㔵换ㄱ㐴〶㙣㑣〶敢愶挵㈲愲〴戳㉥㘳㠰慥搳㙦捥㝢㠶攳㉦ㅢっ㈸慥敤㙣㝡㤲㘱ㄱ捤㥣戰ㅣㅦ慦㤱㔸㘴㜹挰㥣㕢㜲㉦㈲㘲㕢戳㥤㘳挶戲扦㈵戰㐲愲て㤳㐴㡤愲㉡慡慡ㄴ搴㐲户昸攱㠱㍣㤳㈱敦攵㤸㐹㕣㘵㌴晡捣㔳戴㌷敤晡㈸㐶㐳㍢㥤㙢敡㐳昴愸㕥㤹㑤㤵挲攴㔴晤㉥㡥戹ㅢ搹挹㘳㘷㑦㌴㈲㜳慦㉡㘶慤搱换㥦㈲攳㈵㔹搴〳㈱昴搱敤〸㐹㠵㜵愴ㅣ㜰㈰㌰捥愷㔶昲㉢㥡戲て愹㙦㐷愳㜸ㄴ㤱愴㍥㜳摡㔸㄰㔵挴愳㙤㈳搸ㄱ㍥搰㡣戵㡤慡ㅦ戵㑤扡戶㙤㤰戴㐸㤶㜳㘵㠳ㄴ㍣㕥ぢ摣㔳㤶愳㥢挸㈴晤㐵㔵挶㉡慡㡣㔵㔹搵㘷㥥㘱㘸㔰㤶㌹㤷扢㘸㜸㔶戰㘴㕢攵〲ㅦㄸ扥摢ㄲ㌴〹㈶愷攴㡤㔳㉣㌳㠶㕢慣昹戳㌰搹晣㔱愰㝢ㄴ㜲㤴愰㈳晡㐱戹慡㤲挷㍦愵㑢挷ㄲ〴㡣昴㤴敡敦挲㙣㥡扣ㅤ〱㤱㈳搳攵昸づ挶攵㐷㔱ㄳち㈱㘲㍤㠵㐴攰ㄵ㑣〸㜹扡戸昳收㔹挷ち㠰㍤㘲散愸ㄵ㑣昹㐰㌹㌲ㄴ攵昱㜶㡦挴㙡㘲搰㐸㕤㉢㕣摦摥搴愴㈶昶戶户㈷昵挶㕢搶㘹づ㌵㑡㐲㤱㙣搴㐹㙡㤶㜵搶戸㤵㔴㡤㈲ㄵ㜷慣㙤㤴㌴户㘹〳敥㤴㈲慦㐲㌱㐹㥡挹攸敦㤶㠴㠲㐰㙦愴愳攸戳㑦㈷㡦㐴挴㠶㌶㐰㤱㝡㉡慣敢㡦㐲㠲㈷㜰敤愴㈲㡡搱ㄳ昸㝢㐷㔴㥣愹〵㑤㉤挶敡㔰搴㌲㕥慤捥㌸戰ㄲ捡㠶㔷搹㈲㉣㡤扤㠵ㅡ㐶㜲㘷户摡㍦〴㙦㠲ㄱ㈳㌶㘴㔸㈴挵てっ㌶〴㜳㈵㈲慡戴捥晡〹敡㝡㜵㠱㑦愷㠴攱㐸っ捣〵㤵㈹戱㈲捤戰㠶㈵㍦㈴〷搴㑦㡢㔲㡥敡收昸㠲て㤵ㅥ㔰㡥㐷㈵挹攰扡㜹㠶㙥㈹㕣㘲㠰搸㡤㑡戳攵〰愱摤晡〴㍣ㄹ㙣ㅤ散〰㈲㘱攸㠴搶ㄹ㈵㘸㍥㠵㜰㥢㌷㐱摥改ㄲ愳㄰愴愶㑣㝦㍤愲㍣昷㉣搳搷㡦㘴攲㐲挴㐴っ㜷愵㔸て㐰㙥㌲㌲㐹㉥ㅡ㡡〳收愱㘴㤳㐲慢㉦慥愳㠹搱㑦㤳捦ぢ㜰㡢㠷戱慣〱戲㑤ㄵ昷摣〲ぢ摡戴扡戶挳㍣攱㤴慢戵㡡㤰慡㌸㤶搵㔲㈳㙦〹㝣挹㉢㠰㈱㌷愵挰㈵〲捡〹ㅣ愵戸㘵㈲愹㝢扢㕢㍦㠲攱㔲挸㘱㡥㔰昵㌱〰㤹攲㤶㤳〱戱戶㝢ち戴て㜷㌶㉥㌰挸换㜳㄰㘹㙤㔵㤴㘵搳戸㡦㔷㡦㈲㑢㙥㑢㜴㥢㜶愷㕤摡散㠹慡攳㔶㔸戵㈵㜰㠴㝤㠶〲㉦㥦㠷㌱搲㈵㜷㜰㤲捣攵㈸扡㝢昹㔱昹㤸戹っ㔴㐸っ㈸㡣昱昲ㄴ㤴〱㔴挱㐸㌴戸搵㠶搵慤㌰晡㑢换㕢ㅦ㐷愶㌰っ㑣㠳ㄶ㍤㐳〳㘷ㄲ攵㡤つ㥣敢搱㉢㈵㐲㥡っ愶㌲㐶㌹〴㠷㍤㤰〶㙥攲㐱㝡摥㠵ㄲち㜶挹㡢㘱昱摤挴ㄱㅢ㐷㈰搷扢慡愵㜲搶〸㜰晤挵搹摤㔲㍤㕥愹搰摣㠵㝦㙥㑢㘰ㄵ㔷㌷㐲㜳㜴㔷换愵㉣戹㈷摡㜷㌷戶㌴㐴㤷〵て㑥㡤ㅥ㌷㠲昲搲㕣戰ㄶ㕥摣敡㤶㈴戴ㄷ攱㡦㔸昷敤戴㤹㜳づ㉦愲慥㄰昶挵ぢ㡥㝢搱㤱敢搲㝣摥晡〳㠵攰ち㘵てㄷ㔹捣晣ㅢ晦㘴㔲㌳摡て㌱攳㘶㤶捤〹ㅡづㄲ捥㈳㔳㈸つ㠶㔱㑥愱ㄳ搸敥昵㕢〳愴㤳㕤㉤㜴㈲〵挱㌶愱㌸㡢慦ㄹ愱㈸㍦〰㕡㐹㉣攱㤱ㅣ㌰晦ㅡ㔸㕦昹㍥㙡㠸㜰㍣㐷㘲㐴㝢㌳㑡㈹愸㤳㠲㍣扡攲挱ぢ㈱晦㍦㔸㡡戹㜹㕤㜶晡㉦㌰戳昲扤㔶ㄴ敤㈵㡡扥摢㠶㈲㠵搷㐰㈴晦㥥㡣ち㝣搰ㄸ㥥㝤㐵㠱㜰敥㘹晢〰晡扡㕦昸晤ㅦㅥ㐰愷㠱㘱㈶㘹愳㈱搴㜶ㄳ捡㜵ㄳ㈱摢㘶㈲㌰㜸㉦㑤㠴㔳ㅣ挳㈸㝥㘸㈲㐴㍥㤰ㄹ㔴㙣㙣㈲㌰戶㤷㘲〸㈶㐲慤〹户〶㑦㘰㔷搹昴㡦ㅤ挷挵㕢攱㈳㥥て愵攵㑦挲㈳㜵㜵㝢昵慣攱ㄹ昶㙥㔹㝦捣ㄳ㔰㘶摥㍣㙥㜲换㈱ㅣ戱㘷摤ㄶ㌹㘸ㅤ㕦㐵散㘵摦昶愷㙣敥晥㍡㌰ㄵ愶搰㝤慦ㄴ㤴晣慢昰㤴㈸㍣㌷㘴㍥戸敢ㅢ挷㝥昷昰攳㐷㜸㕢㉤愲㔵㙤ㅦ捡摤㠴散㘹㑦㈰愸㥢戸㈸㜲㈵㍦捣㌹㠵㑦㤴慣攵慡㤸㌰㍣㘹〵昹扡ㅤㄷ㐳挲㑢㄰㘶㐸㝣㕢挱挴挴扤㠷搰挴ㅣ㙤㜱㜷捡て㥢愴㡢㜰㌴戱㜰改搳㡢挳㠶㑡㐷㐵搶愵戵愹㝤ぢ慡攸ㄵ㉥愴搹㑡攴愹㤳㐹㔱扥搹慡敢づ㔱搷㠵〷ㄹ㠶晤㘳㈹㠵昸〳㈹㈴㜹㤰攱㠵〰㈹愵捥愰愰摤㠶㉣㈵戲搶ㅡ攲愵㍦㘰㕢〸㠸晡愵扦㉥㍦㘲〱ㄴ㠱挵搸ㄷ摦敤㠹㤶戶㘸慣㥡ㄸ慡㤵㌶捤ㅣち昲昰挲㡡戱戸㜶ㅥ㠵㌸㘹〷㔱摡戴㍢㡡㉦改户挳挰㕢挸搸㥡㑤㕦㕢搱扥搷愹攱收〷昴㑣㕥㉡っ㘷㈷慢㜱㈰㤵㌱扡戰㙢㌱慣㘲㍥㄰ㄶ敢㠳㝡愳㈶攸㉣㘷㌷㑥愵〸晥昱㑢㈱戶㡦㌴愶扥戲戵㠵㍡捥改挱〶昹㠳晤戵㌷㠵戱昱㔶㜲っ㈴散愶㝡ㄵ挲敢攱㘷㌱㠴㥢捥㈸㝡愳㈸㥦㤵㐳昸ㄳ㜳㔶㔶㙤搳晦㡣㕥㑢捥㍡挷搱っ㘳㌷改晦昷愲㘲㐳晤慦㌰昶㈶ㄱ昹扥愸㈰㡤㔳挶㑦㌶っ搹㄰㈲昰㙣㈳㜸㈳て挶扡㉣㌲攴ㅤ㤶收昰昱㙡搸㉣㈵㌸晣㕥戹搶慢ㄱ昵戱戴㙤㝢㍢ち㐰挶㠶戴慦㐱〴㜵ㅣ摦㉣户攲搳㙤晥晤ㄸ戸敢㤴㔵昶㕣摦㌵㠳攱㌹〴㝤㠷昹敤㤹〹㥢㘷㕣昹㙡慢㔰扢ㄱ㤰攸㝢〰㘳㑥捦㐰㘰㥦ㄶ挱㙢ㄵ㡢㘴㘴㘱㜳㤱っ㝥㠷㌴㤸〸㉦㔱㍢昸㔷㤸昷搵㡣㉡㍥㕤㥤㠱慦㌳㘰搵㤶㔰㜶愱挷戹昵㠶〶㐱㠷㍢㕡敦㠱㍦㐸㔴㐷ㄱㅣ㤳㕢㜸晦〳㠴㙢㉢っ㥡晢㐶㝢昳搹戳㍢㥦㕢㔱㝢〱㌸摤摣㕢㥡㐹㠶敦攴ㄷ挹㐵扤挴ㅣ㤷昶㡦攰敦收ㅤ戴㥣㙤〸㜴ㅥ㝤搰㑤㐷搸㐸ㄵ敥戳㑤㐴扦捦㘳愸㌲捥っ㍦摤㠸ち㝣㔰攸攵㈳㉢㉡㕦挲戶挸〰㈸㘷昲㘵㘴㥤愹晡昹昵愸㝡昰㈴挶㤰㕦㜵㠱慣㍦慢昰愸㐱慡㉣㉡捦愱㍦愱ㄶ敥㝥㤱㜵㌸㝡挸㈳〵捡㝡㔲㤲㉢㍣㔲挸昵㍣㠳〱昵昵㍣㠸摡捥敢㜹㝡扤昵㈸㌴〶攴㝥㤳昳て挶捡㐴户昹㙡㠷㤹换㙣ㄹ搹㘰摣㜳㠰㘲㤲㝢挹㠷愱㠶敦ㄳ㔳㐸扦㠸晥扥㜴攴攷㤷㤸晥㜲㐴㤱㠲ㄱ㑤捤扢愰㘰㤴扢㜸㌲戹ぢㅦ戵㥤㜷昱愹昵㜶㌱㐸㤹㈹愱㕡㐳〱㔰㉤攱㡦摣搵ちち〴㈸㝦捡㜹㘶昸㌵慤㘲搰㐰㡤ㅣ扢㡡㐲㝦㔶㈳㘲摥搹㔹扢搰㜸㡣㍦㠵㐵㜰愰改㥢搷㝢昱つ敢ㅡ愳摤㔹㝣挲慦㐹㔵㤸㔳敦敥㙥慥搸ㅣ愵㈶搳㍥㠶㕤扦㡡㜹戸改㠶捦㤱㌳敥挱慦㠰㈰〴挹㑣㠲攴㘱ㄴ㘲㐰㘹挴㝡捡㤷㑤搲㌸攴㉤㔰㍡戲昲愱㈷㍡ㅦ㥡〴〵㍢㜲㐱㙦〹挱㠸㉤昱㔳攱㡥晡㉣摦攵昵〶攵㠹㤸ち㡦ㅦ㡦㍦ㅢ㔳愳㠰ㅢ戸㈰㌴挷挹㌵〴愴昲㜸摣昹摢摦㘹昸㡢搱㠰〴㔶〹㍢㤳扢㘴攷㡦挴㥤て攲㤳㌴搹㈷㐳㠲㘲㝡㈹敥㑣㉥㤴㥤㍦ㅣ㜷晥昳挱摤昵捥㌱搳㠵㌳㙢攴㠸ㄴ㐳㕦ㅥ㝤ㄲ㥦愷て愰扢㘶搲㜸攸㌵挳㙡ㄲ愲㡣㥢㔷愵昹搰㠷㥢㌰ㅥ㍥㄰㥦挶挵㉥摣㝦㠱㠶〹晦㍦ㄱ㈷㜰攱㙢捡〸っ㝣晦扤㠲㐸扢愷换㈷づ捥㥢㌳ㅥ㉡㝡捣ㄳ㍥づ㤴㤵㉤㐵㈲戰㠵㜲㈱㝣㌷㠸㐸愴搸捤つ㜸挴ㄱ㐲㤵ㄷ㘸扡搳㥣㌲慡㤴㔳ㅥ㡢㌱㥢㜹慣㐱㌳晡㠷㠰ㅣ攸〴攴㉣攸ㅦ㐶ㅥ㐶愱㜶戱㘲㤰挲㑥㑡戲挷搹昰〴戳㡦㈲㉢㉡㤴㙣愴㠳晣挷㤰つ挴晦㤷㡥攱ㄵ改㉣㔲㤵搵昸㘵㐹㌲搲㍦捥〱㥦㐰㤶㠵敦㕡㠹㠸戰愸㝦ㄲ㌵挹㤷㔲㜰挸㤷㝥㥡つ㑦㌲晢っ戲愲挶挵㙥ㅡ㙡摣㔳㤷㙡晢戳ㄸ慡㄰ㄴ㥣㐳晦㕣㔴攰㠳㐲㌸㔰㥣㉢づ㜶㐸ㄹ㑡㙤㔳㔰昳ち㘱㈳ㅢ散愸攱戰㙣㔰ㄴ挲㑢㌶㔴愳〶敡㌲晤㘹㘴ち攱挱㍤改㥦攷ㄳ挱㈰㕦昸㑣㔴㤰㉦㈴っ攴昰愵㤶ㄷㄲ㉥戲㘱戱攵㠵㠴㤵㙣㌰㤳㉦晣〲㈷㤵ㅢ㐳愱㔹㕤㜱㠳ㄲ摥㕦㐴愱㍦㍢挰戵摤㡦㥦扡慡㤴捦㔷捥㥦晦攷㐰㙥㜸㑦敥扤昷昴㍤晢搲捦㕥㝥敡㤷ㅦ㌸晣挷㝦㍤晦晣㉦㝦晦搴愵㝦扤戸㜰昸㈷㉦扣昰攳㤳㕦扥昴昲㑥昳㉢敡㜷晥㌹晤㤵㐷挶㉥㍣昲㤰㜹㜶摦戱㐷摥昷攰㝤㘳戳㔷㡣㘴戳㍤㍤㌷て晤昴㥡㕢〶ㅦ㝢攸㝢捡㡦㝥㜳戵愳挸敤攲〵捤换攰戶攵㌲扥㡣〲㤶挱ㄵ扦慥换攰㜶㈵愰捥㐷㠰㥡㐰㐵〱捥て㉥㐰㌶㤴㥡ㅢ㝡晦〳㉡㘲扣㕥</t>
  </si>
  <si>
    <t>㜸〱敤㕣㕢㡣㈴㔵ㄹ敥慡敥敡改敡㤹搹ㄹ㜶㤶换慥㕣〶㄰ㄱ㘶ㅤ㜶ㄶ㔶㐴㕤搷戹散つ㘶㜷㠶㥤搹〵愳搸㕢搳㝤㙡愶搸慥慡愱慡㝡㜶〶㐹㐰㐴㠹㜷㈱㐱㠲愲㄰愲㈴扥㜸㜹㔱㔱㕥㌴㈶ㅡ〳㠹て昸㘰攲〳ㄲ愳てㅡ戳㠹㠹昱挱㐴扦敦㔴㔵㜷㜵昷㜴捤搰㠰づ㘶捥搲㘷㑥㥤㕢㥤昳摦捦晦㥦㈲愳㘴㌲㤹㝦㈳昱㉦㔳㡥㠵换攷搶晣㐰搸愳㤳㙥戵㉡捡㠱攵㍡晥攸戸攷ㄹ㙢搳㤶ㅦ㘴搱㈱㕦戲搰敥㙢㈵摦扡㕦ㄴ㑡㉢挲昳搱㐹换㘴ち〵㕤㐵㍢㈷攱㙦㌰㝥搰㌹慡㉦㠷㙣㝥㜲㘲㘶攱㕥捣㍡ㄷ戸㥥搸㍢㝣㈶ㅣ㝢㜰㙣㙣㜴㙣昴㤶㕢挷摥㍢扡㙦敦昰㘴慤ㅡ搴㍣㜱搰ㄱ戵挰㌳慡㝢㠷㘷㙢ぢ㔵慢㝣㠷㔸㥢㜷捦〹攷愰㔸搸㜷昳㠲㜱换晢挶㙥㌹㜰挰扣敤戶昷昵攱搵㤹㤳㤳ㄳ戳㥥㌰晤㌷㘹㑥㡤㑢扥㘵㑡㤴㉤敥㑤〸捦㜲ㄶ㐷㈷㈷昰㕦㘲晤㜸扡㜵㜴㙥㐹㠸㠰慦ㄶ㥥㜰捡挲搷㌱戰搷ㅥ昷晤㥡扤㑣攰改昶ㄱ㙣戵㙣昸㠱㘶㑦㡡㙡㔵户攳㔹ぢ昶っ㘰㔷㌵搶晡散㌹攱昸㔶㘰慤㔸挱㕡摥㥥挷㐴㤵㝥晢戴㉦㑥ㄹ捥愲㌸㘹搸㐲戳㡦搶慣㑡㉥㑣㤹散昵昱ㄴ挹㠵挹敤㡦㡥晢昶攴㤲攱挹ㄵ昹〴㑣㑡摦㈳㕥戹戹敦戵㥤攷攵搲攵ㅢ㌸攷㜵㥤晢愱攵㡣攱搵㝢㡥㜴敥ㄹ㙤扥㜹〵㌷㜵敥㥦㠰㔱昳㤸ㅢ㍡㡦㤱愰㙣敥慤昴㐶昴㉤㈱㡡捤攸㜹㘶㍤捣ち捣㠸㐰扤挸慣㤷㔹ㅦ㌲㈵昷㜷㜰㐹㜲㈰㥢搴㤲愱㤶ㄶ搴㔲㔹㉤㔵搴㤲㔰㑢愶㕡㕡㔴㑢㑢㙡挹㔲㑢昷慡愵㜳攸ㄳ愷㐲㑦㡦ㅡ愵㝦㉣㍦昱昱摣㘳慢㈷扥扤昶昳㑦㝤昱戱㍦㝤愸㙦〷㍡摤ㄹ㉤㙡捡㌳捥㠳搴ㅡ㔴扣㝦㜴ㅦ晦㙤捣ㄵ㘰ち昳㠰㜹慢㌹㌶㔶㌹戰捦戸搹搰戸慤ㄴ攴㌷ㄱ捡㈰晡昶㤹㜷㔹㑥挵㍤㉦㜱㜷昹㠴攱㡢〶攰㐶愲戶〹户收㔴晣㜷慣摦㌸ㄷㄸ㠱搸搳摡搶㤸愴㙤搸ㅣ搸㑡昸昲㝤㔷戶づ㍢㘳㔴㙢㘲㝣搵ち㥢慦㘸㘹戶㘷㍤㜷愱㜳敢ㄱ㑦摣㔷㙦㙤㕢搱㌸㠴摡㡡㥣扢㙤㤷㘱㔳戸慥攱挹㈵搷ㄷ㡥㕣摥㠸㍤㙢㤵捦〹㙦㑥㔰㈴㡡㡡摣敡挵㙣㡡戸㝥㘴挶挱㐶挱慤㤵㙢㤲戵收攱搵〰捣㉣㉡㔸敦戲昰㠲戵㜹㘳愱㉡㉥㘹敡ㄲ扥ㄳつ扢㥢慡㡦戸攵㥡㍦改㍡㠱攷㔶㥢㕢挶㉢㉢〶㈴㑤攵㠴㕢ㄱ戹㕣㐶ち〵〸摣㙣㔶㔱㌲㌷㜶收〵㠹㠸〴㡡挹挸㤷㌵㤳摤攸㈹散づ扢愸ち搲愴晡捥つ㈶攳㝡愵㡣㐹攱挰挴㥥愸㍦昸搲㜷㙦㌰㙤ㅤ㜳㙦㙤㘷㔵ㅤ㡡㜶㝦㜸㐵㌸挱㌱挳愹㔴㠵㤷慡晤ㄴ慥㐸ㅦ㐰愶㕤㠰㐰攸〸㍤慡㍡㘵㔵㔹搳捥㕢㤵㘰㈹扦㈴慣挵愵〰㜵搰㤰㠵〲㐱摢㤶昴㡢㔰愵敦㘴㌶㠴慣㔸捣攴㜷戱㔳扥㠸㤴搱㈸㥤㔲㜸戹㐹㤰㜳㕣ㄳ㉦昷㤹㐷慣㙡㈰㐲愱㍣㘰〲㈳愱㔶㤳攸敢㈷㠹㝡㐶㌹㔴ㄸ扢捣㐹㔰愹㘱㌹挱㕡㠳㙦摢戸㈴㈴愲㙤㔹戰攵㘴〱㐵㐱戳㍣㐸攱㌵㄰㑤㡢㌴㐸敦㥣㈰㈲戲㐱㡡㘶挷捣捤㐴挶晥㈹㌲〲晤㤳㐴挸摥晢㍡换〸ㄲ㝢㍢㤱㜲㔰㐷㝥摣㤶㘶敢搹昲愱㌴扢ㄸ㠰搳㉦㘱㜶㈹戳换㤸敤㐶愶晣〹ㄲ㡥㔲づ攵收愴扦〳捦晡攵捣慥㐰〶昹愴㔳收㐴愲㡡㌶搴㘶散㐸昶敢㠷㥤㉣㡤攲㔰ㄴ搱㌲慥摢㤹晤戶㐴㜴㘴㜵㙥つ㕤㥢㤳㍡昶㕤㥤㘹㌳戹ㅤ㔲㘴㑡搷攴㕥㌷攸㥡〴〴扢㜶愹户慥挲㔰㝤㤸搹搵挸㡡晡㌵捣愱㕣㘸昰㙥捥愲愷㐹昹戶㌰㡢㐲㘳愸㑢〵ㅦㄱ㌲㡦〰㈹㐲慥敤昸戲㙤㐳搳ㅣㅣ㌱摦昶㌶昴摥捥晣ㅤ㈱扤㐵㙦㙥敢ㅤ晡㡢㕥愷ㄵ㝤㉤搸㑢昹㝤㐷ㅤ㜳ㅤ㥡昵㜷㌱扢ㅥ㔹㡢㡥攱改晢昵㝡ち愴㔹㙣㈷㌰户㤳㕥ㄷ㘹攵捥慦㉤ぢ愹㠱晡捣㜹挳㕢ㄴ〱㍣ㄸ挷愷㘰ぢ扢㥥㈷慡㌸搴㔶㘴〵捦㉦㤷㌶㔷晡㐷㍣搷㘶晤戶㡤散扦㉤ㄴ㐳㉥愷㘶㌳㉤㌶㜲㡡慤㤹昰㌹㈵㈸㠷㍡昸收捥㐲㈲㌱愸㤹扣㌸㉥晤㝣戹㉤㐹扡㤰㈴㌷〰慣晡㡤挸㈰㈵㤴摦㜶㤴㈸㝢搹敤㍤戲㕢戳挵㑡て㕦捡改愴挵㠷搸㈶㐷㝡㐳㠷敤〴晣〷㝥扦㍤㘷搹㜵㘱搱㙢捦ち慦っ摦㠲㔵ㄵ挵搰㉤㑢㔱戳㉤㉢摥㈶戲㈲㥢㙤㍢㑦愷昸搷㈴㥤戴㐸㠹㔴㙥㑦㙤㑣㌹㡢㌷㠸㡡㙥㐸ち㤵ㄴ搷㔰㕤〲㤱昲搸㜷㕢挴㜴㈱㘲㙥〲攰昴㝤捣挶㤸敤㐷愶扤っ㐹戳㔹挰㌳ㅣ搶戳㐲㤷㜶愹㤴㈹㄰つ搲㐵昸㔲㐷㘱㜵㠰慦㜹㉦戳㕢㤱戵㤸㍦㜴㐰愶㄰愲㐴㜹㠲㄰㘵ㄸ挳㍣㘳㠹昳愴㠱ㅤ㈶〲㑢㤳㌵㍦㜰㙤㐶㤶晡捤㈹昷愴ㅢ㑣㔹晥㌲㈲㔱㐳㘶㔴戸㙢㐹㌸愰㉥て戶㑦㑢㥤扢扣㉣㉡扡㌹攷搶㈰摡㡥㑦㙤㠵㠳㌹挰〱㕢㔲㥥捤㔵〵愹扢昳㌱愶㔰〰㘹改㙦愵㌷㜶㔳摥㙦ㅥ晡〶ㅡ㄰㥤户㠲慡攸㌵㐳愶㘳戹㘰〲㡡㠸ㅣ㔴㝡捣昹㈵㑦㠸愹㝥昳愸㘷㔵慡㤶㈳㠸っ搸㤸っ搶㑤㡢㐵㐴〹㘶㕤挶〰㕤愷摦㥣昷っ挷㕦㌶ㄸ㔰㕣摢搹昴㈴挳㈲㥡㌹㘱㌹㍥㕥㈳戱挸昲㠰㌹户攴㥥㐷挴戶㘶㍢㐷㡤㘵㝦㑢㘰㠵㐴ㅦ㈶㠹ㅡ㐵㔵㔴㔵㈹愸㠵㙥昱挳〳㜹㈶㐳摥换㌱㤳戸捡㘸昴㤹愷㘸㙦摡昵㔱㡣㠶㜶㍡搷搴㠷攸㔱扤㌲㥢㉡㠵挹愹晡㙤ㅣ昳㝥㘴户ㅦ㍤㝤扣ㄱ㤹㝢㐳㌱㙢㡤㕥晥ㄴㄹ㉦挹愲ㅥ〸愱㡦㙥㐷㐸㉡慣㈳攵㠰〳㠱㜱㍥戵㤲㕦搱㤴㝤㐸㝤㍢ㅡ挵㈳㠸㈴昵㤹搳挶㠲愸㈲ㅥ㙤ㅢ挱㡥昰㠱㘶慣㙤㔴晤愸㙤搲戵㙤㠳愴㐵戲㥣㉢ㅢ愴攰昱㕡攰㥥戰ㅣ摤㐴㈶改㉦慡㌲㔶㔱㘵慣捡慡㍥昳ㄴ㐳㠳戲捣戹摣㐵挳戳㠲㈵摢㉡ㄷ昸挰昰摤㤶愰㐹㌰㌹㈵㙦㥣㘲㤹㌱摣㘲捤㥦㠶挹收㡦〲摤愳㤰愳〴ㅤ搱て捡㔵㤵㍣晥㈹㕤㍡㤶㈰㘰愴愷㔴晦㈰㘶搳攴敤〸㠸ㅣ㤹㉥挴㜷㌰㉥㍣㠸㥡㔰〸ㄱ敢㈹㈴〲慦㘰㐲挸搳挵㥤㌷㑦㍢㔶〰散ㄱ㘳㐷慣㘰捡〷捡㤱愱㈸㡦户㝢㈴㔶ㄳ㠳㐶敡㕡攱慡昶愶㈶㌵㜱㘵㝢㝢㔲㙦扣㜳㥤收㔰愳㈴ㄴ挹㐶㥤愴㘶㔹㘷㡤㕢㐹搵㈸㔲㜱挷摡㐶㐹㜳㥢㌶攰㑥㈹昲〶ㄴ㤳愴㤹㡣晥㈱㐹㈸〸昴㐶㍡㡡㍥晢㜴昲㐸㐴㙣㘸〳ㄴ愹愷挲扡晥㈸㈴㜸ㅣ搷㑥㉡愲ㄸ㍤㠱扦㜷㐴挵㤹㕡搰搴㘲慣づ㐵㉤攳搵敡㡣〳㉢愱㙣㜸㤵㉤挲搲搸㕢愸㘱㈴㜷㜶慢晤㐳昰㈶ㄸ㌱㘲㐳㠶㐵㔲晣挰㘰㐳㌰㔷㈲愲㑡敢慣㥦愰慥㔷ㄷ昸㜴㐲ㄸ㡥挴挰㕣㔰㤹ㄲ㉢搲っ㙢㔸昲㐳㜲㐰晤戴㈸攵愸㙥㡥㉦昸㔰改〱攵㜸㔴㤲っ慥㥢愷攸㤶挲㈵〶㠸摤愸㌴㕢づ㄰摡慤㑦挰㤳挱搶挱づ㈰ㄲ㠶㑥㘸㥤㔱㠲收㔳〸户㜹ㄳ攴㥤㉥㌱ち㐱㙡捡昴户㐳捡搷㥥㘲晡捥愱㑣㕣㠸㤸㠸攱慥ㄴ敢〱挸㑤㐶㈶挹㐵㐳㜱挰㍣㤴㙣㔲㘸昵挵㜵㌴㌱晡㘹昲㜹〱㙥昱㌰㤶㌵㐰戶愹攲㥥㕢㘰㐱㥢㔶搷㜶㤸挷㥤㜲戵㔶ㄱ㔲ㄵ挷戲㕡㙡攴㉤㠱㉦㜹〵㌰攴愶ㄴ戸㐴㐰㌹㡥愳ㄴ户㑣㈴㜵㙦㜷敢㠷㌰㕣ち㌹捣ㄱ慡㍥〶㈰㔳摣㜲㌲㈰搶㜶㑦㠱昶攱捥挶〵〶㜹㜹づ㈲慤慤㡡戲㙣ㅡ昷昱敡㔱㘴挹㙤㠹㙥搳敥戴㑢㥢㍤㔱㜵捣ち慢戶〴㡥戰捦㔰攰攵昳㌰㐶扡攴づ㑥㤲戹㄰㐵㜷㉦㍣㈸ㅦ㌳ㄷ㠰ち㠹〱㠵㌱㕥㥥㠲㌲㠰㉡ㄸ㠹〶户摡戰扡ㄵ㐶㝦㘹㜹敢攳挸ㄴ㠶㠱㘹搰愲㘷㘸攰㑣愲扣戱㠱㜳ㄵ㝡愵㐴㐸㤳挱㔴挶㈸㠷攰戰〷搲挰㑤㍣㐸捦扢㔰㐲挱㉥㜹㌱㉣扥㥢㌸㘲攳〸攴㝡㤷戴㔴捥ㅡ〱慥扦㌸扢㕢慡挷㉢ㄵ㥡扢昰捦㙤〹慣攲敡㐶㘸㡥敥㙡戹㤴㈵昷㐴晢敥摡㤶㠶攸戲攰晥愹搱㘳㐶㔰㕥㥡ぢ搶挲㡢㕢摤㤲㠴昶㈲晣ㄱ敢扥㥤㌶㜳捥攱㐵搴ㄵ挲扥㜸捥㜱捦㍢㜲㕤㥡捦㕢㝦愰㄰㕣愱散攱㈲㡢㤹㝦攳㥦㑣㙡㐶晢㈹㘶摣捣戲㌹㐱挳㐱挲㜹㘴ち愵挱㌰捡㈹㜴〲摢扤㝥㙢㠰㜴戲慢㠵㑥愴㈰搸㈶ㄴ㘷昱㑤㈳ㄴ攵㈷㐰㉢㠹㈵㍣㤲〳收捦㠳昵㤵ㄷ㔰㐳㠴攳㌹ㄲ㈳摡搵㈸愵愰㑥ち昲攸㡡〷㉦㠴晣晦㘰㈹收收㜵搹改扦挰捣捡㡦㕢㔱㜴㈵㔱昴愳㌶ㄴ㈹扣〶㈲昹昷昶愸挰〷㡤攱搹搷ㄵ〸攷㥥戶て愰㙦昹㠵摦晦攱〱㜴ㅡㄸ㘶㤲㌶ㅡ㐲㙤搷愱㕣㌷ㄱ戲㙤㈶〲㠳昷搲㐴㌸挱㌱㡣攲㠷㈶㐲攴〳㤹㐱挵挶㈶〲㘳㝢㈹㠶㘰㈲搴㥡㜰㙢昰〴㜶㠹㑤晦搸㌱㕣扣ㄵ㍥攲昹㔰㕡晥㈴㍣㔲㤷戶㔷捦ㅡ㥥㘱敦㤶昵㐷㍤〱㘵收捤攳㈶户ㅣ挲ㄱ㝢搶㙤㤱㠳搶昱㔵挴㕥昶㙤㝦捡收敥慦〳㔳㘱ち摤昷㑡㐱挹扦〱㑦㠹挲㜳㐳收ㄳ扢扥㝢昴て昷㍦㜲㠸户搵㈲㕡搵㙥㐴戹㥢㤰㍤敤〹〴㜵ㄳㄷ㐵㉥收㠷㌹㈷昰㠹㤲戵㕣ㄵㄳ㠶㈷慤㈰㕦户攳㘲㐸㜸〹挲っ㠹㙦㉢㤸㤸戸昷㄰㥡㤸愳㉤敥㑥昹㘱㤳㜴ㄱ㡥㈶ㄶ㉥㝤㝡㜱搸㔰改愸挸扡戴㌶戵敦㐳ㄵ扤捥㠵㌴㕢㠹㍣㜵㌲㈹捡昷㕡㜵摤〱敡扡昰㈰挳戰㝦㉣愵㄰㝦㈰㠵㈴て㌲扣㄰㈰愵搴㈹ㄴ戴㥢㤰愵㐴搶㕡㐳扣昴〷㙣ぢ〱㔱扦昴搷攵㐷㉣㠰㈲戰ㄸ晢攲扢㍤搱搲ㄶ㡤㔵ㄳ㐳戵搲愶㤹㐳㐱ㅥ㕥㔸㌱ㄶ搷捥愳㄰㈷㙤㍦㑡㥢㜶㐷昱㈵晤㜶ㄸ㜸ぢㄹ㕢戳改㙢㉢摡㠷㥤ㅡ㙥㝥㐰捦攴愵挲㜰㜶戲ㅡ〷㔲ㄹ愳ぢ扢ㄶ挳㉡收〳㘱戱㍥愸㌷㙡㠲捥㜲㜶攳㔴㡡攰ㅦ扦ㄴ㘲晢㐸㘳敡㡢㕢㕢愸攳㥣ㅥ㙣㤰㍦搸㕦㔷愶㌰㌶摥㑡㡥㠱㠴摤㔴慦㐲㜸㍤晣㌴㠶㜰搳ㄹ㐵㙦ㄴ攵戳㜲〰㝦㘲捥捡慡㙤晡㥦搱㙢挹㔹㘷㌸㥡㘱散㈶晤㝦㌷㉡㌶搴晦ち㘳㙦ㄲ㤱ㅦ㠹ち搲㌸㘵晣㘴挳㤰つ㈱〲捦㌶㠲㌷昲㘰慣换㈲㐳摥㘱㘹づㅦ慦㠶捤㔲㠲挳敦㤵㙢扤ㅡ㔱ㅦ㑢摢戶户愳〰㘴㙣㐸㝢ㅥ㈲愸攳昸㘶戹ㄵ㥦㙥昳ㅦ挵挰㕤㈷慣戲攷晡慥ㄹっ捦㈱攸㍢捣㙦捦㑣搸㍣攳捡户㕡㠵摡戵㠰㐴摦㍤ㄸ㜳㜲〶〲晢愴〸摥慣㔸㈴㈳ぢ㥢㡢㘴昰㍢愴挱㐴㜸㠹摡挱扦挸扣戳㘶㔴昱改敡っ㝣㥤〱慢戶㠴戲ぢ㍤捥慤㌷㌴〸㍡摣搱扡〳晥㈰㔱ㅤ㐵㜰㑣㙥攱愳昷㄰慥慤㌰㘸敥ㅢ敤捤㘷捦敥㝣㙥㐵敤㌹攰㜴㜳㙦㘹㈶ㄹ扥㤳㕦㈴ㄷ昵ㄲ㜳㕣摡㍦㠴扦㥢㜷搰㜲戶㈱搰㜹昴㐱㌷ㅤ㘱㈳㔵戸捦㌶ㄱ晤㍥㡢愱捡㌸㌳晣㜴㈳㉡昰㐱愱㤷㡦慣愸㝣ㄳ摢㈲〳愰㥣挹㤷㤱㜵愶敡愷搷愳敡挱摢㌱㠶晣慡ぢ㘴晤㔹㠵㐷つ㔲㘵㔱昹ㅡ晡ㄳ㙡攱敥ㄷ㔹㠷愳㠷㍣㔲愰慣㈷㈵戹挲㈳㠵㕣捦㤳ㄸ㔰㕦捦扤愸敤扣㥥㈷搶㕢㡦㐲㘳㐰敥㌷㌹晦㘰慣㑣㜴㥢慦㜶㤸戹捣㤶㤱つ挶㍤〷㈸㈶戹㤷㝣ㄸ㙡㜸㠱㤸㐲晡㑤昴昷搵㐳㉦扦挴昴搷㐳㡡ㄴ㡣㘸㙡摥〵〵愳摣挵㤷㤲扢昰㔱摢㜹ㄷ㕦㔸㙦ㄷ㠳㤴㤹ㄲ慡㌵ㄴ〰搵ㄲ晥挸㕤慤愰㐰㠰昲愷㥣㘵㠶㕦搳㉡〶つ搴挸戱慢㈸昴㘷㌵㈲收〳㥤戵ぢ㡤挷昸㔳㔸〴〷㥡扥㜹㍤㡣㙦㔸搷ㄸ敤捥攲ㄳ㝥㑤慡挲㥣晡晥敥收㡡捤㔱㙡㌲敤㔱散晡つ捣挳㑤㌷㝣㡥㥣㜱て㝥〵〴㈱㐸㘶ㄲ㈴昷愳㄰〳㑡㈳搶㔳扥㙣㤲挶㈱㙦㠱搲㤱㤵て㍤搱昹搰㈴㈸搸㤱ぢ㝡㑢〸㐶㙣㠹㥦ち㜷搴㘷昹㉥慦㌷㈸㥦㡥愹昰搸戱昸戳㌱㌵ち戸㠱ぢ㐲㜳㥣㕣㐳㐰㉡㡦挴㥤㝦昰挳㠶扦ㄸつ㐸㘰㤵戰㌳戹㑢㜶晥㔴摣㜹㍦㍥㐹㤳㝤㌲㈴㈸愶㔷攳捥攴㐲搹昹攱戸昳㕦昶敦慥㜷㡥㤹㉥㥣㔹㈳㐷愴ㄸ晡昲攸㤳昸㍣㝤〰摤㌵㤳挶㐳慦ㄹ㔶㤳㄰㘵摣扣㉡捤㠷㍥摣㠴昱昰㠱昸㌴㉥㜶攱晥ぢ㌴㑣昸晦㠹㌸㡥ぢ㕦㔳㐶㘰攰晢敦ㄵ㐴摡㍤㕤㍥㜱㜰摥㥣昱㔰搱㘳ㅥ昷㜱愰慣㙣㈹ㄲ㠱㉤㤴ぢ攱扢㐱㐴㈲挵㙥㙥挰㈳㡥㄰慡扣㐰搳㥤收㤴㔱愵㥣昲㔰㡣搹捣㐳つ㥡搱㍦〹攴㐰㈷㈰㘷㐱㝦ㄸ㜹ㄸ㠵摡挵㡡㐱ち㍢㈹挹ㅥ㘱挳愷㤹㝤〶㔹㔱愱㘴㈳ㅤ攴ㅦ㐵㌶㄰晦㕦㍡㠶㔷愴戳㐸㔵㔶攳㤷㈵挹㐸晦㉣〷㝣づ㔹ㄶ扥㙢㈵㈲挲愲晥㜹搴㈴㕦㑡挱㈱㕦晡㐵㌶㝣㠹搹㤷㤱ㄵ㌵㉥㜶搳㔰攳㥥扡㔴摢㕦挱㔰㠵愰攰ㅣ晡㘳㔱㠱てち攱㐰㜱慥㌸搸㈱㘵㈸戵㑤㐱捤㉢㠴㡤㙣戰愳㠶㠳戲㐱㔱〸㉦搹㔰㡤ㅡ愸换昴㈷㤰㈹㠴〷昷愴㝦㤵㑦〴㠳㝣攱㤳㔱㐱扥㤰㌰㤰挳㤷㕡㕥㐸戸挸㠶挵㤶ㄷㄲ㔶戲挱㑣扥昰敢㥣㔴㙥っ㠵㘶㜵挵つ㑡㜸㝦〳㠵晥散〰搷㜶ㄷ㝥敡慡㔲㍥㕢㌹㝢昶㥦〳戹攱㍤戹扢㍦摣昷搴慢扦㝥敤昱㔷㍥㜶昰捦晦㝡晡改㔷晥昸昸㑢晦㝡㜱攱攰㉦㥦㝢敥ㄷ户㍦昳搲㙢㍢捤㘷搵ㅦ晥㜳晡搹〷挶捥㍤㜰㥦㜹晡挶愳て㝣攴摥㍢挷㘶㉦ㅡ挹㘶㝢㝡慥ㅦ晡搵㘵敦ㅥ㝣攸扥ㅦ㉢㍦晢摤愵㡥㈲户㡢ㄷ㌴㉦㠳摢㤶换㜸〶〵㉣㠳㉢㝥㑢㤷挱敤㑡㐰㥤㡤〰㌵㠱㡡〲㥣ㅦ㕣㠰㙣㈸㌵㌷昴晥〷㡡㘵扣收</t>
  </si>
  <si>
    <t>End of life</t>
  </si>
  <si>
    <t>all</t>
  </si>
  <si>
    <t>CF</t>
  </si>
  <si>
    <t>PEC</t>
  </si>
  <si>
    <t>bis(trifluoromethanesulfonyl)imide</t>
  </si>
  <si>
    <t>Titanium tetrachloride</t>
  </si>
  <si>
    <t>acetone</t>
  </si>
  <si>
    <t>acetic anhydride</t>
  </si>
  <si>
    <t>HTFSI</t>
  </si>
  <si>
    <t>ETL spin coating</t>
  </si>
  <si>
    <t>ETL calcining</t>
  </si>
  <si>
    <t>PL 1st-step spin coating</t>
  </si>
  <si>
    <t>PL 2nd-step spin coating</t>
  </si>
  <si>
    <t>PL drying</t>
  </si>
  <si>
    <t>HTL spin coating</t>
  </si>
  <si>
    <r>
      <t>BL-TiO</t>
    </r>
    <r>
      <rPr>
        <sz val="11"/>
        <color theme="1"/>
        <rFont val="Times New Roman"/>
        <family val="1"/>
      </rPr>
      <t>₂</t>
    </r>
    <r>
      <rPr>
        <sz val="11"/>
        <color theme="1"/>
        <rFont val="Calibri"/>
        <family val="2"/>
        <scheme val="minor"/>
      </rPr>
      <t xml:space="preserve"> ink</t>
    </r>
  </si>
  <si>
    <r>
      <t>TiO</t>
    </r>
    <r>
      <rPr>
        <sz val="11"/>
        <color theme="1"/>
        <rFont val="Times New Roman"/>
        <family val="1"/>
      </rPr>
      <t>₂</t>
    </r>
  </si>
  <si>
    <r>
      <t>PbI</t>
    </r>
    <r>
      <rPr>
        <sz val="11"/>
        <color theme="1"/>
        <rFont val="Times New Roman"/>
        <family val="1"/>
      </rPr>
      <t>₂</t>
    </r>
  </si>
  <si>
    <r>
      <t>PbBr</t>
    </r>
    <r>
      <rPr>
        <sz val="11"/>
        <color theme="1"/>
        <rFont val="Times New Roman"/>
        <family val="1"/>
      </rPr>
      <t>₂</t>
    </r>
  </si>
  <si>
    <t>80% active area</t>
  </si>
  <si>
    <t>Cu</t>
  </si>
  <si>
    <t>Ar</t>
  </si>
  <si>
    <t>O₂</t>
  </si>
  <si>
    <t>Tem</t>
  </si>
  <si>
    <t>Sputtering</t>
  </si>
  <si>
    <t>BL-TiO₂ ink</t>
  </si>
  <si>
    <t>TiO₂</t>
  </si>
  <si>
    <t>PbI₂</t>
  </si>
  <si>
    <t>PbBr₂</t>
  </si>
  <si>
    <t>Acetone</t>
  </si>
  <si>
    <t>Electrode sputtering</t>
  </si>
  <si>
    <t>Key input parameters</t>
  </si>
  <si>
    <t>Current value</t>
  </si>
  <si>
    <t>Notes</t>
  </si>
  <si>
    <t>Recycling level of substrate</t>
  </si>
  <si>
    <t>0%--&gt;no recycling</t>
  </si>
  <si>
    <t>Recycling level of electrode</t>
  </si>
  <si>
    <t>Consumption of ETL calcining</t>
  </si>
  <si>
    <t>100%--&gt;current practice</t>
  </si>
  <si>
    <t>Consumption of electrode sputtering</t>
  </si>
  <si>
    <t>Consumption of PL 2nd-step spin coating</t>
  </si>
  <si>
    <t>Consumption of sonication</t>
  </si>
  <si>
    <t>Consumption of ETL spin coating</t>
  </si>
  <si>
    <t>Utilization efficiency of spin coating</t>
  </si>
  <si>
    <t>60%--&gt;no recycling</t>
  </si>
  <si>
    <t>Consumption of PL drying</t>
  </si>
  <si>
    <r>
      <t>UV/O</t>
    </r>
    <r>
      <rPr>
        <sz val="11"/>
        <color theme="1"/>
        <rFont val="Calibri"/>
        <family val="2"/>
      </rPr>
      <t>₃</t>
    </r>
    <r>
      <rPr>
        <sz val="11"/>
        <color theme="1"/>
        <rFont val="Calibri"/>
        <family val="2"/>
        <scheme val="minor"/>
      </rPr>
      <t xml:space="preserve"> cleaning</t>
    </r>
  </si>
  <si>
    <t>UV/O₃ cleaning</t>
  </si>
  <si>
    <t>Energy consumption of PL drying, kWh (21.60)</t>
  </si>
  <si>
    <t>Energy consumption of electrode sputtering, kWh (7.056)</t>
  </si>
  <si>
    <t>Recycling level of substrate (90%)</t>
  </si>
  <si>
    <t>Recycling level of electrode (95%)</t>
  </si>
  <si>
    <t>Utilization efficiency of spin coating (80%)</t>
  </si>
  <si>
    <t>Energy consumption of ETL calcining, kWh (2.400)</t>
  </si>
  <si>
    <t>Energy consumption of  sonication, kWh (0.400)</t>
  </si>
  <si>
    <t>Energy consumption of  ETL spin coating, kWh (0.309)</t>
  </si>
  <si>
    <t>㜸〱捤㔸㕤㙣ㅢ挷ㄱ扥㍤昲㐸ㅥ㐵摡昴㑦散㔸㡥ㅤ㌶搰㐳㕣戹戴㘸㔹昵㑦㙡㈴㈲㈹㔱㙡㙣㐹㌶㘹ㄹ㘸㔱㄰㈷摥㥥㜸搶晤㈸㜷㐷㐹㜴㡢〲㉤㔲㈰〵㤲扥昴愱挸㕢㤲㈲愸ぢㄴ〱㡡扣ㄴ㐱晡㤰ㄶ㈸晡㠳扡㍦㐰㠰扥ㄶ㉤ちㄸ愸ㅦ㕡㈰敤㑢〳㜷扥㍤㔲㈲㈹㉡戱㔵ㄵ昰㈵ㅥ敤敥散捥捥捥捥㝣㌳㑢㠹㐹㤲昴㠰㍥晣挵ㄷ㐵攳愹㑡换て戸㥤㉢扡㤶挵敢㠱改㍡㝥㙥搲昳戴搶ㄵ搳て㈲㌴㈱㔶㌳㠹敦㉢㌵摦扣捤ㄳ戵㌵敥昹㌴㐹㤱愴㐴㐲㤵㠹摦昹㤷改㌴㔴慣㔲愳㐴㔲㌴㑢慡ㄶぢ昳㑢户㐸㜴㈵㜰㍤㝥㍡扢ㄸち戸㥣捦攷昲戹㜳攷昳㥦捦㡤㥤捥ㄶ㥢㔶搰昴昸㘵㠷㌷〳㑦戳㑥㘷ㄷ㥡㑢㤶㔹㝦㤱户慡敥ち㜷㉥昳愵戱昱㈵敤摣㠵晣戹㠹〹攳攲挵ぢ愹ㄸ㐹㕥㈸ㄶ㘶戸戵㑡昲昶㑡㙡㥣愴捥ㄵぢぢㅥ㌷昶㑡愶〲㙢攴㑢扣㙥挲㙣㥣㝢愶戳㥣㉢ㄶ攸晦㉥慢㔰敦㝣㙥扥㔲攱㡥㙦〶收㥡ㄹ戴㘰㌹搵㥥慦㉦㉤㙡㔶㤳挷㙣愱㔲挲㕥搴扣㌹捤收㘹晢㠶捦慦㙢捥㌲㐷㑦戱换㑤㔳㡦搲㜵㐶㑥つ摡愸㙤愴摣㝣戱㔰㙣㘸㕥㄰㡡愴つ捥っ㥡㉤㜶捡㜵愹㈲搶㠸㔱㤸㠷つ戵ㅤ〶㝢ち㉤ㄳ㔰㔵㈵ㄲ㑢ㄲ㌹搴戵㌲㉢㤶㘶捦戲攸㐷攴㜶摤ぢ㠷㘸愶㕣搳攴摡㤲㕣慢换㌵㕤慥㜱戹㘶挸戵㘵戹搶㤰㙢愶㕣扢㈵搷㔶㘸㑥攷㑢挴攳㜲晢㝢挹戹㙢摤昹晡㉢㉦㝥敦挷摦㌹晢攱㙦慥扦挶攰㘹挲攵㔲搴㔰搳㐴㘲晢㠸っ㔰㈴捦搸㍦㐸ㄱ㈸㜳攴㠳㙢昷㕦㝤攵摤昹搷扦㝢捦晥摢昰搵㕢愹っ㉤㤹㈳ぢ攵收㜸戰㐷敥愴挰㌲て㝦㈳㔰㕦戱挳ぢ㉤㜱扦慥攲戶㘷ㅤ㥤㙦挴愸㐵㕥㤰戲㡢慥ㄳ昰㡤愰愴〵㕡摣㕥搰㍣敥〴㉡㑤ㅡㄵ慢挲ㄶ㔶愶挵㔸㘷㜵戲摤㈳〹ㄹ搱散㤲㌲㈴〶㐲㐹㡣攰㈰ㄲつ㘹㈲㌶〸ㄷ㘶㌴扦ㄱ㘸㑢ㄶㅦ改㜳ㅣ搸㡤㝣昵㐶㘰㕡㝥㡥㐴㤶㍤户戹ち㡢敥㤵ㅣ㠴扢ち昷㡡ㅤ㈴㈲㔰っ㝦㘹㠳ㄷ搴㐳昴㈷㈹㤸㉡㤸㜴戹て挰搹攲愵㡥㔲㠷㔴㉣戹戶㘶㍡㝢㜴戹愹㈷㐹攸戵㜶㉣㤴㍣㙤㥤攲㝡㑢昴搹摣ㄸ晥晢㜴㘰㈳㕣㌳㈶㡣昳㐶㍥慦㑦㡣㘹攳㥡㠲㐰㝡搴戸㍣㑣㙢㔲昶㑤搳搱摤㜵ㄱ愸〷㙤㡡㐲ㄱ㝣搵搶㉡ㄷ㐳㈹愳慡㜹换㥣㠲摦㥢㉤ㅤ㌶㡡慥攷㜱㑢ぢ戸㉥〶〰昶㐷㝢〷晤㘹捦戵㌱晥㔴㐱昳昹ㄶ〸㡣ㅡ攱㐶〵户改攸晥昱挱捣㑡㐰愲㠷晢㜹㕢㐲戶㉤慢㄰㌰㜲㕦㘸㝡戲㝦㤹㜰晥挹つ㌳㘴㥦攸㘳ㄳ㌴扡㑢㍢㜳愷㍤晥搲㈶㜷㥢㐶㤳㤴昱搶㌸昸摢㑥ㄹ戲㐲扤〸挸㕣㥦㍢㐲扤㔱㝢挱慣慦㜰慦挲㤱㉦戹㉥㡥晡〴㔸㥣攲戱捥晤搱㜹㤸㥥戰㔹㝦愶㝢搴㤸摡〸㌸㐵戳㑥晡㔲捥ち㕡㔵㐴搲㤱㥥㈹攱㥥挴㌸搶㌳㍣敤搶㥢㍥愲搶㜳慤㕥捥愴扥愶搱㥥晡㔵㔷攷搱愸ㅣ㤱愲㔲ㄴ㥦㐴戹㈰㐲愱㍣搶ㄷ愸㈲昱㐰戶摦㡤昰㕤㥥〳㠸ㅦ㝦愸㐵扤敥㠵㜵㠳㈰㘳戳㤴㘰㑦昶挶㑡敥㍡㔹㡦慣㘴㜱〴㤲摣㡦㈸㕤㡡㙥㜹つ㌶ㄹ㠸愷攱㠹扡㙣〶扦挵散㘷㜷㍥㡡㄰扢改ㄹ晦摦挹戲㝣愸㝤晡愹㌵挲散ㄹ捤搱㉤敥㝤戲扤愰㤱㝡っ㘴ㄸ攴㌸㤱愴愴晣㤵搰㙤㐷㑢㈲ㄳ戲つ搶㔲搶㑤㍤㘸挴ㅡ摣㕣㙥〴㌴㐶愵㕡㈲〱㌳㝦晢攳〷て摥愰㍡敤搷〴昵昷㔰晤愹㈷㐰㑥ㄲ㐹㈶㤳㤲挰捦㔸㔲捤㔲㍦昶ㄹ㈲昱㌲㜷㌸搵㘳㐹挶㤰㥤㐴愶㐷㙥摤づ戴㈳㌴㥡㔴㍦㠱挷㤰㤸〱㙥敡戳㈰愷㐰㍥㑢㈴㈹戱て改㑣㌸搷扦晥㐳㐵㐲㡦㜶愷㌱敢㜳㤸搵愵摤ㄹ搱㤷愲挰晤㐱㈶摣捣㔲戰㘰昲㡡慢改搳㕡㥤㙡捦㜸扢昲㑣ㄴ㕤㝢㤵㜲愷㤷挱捣㈲㐵づ㐵攴㥡愹㜳㉦㠱㠱ち㤵戹㔱㉡㍣晤㤸挰ㅤ㥦㤲㘲㐴㔲㤴愱挴愰扤㘶㍢戲㐶摡昷摢㕤㐶捦㙥㤳晦昷㙢ㄷ㥥㐷㤹㥣㑣㡡㠲㘵㡣㥡㙡㥥㠸㠲㝢㝥攴㔸摤㑦㡢㡥搸㤵㠶扢㍥㐳ㄷ捤晤戰戰昳㡢㥥ㄹㅣ摤㍥㑣㐹㕥戳㡦㠹昱戲挷〹㥥扤㉡愱㤴㌸㈳㔶って攴㠸㐵挳㈲㔴扡㐰㘲搴㔸㌴昹㍡㔲换搳摢㔹㔴㤹ㄶ㥢㝥攰㡡㥡攴攴㜶㝥挹㥤㜳㠳㤲改慦㕡㕡㙢㘴〰㍢攴摣㙣㜰㠷㤰搵㈳㠰晤戴㐹敥敡㉡搷〷攸㔸㜱㥢㕥㥤捦㤶ㅥ〷㙣愶㥢ち㍦㈶㘰㤹㈵㔸㑣㘶昴敤づㄶㄸ摣㐵晡敡攱㜷捡㝦扥晤昲昳㌱〲㝢㐶〱㐲㈱愲〰㉡㜶〳摦〸捣㜴㑦搱昰〴㥥ㄸ㔷改㔹㘶慥㕡扣愰㜹攴搸慥攷慢㜶愷ㄹ㍡㕥㔷戱ㅦ㐶换攳㘰㙣捡㠱㘱昶换敤㡣晥㕤㡡ぢㅦ㠴㌳〳㉦搸攱扥㌴㈵捥つ散摣攵㕤㈹㜷〹搹ㅥ㔱ㄱ㈰㜳㝣つ㈵㝦慤㈶㈵愰ㄶ㍥愶晣㤶㐴つ搴て挰ㅦ㜵昰ㄴㄴ慢㤲㉢㡥扢敥〸捤ㄵㅦ㤵㤸㠰晡㜸ㅣ挷㐰ㄱ㉤扥㠹㡥摢㐸ち㜲换攸㈰㕢㠵ㄵ昳收㕢㜵㔶愷攴搵㝥㥣愶昰㌸慤㝡㕣扣㐰ㄳ愲㐳㈶㑣摢㌷㕤㙦㘵挹㜵㔷昰㡥搹㈷㝡㝥㠳昳〰慦挵㈱㍢㝣昲愲㑤扥ㅦ㠹昴扣〸摢㜶〷ㄳ昵㝡㤸㡢㈶愸ㄵ㤹昶敡愲挷㝥㐵攷挷攳敤㐷㝦晡挶扢敦㝣昹㡦㔳敦摤扢㝢愶昵㠷㘷扥捦㝥搹㘶晣攵挶晤收愴㍢㌲晢敡昹㠵昷て㥣㕡扢慤㈰扤㍤㔴㘹㠱挷捡㝥㘳ㄳ扢慡㘶㘰昱㈱㈳㜴つ戴ㄳ〶愱ㄱ㤵㝤㝡摣愸㌶攸搴愵戴㔱昶㑣摤㌲ㅤづ搷愱㠲ㅡ㉦敢㉢㝣㤹㑡扣〵ㄷ慦㜸搷㐹ㅢ㔵㑦㜳㝣攴ㅡ愷摥㍡搸搳ㄳ搱愲ㄸ〵搳昱㘹ㅢ㠱㤷㘸敦㌷〰攷㜴㜳㑤摢㈹㙢慢晥攳㄰㑥攴㈷㥤㉦〴㉦㤹挹㌲㑢挸㠹㕤㐶〴㡢㕤㈴㜹搹慥〸扣㤴㉤捦㤴戳摣㌶㝤晣㐶㤲㌵㐴扡愶愲㔰ㄶ㐰㈷㥦挵昶㈱扥愱㔲㜹昸ち㄰㡡愷挴㑦㈷敤搲㍣㌲㈸㠷㙦㤶愸愲攲扡㐴㙢㔸ㄶ㠴晥愹捦戵ㅢ攸㌰搴㌸㈸㍡晡戲昸ㄷ㘸㐸扤㡣〹愸㙣〰捤㍢攲㌳㐳搹〳㡣㘶㍦㈳㡦〵㌲㔰㕢㘲散〳㙡㈱戸〷〴㈷㐳㤱㠴〰ㄵ㈱愰㈲㈰挲㘰昸㈹捤ㅦㄸっ敦户ㄹ㙣晦捦㉦晤敥攵攵挲㌷㉦晥晢ㄷ捥㥤户㑦㌱㔴㔳〸〸㈹㌶㐵攴㐰捦〵㑣㉤ㄴ慡㠳㉣捥㔰㝤挱敡敡㌴ㄱ㠶摡㑢ㄸ愶摣㙥愰㤳㐱ㅤ㠳戲㈶㌶㐳攴㐰戱㔰ぢ攳扣〳ㄷ戱㔹ㅡ摥㐷挳㕤〵㝡〶㘵て搶愸㕦〴㐱晥㘱挲昴攸㕤㈱搲昹㌲戸〲攰㥢㝡㤵㐸㍡㤲㠱戹挵㐲㙣愶㐲㜴〶挶ㄷ㐳ぢㄸ㐲愱挹㠴戶攸昵挸㠲搶㐲㔶㠵ㅡ改〸挳摥戰㙤㡣捥㉥愵㈷㉤㉢摢㠱㉦㍦㜶〳㐳扤㍦㤹㉤搲搰〹㝡㙡㌵㉤㕥ㅢ慦搹收〶搷㙢ㅥ慦户敡〴〳换戹つ换户搹て摢挶晦攷摢慦㘵摦扣晦晢挹㥦ㅣ㥦晢搶搷㈶㍥㍡挹敥戴ㄹ晤㍦㕦㘵㍡ち㉡㌸摦㜳㠳㔰㜸摢敢㘶戴晦㈹㌹㐵㑦挳ㄶ㉣㄰愱挲㔵ㄱ搸ㄲ㤵㉦敤㑥㔶㈷ㄳ㈲ㅡ㤴ㅦ㤰搶晦㠳ㅣ㜸㐷㙦㈲㝢㥡㐶搴㉦ㄱ㘱戸㉢攱搷戰扤ち㙢慢戰㉦㝢㙢㈷ぢ扥搹㘶昴晦㜴挷㜰㤹㌰ㅥ㝢㠳㘶㐰㘳戱㠹㐶㈳ち㜶敡捦㤸㈸昰愷㘱慣扥㘷搲搰㄰昲㘳攵昵昷㕥昸㜸晣㉢㤳っ敢戱扣㌳㌰昴㕦扦㕢㉤㕤</t>
  </si>
  <si>
    <t>㜸〱敤㝣㜹㥣㕣㔵㤹㜶㥤敡慥摢㝤㉡摤改捡㐲㔸ㄲ㐲ぢㅤ㌱㜴㘸慡慡慢㤷㐲㘲搲改㙣つ搹㐸㈷㈴㌳㉣捤慤慡㕢㐹㤱㕡㐲㔵㜵搲捤㈲㌰㈰愳㝥愳戲㌹〳㝣㡡㌰㝣晥晣㄰〵㔱㍥〷ㄹ㔴㄰㐶㤴㐱ㅣ挴㜱㠰㜱挶㜵㔴〴ㄴ㜰ㄹ昵愷㌲捦昳摥㝢慢㙦㉤摤㔹㈶晥扥晣㌱户扢摥㝡捦㝢摥戳摣攷扣攷摣昷㉣户㝣捡攷昳扤㠹㡢摦扣㥡挹㉣ㅡ㥤㉣㤵慤㕣捦㜰㈱㥢戵㤲攵㑣㈱㕦敡ㄹ㉡ㄶ捤挹つ㤹㔲戹〹ち挶㔸〶昱愵挰㔸㈹㜳㤹搵㍡戶捦㉡㤶愰ㄴ昰昹㕡㕢戵ㅦ昱慤捥㈷攴〶㌴㔳改㘶ㄲ㘸昹戴㐱搲㐲㐲㔵慤㐹㠲㈰㙤戳㐰戶つ慦摡㥣戸〴〵㡦㤶ぢ㐵㙢㔹攷㜹㜶昶换㈳㤱㥥㐸㑦㙣㈰搲摦ㄳ㕥搶㌹㍣㥥㉤㡦ㄷ慤攵㜹㙢扣㕣㌴戳换㍡户㡣㈷戲㤹攴㌹搶攴戶挲ㅥ㉢扦摣㑡㠴㝢ㄳ㘶㙣㌰ㄲ敢敢㑢挷攳㠳㙤㙤挸㜹搳昰慡㉤㐵㉢㕤㍡㔲㜹戶㌳捦捤挳慢㝡㌶㔹攵㈳㤵攷㙣攴㠹㉣㔷ㄷ㜲㘶㈶㝦㠴㌲つ㄰晥摥搵㔶㌲挳㜶戲慣㘲㈶扦慢〷搵慥〲ㅡ愱㠱㥥戵㐰㍣㘹㤶捡挳㔶㌶扢搵㑡戳㠹摡㜲挴捣㉡㕡昹愴㔵㥡㥤㕢㌳㤱戴戲㑥㜴愹㌵㜷㥥㔹摣㘴收慣㘶㌲ㅤ㌹扢摤㐶㔲㔶扥㥣㈹㑦戶攷戶㤷慣慤㘶㝥㤷㐵㤵㐰㙥摤㜸㈶搵摣慣㥡㥢㝤㑤愷㌶慡㡣戴㑤捦摡㘲㜲㜸户㔹㉣㑢㠸慤ㄶ㘹愴敢戱㄰愹㜸㔵戵㘸㐵㥤㌵愹搸㑣愳㤹摣㌹㔶㌱㙦㘵㔹〸ㅢ慦扢㐶㐹㌰戱愱慦㠰攳摥つㅢ㐶捤㜲扡〶㙦㠵愵攸づ㤲㄰㠸㌱〷愴㜹捤㤶㔵摢昴㕣捡收㠱愸收㔷搰户㙡搳昸挷㑣晦㔸挲㍦㤶昴㡦愵晣㘳㤶㝦㉣敤ㅦ摢攵ㅦ摢敤ㅦ换昸挷㉥昱㡦敤㐱㑡昷㙡㙤㘹昱㍢㤷敡㜸晣捣慦㕦户㙢搵㕦挴晦昳换昹晦晢搱愵〱㜶愷扥㐶㌷㔰㡢捤㔰愹㌴㥥摢换㝥散戴㥢㜴扡摣敡㔲㜹㡢㔹捣㤵㡥㙣〳愳㜹て搴挲㐳愵摣㥦扥㠵㔱挸ㄱ㘹㘱攳ㄸ挰晣㡥つ㠵㕤㥢ち挵ㅣ〶㥡㜵㔶㘱愳㘵收㤷昷挷挳㍤搱㐸㈴ㄶㅢㄸ㡣㠶㘳搱㠱㐸㠴㔱愳攵搴㙡㙢摦㜲㡣㔴㤱㘵ㅢち㐹㤳愰㉦て敢〵挸㐳ㅦぢ㘲ㅣ〷昲搶扤挵㑣捥㉣㑥㜶㕡㜹慢戸㙢戲㌳㠹〱搶㘹愰捥㉦晤㕤㘷慥㤰ㅡ捦㕡㥤ㄱ㝤㍣㔳㥤〰愲搴㝦挰㡥㘸㑢㍦ㄸ㌹㝤搱慢㕤㔷㙥扡㙢晣戱㉢摥昷㔹晦㑡挵攱㔴〶搷㐵㔴㍥ㄱ挴㔸っ㌲㙦㜸㜳戴搳捡㘵㑡散昰㥤㘹㌳㠹愱㔴㥦㐴㤵㑥㄰愵扥攳收户晤搵昱愱㐲搷挸㕦つ㙣㜹㘴捥搲㝤㤷㈹㡥捣㌴㉣攳㘴㤰攵昵户摤ㅢ敦改ㅢ攸つ㠷㈳㝤昱㜸㉣ㅡ敦敢㥦攱慥㑦㐱ㄶ扡㡢㤹㉤〱改㘰㤵扣户昷㔶㐶㥦ち愲搴昳㑥㜵ㄶ㕦㜶捥挷㉦晥摤慦㐶㍥昴捡㜷㤲晦㕢摦晦ㅤ挵〱㐸慡戳ㄴ捣㡡晡敡㠴㝢㈲晤晤戱戰攷㡡㔶㔵㈸摣攷㙤㠶搳㔸㘲㌷㠸戱っ攴㐴〷㘸㉢㥤捥㈴㌳ㄸ摥㈶慢慡㜷㍡㤵㝢㐰㤴㝡搶愹摥㡥ㅢ晥昱㤱昴㑤㍦㕡㝢晢搲㠵㡦敥㔸晢敦㌱挵㡥㈴搵ぢ㠳㔹攴㔸㠸㤸㐷㘴㈰ㅣ㕥收㔸㐳摦㘰㑦㕣㐷㤸㕤ㄴ挴攸〵㔹㌰㤲㉦ㄵ戲㘲ㅥ㔵㠵挶愸搵〷愲搴㔳㑥愱晦戶收摢换摥㌷昶攴㠶〷摦晣换扦㍣昳扥收㘷ㄵ㥦㤶㔲攸〰㤸搳敢㌱改慢㐲㈰㔲㠵挰㈰昳㡦㠳ㄸ㘷㠲捣捦㘶搲㔶㌹㤳戳慡敡昰㜶敡㥣〵愲搴攳㑥ㅤ㍥晣㤹㠹㘷㉦扥愱㜷挳㝢㝦昹㐶捦㐷ㅥ㤹昳〹挵㠷戵搴攱ㅤ㘰挲昵㜵〸昷っ㔴㔷㈳摡敢㙤㠸ㄵ㉣㘲㈵㠸㌱〴㜲攲㕥慢㤸㘶敦挲ㄳ愶戳㐸㔰慡敡戳㡡捡挳㈰㑡㍤攲搴攷捦慤㕦㐶敦㝤㝣㘸昸㤶㈷ㅦ摡昳慤换扦ㄲ㘸㕢㠳攸㜳㥤戱㜹㜵搱摣㡦〷摣搴戳㌳摡ㄳ收摦㠱㥤〶昸っ改扥昴㐰㍡ㄲ㐹昵㠵捤㕥㌳挰搱晤㘰ㅦ㔵昳愱摢㤶摥㤱挹愷ち晢敤㘷㔷㝡㙤㈶㕢戶㡡ㄲ攸㐸攳换㝥晥㑡戸㍤扤㘶〲㡥㑢搲㝥捣捤㑦て㕢挵㌲ㅥ昸攵挹愹㤱㜱搱㉡戳㘴㑤〵扢㥤扣㔷ㄵ挶昳愹搲挲挶㤱愳㘵戳㙣㥤㔰ㅢ㌷㤵㐹㕤戲㔱㌸〳㔶㐹慡戴戸㌶搹㜹㘶㜶摣ㅡ㥡挸搸搱㈷搶㐴挳㉤㈸㈴愶㡦㕤㕢戴㉥慤挴搶搵㘸〸㙥攵㍥挹扢敥㉥敤㈸扢㕥㥤挳扢ぢ㈵㉢㉦搵敢捥㙤挹㈴昷㔸挵㔱㡢㑥愹㤵㤲㕢㍤㠶㔱㡥㙦搲扤㌹㡦ㅢ㠵户㤱㍡搹㉢㈵搰㔶㍥㘵愵㔰㕦ㄸ㕡㜹㜲㥢㤹挸㕡ぢ慡㔴散㌲ㄱ㜱㝣㤵㜸㙤㈱㌹㕥ㅡ㉥攴换挵㐲戶㍡㘶㈸戵㡦搶㥡摡㔸㐸㔹捤㜲昹㙣慡㝣㑤㑤㑡昹摥搶攸戹捣扣㑢㜴㍤扣㐶〲慢㤹㔹搹㘳㐴昴㠶ㅡ扡㉣㤵㥣挱㜸㡣㡣晡㑢㘷慣㠹搷〸愹ㅤ㥥㔱扢㠱㤱㌲搱㜱搵ㅤ慦㘷㉢摡〷敤㤰戵搸㉢晤㕤搳㘷㌹㘵㤷〷愸愹愷㔵㌸〷愱昶っ愰㐹戶ㄵ摢晢搳㉡晢晤昳㥣扢㕦戳て㕥敦㝡㌳㥦捡㕡挵ㄹ㘷㔰㡡㌵搲㙢㐹搶㤱慣㈷ㄹ㈱㌹ㅢ㈴昰晦㌰挶㑤㡢㈸挷㕣㌵愱㈶〳晢㌳愹昲㙥㘳户㤵搹戵扢っㄹ㘶㕥慤慤㠴晢搷昸㥣㠶㘹搷ㄳ昸晣㤰㤳㌹扤㠱㘴㈳挹㈶㤰㘰搰㘷㙣挶户捦〸敡㉤晣㍡㤷㐲㐱慣㜳摢攴㕥㉢愸〲昴㘶て摤攷㐶㜹㍥㉤㉥㍥收㘰愵㐰づ㌳㠹㔲㔳㔳㈳㈰搶㥢愵摤㘵昶挱ㄹ㈳挵扢摥捡㑣㐷㐱摡戶㠱㙣㕡㙦㘵搱㠳㡦搴昴㉤㐰㍦晤㠰搳〴㉡㉤挸㡤㑥收㤳扢㡢㠵㍣收扢慢捤戲㌹㤴挴㕣愸愴㑣㈳户愱㌰㍣㕥㌶㜲敢㌳昸㙡换㙤戵昶㕡㘶㜹ㄸ㈳㜴戹㍤户〱昳㈸ㄹ㐲㐷㔲ㄳ㠱㥣㍤〵㕡㙤㤵㤲㥡㜳愵ㄱ㡣㐸ㄳ〶㌸っ戱㙤㌹㡥㌱搶㐴㤹㔹户攴攰㤴挳㤲㌴㤴扡㈵㤵捤㌱㘵扢挸摣搴㐱㈷㠴ㅣ㐲挲㝡㜲㤹㈵〲㍢㈷㜹㔰攳攱〹㐷戱搹愱戵㥤㘷㝢㌹㤳㉤昵㌸昰昶慣㉥㘰㉥㙤挹㡣㥦戰ㅢ〶㙣换㤸戱戱㙡晢㌸㈷㕢㥢㤳〹㍢㕢㔴㘵㕤戱㌰扥㤷敥昸㤱捡㠷㜹昹昴㜶㤰㡦扣晥昱户㉦昹昰晤㙦㍡摦㔷愱昷挸愵㌹ㅦ搳㌴㜵〶昱㈵㤷摥㠹慦攰㑣㜱〱㑥摣ㅡづ戲搳捣ぢ〳搰㙦换攱㙥户ㄵ㉤㤹攸戶㑡〰㝤愹㍤户愳㔰摣㤳㈸ㄴ昶戰昱㘷㑢愸戴摢戲捡㌲㝢㜴㈶换攴㤵㔲㑤㑤㔵搳㐴捦㌴㤳昳㑥攳〲㤰昶愱㙣戶搳捤戱㘴㕣〸㔱ㄳㅥ㈶挶㐵㘰㑥挴㠳〸㤳㠶戱摥戱㕣㘶挲㑡㡤攱㌱㌰㤹捣㜲㥡㍦㤱㉤攵搴㕤㠰㠰搳㠷㑦㍣㝦捤㘷敥㍢晦ㅢ㙢ㅥ㝥改㤹㌳㈶㥦㍤昹㙥㜵愷ㄳ㔱㌷戹攴㡣㘵〶捦愷㙡ち挷〱愳捡昳愹㝢愶摢て扣晦昱㕣㡥㍡捦愵摡㙢㌹敤〰㡦敡ㅡ扦㘵摡愷搴晦㍣昷ㅢ慤㥣摡捦㝤ㄳ㥤㐵摤㠱㙥挷攷㍣昸敡㑢㈷ㄱ搶㈹ㄲぢ〴㑦㙢ㄹ挲昰戰摥㘵〷ㄵ㔷ㄱ搸攱昴㙥㤲っ㐸㠰敢〴㌳㍦挷搰㕤㌹㤵㘹收㥡㑦㝢㙥戵㤵㌶戱㝣㉡捦ㅥ㘵晥晦㝣㌴㌵㘳挱搹昳㕣㥡昹㈶㔸㜷摣㠴㔱敢搱㔶慦散㘱扤㌱戵捥捡搳㤷㈹ㅤ挹㈷捥㤱㝣㜲改㑢㜰ㅦ敥ㄵ昸㈰っ攱攰敦㠹㍥㕤换㍥扡つ㘳㘳扥㔶摥㈱㈵㥡敢㑡昵㑦扢㍣愴挱㤹攲ㄴ㤷㤷昸挴搳㝣挲ㄸ㈵㤰㈶ㄸ㡢收㌳㐵晤㉦攷攱㔰昷搴㜸慦ㄳ㔱户ㅡ挵㐵㈸ㅡ㥡摥㑦㌲㐱㌲㐹㜲ㄹ挹攵㈰敡㍡㈴愵攵扦㠴㐵慢〸㝣挶挷㉢㝥敡㤵搴㜹㈷挹㔵㈰昴㔳慦挶㜷ㅢ㥥㜰㥣㑡㡥㜳㝤〶摤攰ㅡ㉡㠸捦慡ㄴ㔷扢愴㉢㕣㑢攱㜵㈰敡㈴㄰㝡㙣㍥晤㉥㤰㘹㝤㠳挵搴愸昳つ摥つ㘹㔰捦㄰愷㍡愱㔱㐱㑢昳〹㙣㈳㜵改㜴㐸敤㜵㤱慡㕤㘷㍢〵㘹㘵㔵昰㐶㌰㉡敦愰〲扥晡搲㌷㈳慣㙦㈱昹㈰㠸㘷㍣昸ㅢ㍢愸扡昰㉤㈰摣㑡愵摢㐰ㄴㄷ搶㌸㈶攸摢㐱摣㑢㔹㈸㠳愶㈶收戲〴攲㝡〰敥㠰㌴愸㘷㠸㔳㕣慥㥢〲㠰收㘲〳㜰扥㜳㥦㜵愶昲攷㑥㐴摤捡ㅥ搷攲〴㠰㡦㠱㔱㍢愱搶㜸㐰扣㠷㘵㝣㥣攴㕥㄰て〰㥦戴㠳㡡敢㜹〲挰㝤㔴扡ㅦ㐴㥤づ㈲〰㝣ち㡣㝢愹捤㈸愳〲挰㌲㠸敢〱㜸㄰搲愰㥥㈱㑥昵㐰愳ㄱ〰㙢愶〳㘰戵ㄳ㔱户㜶ㄸ㐱㑥〲挰攷挱愸㔵搳〲昰㐵㐴敢㐷㐹ㅥ〳昱〰昰戸ㅤ㔴㔱㝣ぢ〰㑦㔰改ㅦ㐰㔴っ㐴〰昸㌲ㄸ昷㔲㜱㉦〰扤㄰搷〳昰ㄴ愴㐱㍤㐳㥣攲攲㘴㈳〰捥㤸づ㠰ㅥ㈷愲㙥ㅤ㜳㄰㌹〹〰捦㠱㔱换愶〵攰㥦ㄱ慤扦㐵昲㉦㈰ㅥ〰㕥戰㠳㉡㡥㙦〱攰㐵㉡晤㉢㠸攲ㅡ愶〰昰㙤㌰敥愵㑥昱〲㜰㈶挴昵〰㝣ㄷ搲愰㥥㈱㑥㥤〵㡤㐶〰ㅣ㍦ㅤ〰挷㌹ㄱ㜵㡢愸㉢㤰㤳〰昰ㄲㄸ戵㘰㕡〰㕥㐶戴㝥㠵攴㔵㄰て〰㍦户㠳㙡㈵扥〵㠰搷挰攸搷㐱搴㉡㄰〱攰つ㌰敥愵摡扤〰っ㐱㕣て挰慦㈱つ敡ㄹ攲搴㌰㌴ㅡ〱搰㌴ㅤ〰㝥㈷愲㜶搵㌶挰㌵㤰摡愹愸㙣挱㔵搶戳㍣ㅥ愷捣㠳搲摢昳㤹㜲㘹㔶㝡㘸扣㕣㔸㥢㈹挳㈵㘸㑢㠳㠰㤵㈴㈷挸㐲㠶㈷㔱㜷晡扣㡣戵㥦捥挰㐹昵㔱搸㥤ㅣㅥ㉦㤵ぢ㌲换㕥㕣ㅦ扦扡戰愹㔰㕥㥤㈹敤捤㥡㤳㕤つ愲敤㤸ㅤ扢慤㍣搶㈲㡢㔸㤲㍣㤰㔲㘱敦㕥㉢搵愰㡥愳㠵昱㘲搲ㅡ㔹㝤㌴慣㘶㉡㝢戹挰㠷ㄹ㈹㕣㌳戵㘴晡㈹㠱〷昷㌶㌴愴ㅦ戳㔸㜵㜸㡢㘱挶㥢㐸摦㍣㘹㤹㐵㥦ㄶ㜷〶〵挳捥㌵㝤㐳㤸㝢㠰换㘴㌳摢㠹㘷㤱㤴ぢ㐷挱㌴摡搶㤶戵㍢慢昰搸㜰挹愴慣愰ㄳ摡㤸挹捦㜶搸捤攳攵慡ㄸ㜳㘲㥥ㄳ㠳昹昶收㍣摡㍦㘹ㄶ㔳㐷㐳搳攰挶㜰搹敤愲っ晣ㅤㅥ摡㜶㌶㍥摦㙢敥愹㡦搷慥㐲㡦昷㍢㔸㜳㌵戲攱昲㐷愵㑦㠲昱慣㌱㜷㐰扦㥤㜰㔷挴慤っ㜱ㄳ㑣㕡挱摥〳㥢㉤ㅡㄶ慣ㅣ㈷〳戲搶扣敡愰捣㐴㜴㝡㈸㠱㍤戱昱戲㌵扢挲㐹㙦搷改慤ㄶ户捡昶㔹㙤ㄵ㙥㑢戲㡣ㅤ㤵㑡㝥摣ぢ㌸㝡㕡〸㠸㌴㍢慤愴愴㥤㡣ㄹ㡣户晡㈶搸㤱づ戳㔵搱㝥㘹戹㝥戶㐲摤㝥ㅢ慦㝢㔶昸㕣㈶挸换ㄷ攰㉡㜳敤㔴愳㝡挰昵㙥〸戰㈷捤㜳昷愹散㘱㑥㐶戰㌶㔷挶戵昸昶戴っ㝥㔸㙡攲攱㠲づ㜶㥤㉣㑥散㤴㌳㐹㌳㥢㥤㥣㥤ㅥ挹㈷戳攳㈹㙢㠳㤹戰戲敥挰捤扤扥愳愳扤攴扣㤳摤㔶㌳攰攲㠰㌲㠲㐳㑦敥昶挳㘱㡦㜵㍥摤㠴㤶㤲攷㉥昲〸敡㠰搳敦捥〶搸㠷扣晢ㄲ㐴愲戹㔳㝢㠷㜲搶〶㐳㕢㥤㠸㘳ㅡ㤷愳㉢ㅢ㌸搲攳㍣㙡ㅢち㌸慤戰挷㑡㜹㐴敢㌳戶攸愸改㔷搲㑣㠶㘱ㅣ敥㔳㘶昵慡㍢㉥㍦昵挵㈷㔶㝣收搶戳搶㕣晦愵ㄷ㔷戸扤㠵捦ㄸ㜶㡥つ〰戳㜶㈱摢搳㌹挴〱㤰㐱㤰慥㔶〷㐷㌰摢㝢搸㤶㈹㘷慤㔹㘹㠹ㄷ扥㤵㕤㠲㘸戶愴户敤挶愲昰敡昶昴扡㘲㈶㠵攵㔸㡢㥥〸㌶㝢㜹扥㘹㠳戵ぢ摢㤲㕢ち愵って㠹戴愷户ㄵ捤㝣㘹㉦搷晥㤳㤳㜳慢㐲搲㔸㠱昴慡㑣ㅥㅤ挸㉥㤳㝣㐷㝡㜴㜷㘱㍦づ改㡤攷昲敢捣扤愵愳愲愱㘰捤捥㘵昷㉡扦昲晢㔵慢扦昵㜰㥦㔵戲㔴㉦㌹㜲㥡搳㐴攲㌴搷㐶㜰㌳昴㔹戶㤴戳㌱捣㍥换㝡㔵ㅤ㜴㙡戸㌵㔵㌹攵挸㜱㔸户㈰㔱㕢㉢挸搹敢戶㡦㑣ㅤ㈷昸㙦㥤㐳っ㙣㐲捥㌳㍣づ挴㌴㉡㝢㤷挷㐰㜹戶㙤㉥㤴搱㝡戴戴㍡㐳戵㈶ㄸ㑣㡢づ慤ㄱ㑦㔰慡㤳㕤㡢慤愵㌶㜴㝥っ扦搸㤲挳戸㍢摢づ搰慦挳㜹愶㤲ㄳ㌷㕣挸攵㑣㥡ㄷ㑤㜳ㄴ㘳户搵㉡㑥㌶㐶ㄳ㥤〶ㄱㅢ㜴㐴收〴㐴收㠴㠸昰㐸收㜹〴攱㤹㔷㘱㤷㔹捣㤴㜷攷㌲挹㔶〶㜸㘶攰愸戰㑢㑣㠹㥡〱愶㝢㠹㜱挲㘳慤㕤㜱戴㜷慣搰摣㍤㤸㐴㄰㍡㌶㍦慣搷㉦捦㜱㜵㤸㥢扤昰㘶㌵㕤㕣ㅤ㐴㙥〱慣㜸㘱㌷づㅣ㉦㡦ㄳ〶㠹っ㐴㙡ぢ攴㡣搶戳㐰挹昰搳扣ㄵ㘴挶㑤戸ㄶ㈸〴㌷ㄴ捣搴㕡ㅣ㉢㈹ㄴ㕢㥣㜳戳慤㘸㕡づ㉢挵㄰㌷㕥㠷㜱㘰〱〷㈱昶挱ㄷ㉥戶㔲㌰㡡㉤捤㘶㙥搹ㅡ㜶ㅢ搲挱昴〵〲戳㕡ㅢ㤵㌵攲收搵攵㙣㔰㜹㡦〸㡦搴攵晦捡戹㠳㥣攳攲戶㥡㐰㜵ㅢ敥㐳户昳㥥㐶ㄱ攴晤搴㈸捣愶㐲〷㐸㘰㍢㈲㙢㝢挹戴㥢㤴捣㍣㤰攳收㘹㙢㡥户〳㤷挳挰㤶㉡㌶㘱〱㠹㌱慢㤵㥢㤸㍡㠴㙣扦昶昴搳换挱㘳戹〹挴㉤㝦㍥昸㘰㤰攰改㌹㉣㝦㉥换㌷ㄱ㍣㠴摤㄰㝡㑡扡㌲搵ㄴ㘷㜷㙡㘶搹㥥昶㑥㈴攷愵㥤ㄹ愵㘷摥㔸㈳ㄳ㈷ぢ晤晣㈸㥡ㄵ攲晥〰㥢摢㙢づ昷〹㉣㘶㑦ㅢて晡㔴ㄲㄹ昲㠹敢㌳收〱昰〵ㄸ㉢昲㜲挰戲ㄳ昰㤴㡢㤹挴㌸㥦㡡㡣昷㜱捣㙦㈶㜱扡㐷ちㅣ〷㝦㍤ㅦ〹㤵〵㡥㘳㉡昲ㄶ愷㑡㉦㘰晢ㅤ戰㡦敤㘲ち㝣昴戱捣挴〹㈸敥愹戸㜶挱㉣ㅣ挳㍤づち晡㜸㉡㜲扦愵㠱挲〹㔴㔸〸ㄲ戸〴ち戵㠳㑡昵〶〵愶捤ㅡ㑡捤㜲㙣㥡扢晡慤搸㈰㤷攳〰〱改㠱戳㍣摢昸㠶扤㠳摦㡡㌴攰㜲㈵㘳ㄴ挳戳㤵ち摡挶㐵㡢攷㌸攲昷㌷㘳㡣㌲㙡户㙢敢㡡㘵ㄶ愳㤶㙣愲愸㜶㔴挱㔸㠴挴㍤㕣㑡㐱晥㘳〷㜹㈸㜵㌳ㄲ㘲㍤㠷挳㤹㕣㤸愶㉦㐶㌶扥愰㘲㙢戹搸㉣愴挴敥㔴㈷㈱㔶㜷㠲㈸㙥ち㜰挹挷㜸ぢ㐲㙤扢㍡㜱㈰昴㜴敢搲㌳昶散搸敤搳㈷㌳て㘷摡㝦ち㜸㥡〸昷て搶攱攳㕥㥥戱ㄲㄳ搶㉥㐷㙢ㄲ搱㥣戴戲ㄵ㕤㤷㙥扡〹㤰扡っ㝡㥣〴昹昴ㄲ愸㑦㜹攱愷㍡㤹㜱㡦㠲㥥昸捦慥㑡㍦昰昹㑦昷慤晣摤㠲㘸攲㔷㥤㕢㔶扡ㄹ戳㘲慣摡㤵搰愱昵㉡攳㙤㐸㌹㙦摤晡㜵戵愷㙤ㄱ㘹㥢㙥㤳挷㜴戹扤㈱愶扢ㄴ愹搴㔵〸搹愶敢搳㠴㐴㜷㠳ㅣ搸㜴慦㐱㌲㈸晡昴㌲㔰㌲昲戹ㄶ㡣㡢㍥㔸搷㜴㑦㐷愴敥愱攲㜵㡤ㄵ捥愰㐲㤸ち敦㠲〲挷㕤ㅤ㐱愸㌲㔴㜲㔳挴捤搷㌳㔴㐶㤹慣㤷挹戸㠱㘱攲攳敤摣㌷㈳㘸㜷敥ㄸ㔴づ愵㜳摦㠲㤴㠲㔰ㅦ昳晥㈰㐲㔵㥤㝢〰搲〳㈳挴扤ㄱ㈸晡昴㈰㌳㜱〲㡡ㅢ㈴敥㥤㜸㍡㜷ㅣち晡㑣㉡摥搶㔸攱敤㔴㌸㡢ち户㐳㠱ㅤ摣㔸㡥搰戱㙥挷愹㍤搷摣愰㠷慣㠰㍥㝡〸昷㔷摣ㅡ㜰慢捣改㈱㉢㔹挰㄰ぢ昸ㄸ㠴㈶㍥㕥㉣敦㐱搰挶㜲ㄵ㔴づ〵换㡦㈳愵㘰㌹捣扣敦㐵愸ち换㌵㤰ㅥㄸ换㑦戲㌶昸攸戵捣挴〹愸晢挰戸㜷攲挱㜲ㅤㄴ昴㝡㉡摥摦㔸㘱㠴ち㘷㔳攱㔳㔰㄰㉣捦㐱㘸㠹㡢攵捣㐷戲ㅢ㈰扢ㄱ愹㠱散㠳㥥攲㍣挸㙥㘲㜱㥢㔹ㅣ㌷㔹㑣㝣扣挸㝥ㄱ㐱ㅢ搹㉤㔰㤹㘷ㅦ摦㍥昰昳攷㔱㈴ㄳ㔸捦㘵挶㡦㈱㔴〵敢㈸愴〷㠶昵㜱㈴㠳愲㑦㙦㘳㈶㑥㐰㜱〷愷〱慣摢愱愰捦愳㈲㜷㜷ㅡ㈸散愰挲㑥㉡㜰挳㐷㘰晤㌳㠴ㄶ扢戰㑥㜳摡扣〱㥥攷㈳ㄹ昰㝣捡㔳づ㌷㐴ㅤ㑢扤㠰攵㕣挸㜲㥥㠳搰挴挷㡢攷㍦㈳㘸攳㜹ㄱ㔴づ挵㔲戹扢㈳㤰㡥㌱㙦㙥昳㔴㐱㙡㐲㝡㘰㐸㕦㘰㙤昰搱〹㘶攲〴搴㡢㘰ㅡ㈰㤶㠴㠲㑥㔱㤱晢㐵つㄴ㉣㉡愴愹挰㉤㈴㠱㜴ㄷ㐲㡢㕣㐸ㅢㅥ㥤㙦〰㘸〶㠹〰攸㜷㍤愵㜸ㅥ㡥㤷戰㤴㍤㉣攵㈵㈸㤸昸㜸〱㝤ㄹ㐱ㅢ搰㉣㔴づ〵搰㔷㤰㔲〰捤㌱敦㔷ㄱ慡〲戴〰改㠱〱晤㌹㙢㠳㡦摥换㑣㥣㠰攲ㅥ㔳〳扣㉥㠵㠲㉥㔲㤱晢㑦つㄴ㑡㔴攰㍣㕣扤〱〵〱㜴ㅣ愱㑡搷挷挹捥ㄹ㕥〲㘸㠰散㝥愴〶戲摣戰㜲㡢昳㈰㍢挱攲㈶㐱〲慣晡挱㙤㘳㜰ㄲ㄰昲散㉤挹㈱㤲㌹改㜳挷捤㉣㕥㘷摢㡣戵捤㌲㐵㐷挳㠴戶搹㕥㘱㍥愰捦㈷户㜰晥㠵敤戸戳㕡っ慡晤㐳攷摥攴捣捣攱慤㐰〷〳搷晦昱捤㌷て慥ㄴ㌶㕤昵㈹ㄶ㑥攲㠲晡㜲㐴搰扦㔲昸愶㡥扥㠲搴戹㌰ぢ㙦㈰つ㌴㐱㍡挳㐲㔰捤攲㉤昳㥢㌷㌵㙤攵〲㐵㜷ㄶ㔳㡥㠳㔸て扡㤲挵㜳扤㤶㜹㔴搷慣挵㤵㕥攵㌰㕣㈳っ㜰扡㕦㍢ㄹ愸㕢㘱攰戲〴戶愵戰搶㌰㕡㥥捣㘲㝤㠷㉣㈷〷㌶挷〹慤ㅤ㡤㑡ㄷ㡡㔸戰㙥慥㍤㜷㔷㐹扢〶㔹捤㥡㕦㜳ㅡ㕦㤲㌱㠶㑢ㄹ㠱慢搱㐴搳愶㠷㠲愷㔵㤸㠶㤷㜱つ攴昳㌷㘶㤲挵㐲愹㤰㉥㜷㡥㘲㥤戲㤳敦㘷愴戱㘲㍤ㄴ㜸㈷㜲㙣㔸㈶㙦慣㌹捦㌷㍦昷昱戸㔲㜰㑦扥戰㍦㉦戵〹㤴昸㥡ち㑢搳㉤㉤㉣㈶㠸㡦㕣愷〰摢㄰㤷㍤㤸㔸㕦ぢ愶扤㈹挴㜵〳㕥㈱慥ㅤ〸挳㠵〲㘱戸㔸挰慢㠳搳㝢收㘲㐸昰〸㤲㄰ㄷ〵㘸㥣挶㜵㘰㘶て慦ㅡ昳慣㉣ㅡ敦㠲慣つ㌲㤹戹㙤挵敢ㅤ挶昵㤰捣㠱愴晡㔵搸㄰㔷ㄵ㤸换搴ぢ愳晡㍤㄰㈹㤹挳㔲晥㕥㠶挰㔰㐹㜱づ㑢攳㔱攳〰㤷㑤〶愱捦昸㉢㐸愶㙤〷㔵㠲ㅡ摢愲ㅡ㑢㑥㙦〵换昷㠳〱㤶㥣捡搲㘱㌳㍥〰㘶挹昰慡攱慤㘳〳挹㜸搴㑡て㈶愳搱㐴㉣ㄶ㑥㈷攲㠳改挱㜰㌴ㄶㄹ㠸昵つ㔸攱㘸搲戸挱愳㥡㌶愳愹搸㘰㍡㘶つ挶〶〶攲〹㌳㤱㑣㔸㈹ぢ㙦攰㤹愶ㄹ㡢㠵㌸㐹㘶昶晡㐶㌰晡㈶㤰㄰攷挶㈲扡㤹愲㕢㈸攲㑣㔹㐴㔴㄰搵〰攷㤰〷ㅣ捣㥣〹㉣敦㐷㈵㔴㔲愵㤴搵摣搲㔲户㐷㕤㍤戰㘱㙥㉢㠳㈰㠷㐰挳㈰つ㘴〰搳捣攳㤴㥢〸戵昲昴〸㈶ㄶ㌰㙦㘵扤㙦〳〹㠶㌸扤愵捣戸ㅤ捣㕣㌴㍣㡥捦戹㠷戴愵ㄷ搳㐴㌴㙤㐷搳㌴㐲㥤㈰㤲挷㐵㐸㈴敦㠴摡㙦㠷摥〵戹㜲㘶挱㘸晢㡢㔰㐵づ愷昶戰㜸㌷㈲㌹㉣㥥㐲㈵愶慢ㅡㄶ扢ㅡ㑡㤷㐰捡愱㔱㝦㤴搱愷㌶搴㤱㘹㈸昳晢㤸ㄳ捤㜳ㅤ㡡搳㔰戱扥㥤愸㠰㙢㝤㥡愳〰㍢扣㍡て搲㝡㐳攳㘴㔴敥敢㕥㌰㌰㌴㑥㍣㜹㠵㌸昹ㄴ收っ㤷〹㍢㑣㐷〴捣㥦愶搳㐶㤱戳㜴㌷〱㕥㥡㐰搰攷㡣㔵攴㥣㈴挸敢戲晡〱㠸㤴捣㌶㈹晡㌴㐳㘰愴ㅢ㜲戶㈹㐰㙣昴〲挱㙥㈸㐰㥣搳㄰㠸㐱㐴ぢ㄰㥦〵〳㈰攲昸㤲ㅥ昷㜷㘰散ㅥ㘷つ愶攳〳挹㐸㌲搹㙦㐵㘳改晥㠴ㄹ㌷晢晡〶挲愶㤵㑡昶㥢攱㐸慦昱㔰㐵㜵㈰搲ㅢ敥㐵㡦ㅣ㠸㠴挳戱㜴㙦㍣ㄱ㠹づっ昶愵捣戸㤵㐲挷㡢昷㠶㌸㜳㤵扥昴㌹㌰晡㘱㤰㄰㈷慣㈲晡㝢㡡ㅥ愱攸㉣㔷㐴〵㑤㔵挵㌹㈹㝢㥤ㅡ挲㙤戰㐷㐸愵ㅦ㘵晣㘳㈰挱搰㑡㔰㤱搱戲㜵㡤ㄹて戹㤱㘲挶㕤㠴敥ㄴ㤲慦㐲慥㠶㐹ㄸ㝡捡㘱〴捤㌵〸〸㥡㝤つ搱散㙤㠸收㕡㈴㤲㑡㍣〳〶㘸慥挳㤷愰昹㜵㌰㌶㥡戱㐴㍦㄰ㄹ㡣㠴ㄳ㘱っ㑡挹㐸㈲摥㘷昵昷昶昵昶愷㄰ㄳ㡦㐷㡣㝦慡愸昶㐶㤳㠳昱㝥㐰ㅤ㡢愵㘲㝤㤱㝥㜳㌰〱昵㜴㌲ㅡ攷戸搶㌷㄰攲摣㔵愰㝢ㄶ㡣晥〶㐸㘸挴ㄵ㍤㐷搱㌷㈹㍡摢ㄵ㔱㐱㔳㔵㜱ㅥ㉡㘸㉥昵愲昹㍣攳㕦〰〹㠶㌶㠱㑥㡢收㘶㌷㔲搰散㈶㜴愷㤱㝣て㜲㜵㉥〹㐳摦㜷ㄸ㐱㜳ㄴ〱㐱昳挴㠶㘸㉥㙣㠸收㌶㈴㤲㑡晣〸っ搰攴挴㔲搰晣㌱ㄸㅢ捤〸捣㌱㙡昵昶㈷㈲扤扤戱㐴㈴㙤昶愵ㄳ㝤㘶戲㍦㌱㌸㘰〲攸㤴昱㤳㡡㙡㌲ㅥづ挷㔳挹㐴ㄴ昰挷〶㔳㘹㌳ㄵ敥挳㐳㈱㘹㔹搱㜴㥦ㄹ敦て㜱捡㉡㘸扥〴㐶晦ㄴ㈴戴挳ㄵ扤㑣搱㉢ㄴ敤㜴㐵㔴搰㔴㔵攷㠳〸㥡㜳ㅣ㌴㜹换晡㌵挶扦づㄲっ㕤〰㍡㉤㥡㥣愰㑡愴愰ㄹ㘵㔲ㅥ戶搴扦㠵㕣挹っ㤳愱摦㌱〴㐶搰㌴挱〹㥡㠱㠶㘸㌶㌵㐴㤳昳㑣㈹攷㡦㘰㠰㘶ㄲ㕦㠲收㥢㘰㥣㘷㙢㉣㡤㘷㙢㍣ㄲ敦㡢㈵㘲㌰㔰戳㜷㈰㍡ㄸ㑢挶晢㈳㠳㤱㘸㕦扦㘹㌰㠱慤ㅡ挶慦㤴愴ㄲ攱〱慢㌷㌱ㄸ敢ㅦ攸㡦愷晢㤲晤ㄸ㈸慣㔴㙦㈴ㅤ改㑤㠶㔲㑥昶㕡㈱㡤昶㠳㠴㉣㔷搴㐴㔱㌳㐵㘹㔷㐴〵㔱㔵ㄹ㠸〴捤摦晥挱搳搳㕢ㄹ捦㥦㙢〹㠶㉥㠱挲戴㘸敥㜱㈳〵捤㌸愱攳挹㑤㍤〷㐹㤵㑣㉦ㄹ㥡换㤰㡢㘶〱㥣愰昹㉡ち慣㍣㐰㉡攳收换㤰搶㍦㐰昶扡攵㉣㐰㔶㐰昳㔲㠴挱昹㡣㘳㐱㥤㥥ㅥ㌶搱搱㘳㜱戸ㅥ㌰戸㜸摦㘰㈲ㄹ敥攷ぢ摢扤ㄱ㙢㌰㍣㄰㌵㡥㥢㔲㡤㈴攳愹㜴㌸㠵㝤㑦㜶昶㜰挲散㡢挴㝢搳ㄶ㤲㐵〷愳㝤㔶愸攸㘴慦㡦㐷ㅡ㝤〲㐸愸攴㡡ㄶ㔲戴㠸愲戲㉢愲㠲愸慡晤㄰〹㥡摦昳愲搹挹昸户㠰〴㐳ㄳ㔰㤸ㄶ捤㐹㌷㔲搰㕣㐹攸㔶㤰㉣㐵㔲㜵㌹㈲昱㡦捥㡦㄰敤㤲㥦㤰晢慣㔷㌲晦㘰㜴㐵挲攸慢摣ㅣ㤷㈱㔱㝢㔳攰㕡㠴摦㍥晤愹㍤㡦昷摡㡤愹㔱搵㥢搱㙢昰愶昳㈴㜲昱㌵㘱㐳搰摥㡤㘸昶㥦㜹㜸㜹搱攷㙡㐳㔶晣〴㥥〳㔴晦㡤㝣㠸挹搴㙣㤱㌹㥥㠴㡦敥㈱㘶敦㐱㈴扤ㄶ㜹㠱挱㜳㈴晦ㄹㄴ搹昰㤵户慦㌹ㄱ戵慦扣㠵摥敢〲ㄹㄳ㈰ㄵ㍤㘶㠲愹晥ㄱ㈹㜸〷㔲㘸㍦㈲〳㌷㐲摣昰戰㑥敤㑦慦㜸㝦㤶㠶㔳㤳㘳㜲㈳㈵㑣ㄳ昰ㄲ敢戶挲㔰攵愷㜱收戸搳㠷㙥昷〵摡㈵㔳ㄲ昷㔴㥣㥢㙣㜳戱㤲づ敦㠳㘲㘲㠵㠸㙥扥㙥㝢捣㔴挸戳㠵戴㜰㑡㡡㔵㐰ㅣ捣戲㔲㙥㡥㈵捣戳㥢晤㑤慡㜶愳㔵づ扤㌸㙦㍢搲攵㘶㙥㜸〳㝥㈴㌵ㅢ㜷戰戰挱捥敦慡㑣㔹㑥㑥㜰ㅢ㔴改て〰ㅣ㘳㤰㌰㉤敦㕡搳㌵㄰㜸ㄲ搰ㅤ㜴ㄱ㐸敢㘹㙡ㄶ挸㍥㠰ㄳ搹㙣敢㥢㄰㑢攸㤵扥㠱㘵㥣㘵㤷㌱摣㌵愰ㅥ㐷ㄹ㉣〷ㄲ㈸扦㠳捡㌷㐳挵ㄵ㈹㑥㍢ㄸ㘰㘶ㅤ户㈲㄰〰㔳㌳㔷㝣㡤ㅤ㤱搷㑡愱扥㐵捥㜷攷捡㡥摢㙡㔳搴扥㔹㜲㐱摢晢㘷㍤㜰攳扢㔶㍥晥慢户㕤昰㠱㉦扤扥㐲摤㠵ㄴ㔳㘶㔹㐲㡥昶㡢ㄲ㕦㐰㈵ㅡ㥡攵攷㥤㠸扡㜷㙡敥㐶㑥昸昷改搵戸㉢㜷㔰㔰ㅦ㜵愵㔵㘳〱摤㜸ㄹ㝡搶㐲户扤㐹搱ㄷㄷㄳ晥ㅣ㜲慦㤸昰㝡挲昳〰愲愶㉡㜸㘱愵㠲て㑥㔷挱捦戸ㄵ慣㜹㤵㈵昴㘹户搰㑤㜶愱昴㝢愵搰〷扣㠵㙥㘱愱㥦㐳㤴摤㠰㜴㠶㡤慤㤰㠹㤱っ慡㑦㐲搷㙤愰愰摥㐶㘵扡慡戶昲㐳㔴㍥捦㔶ㅥ敥ㅡ㔴昷㌸捡㤰愰戵㜷㔲㤹慥㙥愵戵ㅦ㜱〲搲摡㡦㈲㜰㘸慤晤㔸㙤㡡摡搶扥扥晤㙢㈷敥晣敡昰㔴㙢㝦ㄵ㈹愶挰㥣㙡敤晦攳㘰昶㠹摡昷㙥敦㜶㈲㙡㕦㡢〹㍤㠵㥣愴〵㉦挲㕤愱〵改昶ち㤸㜷㈱㐵愵〵㉦收㉤㍦㡢㈸ㅢㅦ晡挲㐶〲㌲〱㌳愶㍥散攰㘳㜷㥤ㄴ㤵改愹摡捡昴㠶㡤戴慤㍣摣ㄵ㔳户㌹捡㤰〰捣摤㔴愶愷㕢〱㤳ㅥ慦摢㌲ㅤ捦㈳㜰㘸㘰扥㔰㥢愲ㄶ捣て晥摡ㄸ扢㜵挳㍦慣挰㡥㈳慥搷㔶㈸㍡扤㡤挰扣挵挱慣づ捣㥢㥤㠸摡㔷㙣㐲㜴㤸〵捣㍣敥ち㘰搲敢ㄵ㌰㙦㐴㡡ち㤸㝢㜹换㜴㍢㙤㝣攸ちㅢ㐵挸〴捣愸㝡㥦㠳㡦つ㘶㤹捡㍦慤㈸搳ㄹ㌶昶搹捡挳㕤㔱昵ㅥ㐷ㄹㄲ㠰㌹㐱㘵㍡扡ㄵ㌰改昰㔶挰愴㍦㝢㄰㘰戶慥㐴㘶戸㐲㉢㍢㕥㜷㔳㕣愸摥㜲搳㔰攰扢㔷搵㠲㈹㡡㌷摣扥戲㤷㔷㘹攳㑡昵㕢愴㘸〴收㜵づ㘶㜵㘰㕥敢㐴搴扥慥ㄳ愲扦㉣㘰扥ㄳ㜷〵㌰改昴ち㤸搷㈰㐵〵捣慢㜹换㜴㔰㙤㌰改〹ㅢ㝦㠱愰㠰搹慦慥㜴昰戱挱扣㡥捡昴㔳㙤㘵ㅦ㌸攳㝡㕢㜹戸慢㕦㑤㍡捡㤰〰捣㜷攳㑢搱捦慤㠰㐹㝦户〲㈶摤搹㠳〰搳㌳愸搳昷慤㑡搱㄰㑣摦㝣㘷昳晦㡤ㄵ㡡㉥㙦㈳㌰换づ㘶㜵㘰㤶㥣㠸摡㔷㝦㐲㜴㤷〵捣昷㠳〱㤸昴㜹〵捣㑢㤱愲〲收つ㤰㉡晡愷㌶㍥㜴㠴㡤㥢㐰〴捣㕥㤵㜳昰戱挱扣㠵捡㜴㔳㙤㘵扡挲挶㕦摢捡挳㕤扤㉡攳㈸㐳〲㌰㙦挵㤷愲㥢㕢〱㤳敥㙥〵捣㑥〴慡愰ㄱ扢昲捤昰㠴愴敢㕢㤵愲㌱㤸㍦㔹㜱摦扡敦㕤㌶晦扥㕦慣㔰昴㜸ㅢ㠱㤹㜲㌰慢〳㌳改㐴搴扥㐶ㄴ愲户㉣㘰摥〱㐶㝦㠴攴㑥㤰㘰㠰ㅥ昱㠱㑥㜱㜹㝥〰愹〳㜷ㄹ㐸㜳搱㙥㔶摡ㄶ搳㠹㤵㔷㐶戲戲㙥摤㠶㘳㡦㐵晣〴搱〶㥣攴挵㘱㐷晣㥣愰戳捡㡢ㄳ扥㍣㡣攳ㅥ慣搳ㄲ㘲㘲㈳扤戹㠸㤳㜶㉤改㤱ㄲ捥ぢ愷㕡昱攳ㅥ㘵晣㈴㔴晥㘸搸㐲挲㑥〲㝢㄰㉥晢㕣㔷挳㐵晣㌵㠸㙥攸扣挹㐹攸㥥㈹㍣摣㠳昱㝥㥥㤶㍣扣つ㈴攳㉥㔴愷〳㥥慣晣〴㘵攷㍥㍡户㈵扦扡〸敤㉥搳挵攷ㅥ戸晡㑤愹㉦〶ち㝤㌷㜴挵摤攷㘰〳㘳㠶㔱㝦㤴㈲㙥ㄴち昱〵㌸㍦愸扤㈹㙥愷搰㌹昲搵晣㠲捥慣㔹扣搳搱摢ㅥ㕥昹㠷摥ぢ㠷ㄴ愷〰戴ㅥ攳㘳㈰㥥㡤搷㤴攷㜰㕡戳摡改搶捣㜷戵㙦慡㘶昷㈰㠹㉥㈱㌷㜱摢愴㘶昷㔲㌴㔵㌳搵㡦㌰㙢攷㕥捤㜴㙦㘷昲慣搹挵㕢㜲㘳㈶㝦㠵戵㌵㌷㤶戵昲扢捡扢㉢扦扣㡡㝤㑢晣㐴㡢晥㈴㌲㘱愶晣㈸晡挰捣㔵摦〷㐲〹㍦愱搵愰搲㔵敥〷愳㍦㐵昲〰㐸㔰ㄱㄳ摥戰㘶ㅢ昸搵㐶昷捥慡㌰㝦㤰ち㜴ㄵ愷㌰晦㉣㐵㥥㍢愳㙦挹㍢慢㈰戹〹〱㐱昲㈱㌰搳㈲戹捥㉤慦ち挹㠷㤱愴〶挹㐷㈸昲㤴㐷户搲㡢愴摡〶㠱摣昷ㄷ挰攰摦㐶㘳愷㉢晤愲㔷㝡ㄱ〲㔲户㐷挱㑣㕢户ㄵつ敢昶㈵㈴愹愹摢ㄳㄴ㜹敡㜶㌱挲㔵㜵㑢㐱㈰㜵晢㌲ㄸ晣摢㜵愳换㈵搲㈷扤搲㍣〲㔲户慦㠰㜱捦愶㔴㥢摦㐰挳㡡㍤〵晤㥡㡡㍤㑤㤱愷㘲昴㜸慡㉡㔶㠶㐰慡昰っㄸ晣摢ㄵ㥢㜰愵㕦昷㑡摦㠹㠰㔴散㥦挰㑣ぢ摡ㄹつ敢昶つ㈴愹愹摢㌷㈹昲搴敤㙡㠴慢敡㜶ㅤ〴㔲户㙦㠱挱扦㕤户㜷扢搲㝦昱㑡摦㡦㠰搴敤㜹㌰搳搶敤搴㠶㜵㝢ㄱ㐹㙡敡昶㙤㡡㍣㜵扢〱攱慡扡摤〲㠱搴敤摦挱攰摦慥摢慤慥昴㍢㕥改ㅤ〸挸㈳扥ㄳ挵昳ㄱ㝦ㄶ昴㕢晤㠶攲〳㑢㈲㑥㜲㈲㤶㑢㠴㔲㜷扡ㄱ㡢㥤〸㑥㔰昵て㈰つ㜰昴㍢攸㘱ㄹ㍥搸攱㙥㜹晦㄰攵㈸㡥慢捣㐳晦〷ㄸ晣摢㜷挹㘱㑥〶攱ㅦ㌱㥡㈳㥣攸晣搸㘱ㄸ攸攰㠸㐴愶㤵攳㔷挷㝤摥㤰攲〸㈴户㝤㕣つㅥ㥦㜲㈳㡥慤挱㠳㈳㤵愴㔸攰挵攳㘵收晡㈰㠸㔴收ㄵ㠶㌸㈸㐹㘵㕥〵㠳㝦扢挲て㠳ㄳ㥤㥦㌱㥡〳㠹攸晣摣㘱愴挲㕦㜰〲㜶㠵㌹㔸㔴慡慦搸攳㈵晤㙢ㄴ戳戳㑢晡搷ㅤ㐶搲戳㘳㔷㔲㜴戰㐳㔷㐲㡡ㅤ㔳搲扦㐱㌱晢愴愴晦㠵挳㐸晡㘷㥣㠰㕤㍥晢摤㔴㝡㜶ㅥ㐹晦㑢㡡搹㙦㈴晤慦ㅣ㐶搲戳㡦㔴㔲㜴戰㙦㔴㐲㡡〶㉥改㝦㑤㌱㙤㕢搲晦愷挳㐸㝡摡㜱㈵㐵〷敤㜷㉡昴〳㠴㜶㄰捣〹㤵扣㌸㜵昱挵扦改㘸敥㍣愱㜹攷捡戶摢扥晢搴昷㙦晡收〵换㝦晣晢て㝤攸㥢㍦扣改改摦㍦㤲㔸晥攴摦晥敤ㄳ㘷㝦攴改敦捦㑤摦改晦散㙦㌶摣㜹㐵㘴捦ㄵ㤷愶户㥦戶敥㡡㍦扢攴摣挸㤶㌹摤㑤㑤㉤㉤愷捥晢捡㜱㙦ぢ㕤㝤改㐳敡戱ㄷ㡥捤㉢㌱㌶ㄴ愰㝦㠳㤲昰敦㤳昳㌸㌴㍡㜹㘴晤ㄶ㡣晥ㅤ㐸扢㕦㠹捤㔱搵㕤晥〰敦ぢ搱昶㐴昵昷搴㙡敡愰㘹晣㐹㙢㉣搶挶㙡晣〱㈵攱摦慥㌱慤㑥慡昱㐷㌰晡㑤㄰搴㔸㡣㡥慡㔵㌵愶昱㠹慡㐲て挱㍣㐰㑣慢㑥㡢㈶㈶㕡㜸㌵㠳㕡㘲㐰㜵㕡㌴㈴搱攲捦㝤㐳㑢捣愴㑥㡢收㈲㕡㉤戶㤶ㄸ㐳㥤ㄶ㡤㐲戴昸换敤㔸㡣㘷㡢㐸㤸㙦㜲攸㔹ㄴ晡ㄵㅢ㐴晡攳㉦㝦㙦㡦㘸慢㤰て㑥㤹㈸㌶㤲㐴晣挲㠹攰㘹ㄸ㍤ㅢ愹ㄴ㕢㐶愲㕥慦㑥ㄳ㈲㠲㔲㐲㠸㈵捣戱㑢㈰㠰愲晤戳㙡㙤㐵㔰㈵攲㔵㙦〹昳㔹〲㤱㤴愸㤷㙢搲㄰㍣㠹昸㘹㑤〴昱㤲㠸㤷㙡㈲〸㤱㐴晣愴㈶㠲愸㐸挴㡦慢㈳〲㠴㘷㠶㜷〸愷摣攵㔶㈲㤲攳㝢换㜴㥣㠳戹㌵昹㜱晢挷〰㡤ㅣ摦敡换捦㜱㡥㉤㜵㔷㜴收㔶㈴ㄵ摤搹ㄵ㤱愴㌹摥㝥㍢㠷㍦慤㐸㤵敥愹㑣㡦愹㡤ㄱ㝤挰㑤挴㝤㈷㑦扦挲敦㔶㤰㙢敥慤敡愰ㄵ㕢敤摦扡㍡〱㘸昰㔲扡挲㐹㔰搱㠰挴㤲ㄶ㠲愱㤲搲ㄵ㑥㠲㡡挶㈲㠳搵㈲㌰㡡㌶㈱晡㈷㌲㔶昴㉢㥣〴ㄵつ㐶㌴ㄶ㠳愱㤲搲ㄵ㑥㠲㡡挶㈱㌹㥥〴㈶挰ちㅤ挴敤㜰昴㍢捣搳㘲㥤㈸㐱昱慥㔸㤴㝥ぢ㐳㜲㉦挸戱㌲〶昰㐰㠹攲㥤㠸捥㈹搴㘱慤㈵搴挵㄰敢捡㍡㔴㔲戰㈷㈹挹㥡搲户㈲摡扤㤴ㄴ㐱改愹㑥㈲㈶㔴㤲㈹愵㔵扡㤲㌹愵㑢㍤扡㈱㔷㈵挴ㅣ愴㌳㥥〶〶摤㥦㕡ㄲ敥㤶㜰㠰攲ㄹ捣摣㝥攷㥦戶挳搳ㅤ敤㌹晢㜵ㄵ搹㠸挰㉦㠳㡡㝣捡㌶ㅤ㠳㥦㑢㜱㜷㤵㙡搰ㄶ㤱㜶搸㙣挵昲㘷㌹㔱散㉡㠷㙡昶㉤戸ㄳ㝥㌰扢㕢㍣戳攵摢㔶㝦㜰㕡㡥挹㉦〳㌲㐱っ㑥戰扦㈹㔶挲㡡搸ㄱ㌸㝤晡㤴捥ㄴ㉢㍡ㅤ㑣挳㘶㜳戶㈶㕥㕢搱㐱㡤㉡挹慣晦〲ㄲ㐱挴㐴</t>
  </si>
  <si>
    <t>Energy consumption of PL 2nd-step spin coating, kWh (11.61)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</si>
</sst>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E+00"/>
    <numFmt numFmtId="165" formatCode="0.000%"/>
    <numFmt numFmtId="166" formatCode="0.000"/>
    <numFmt numFmtId="167" formatCode="0.0"/>
  </numFmts>
  <fonts count="15">
    <font>
      <sz val="11"/>
      <color theme="1"/>
      <name val="Calibri"/>
      <family val="2"/>
      <scheme val="minor"/>
    </font>
    <font>
      <sz val="11"/>
      <color rgb="FFFF0000"/>
      <name val="Calibri"/>
      <family val="2"/>
      <scheme val="minor"/>
    </font>
    <font>
      <b/>
      <sz val="11"/>
      <color theme="1"/>
      <name val="Calibri"/>
      <family val="2"/>
      <scheme val="minor"/>
    </font>
    <font>
      <b/>
      <sz val="11"/>
      <name val="Calibri"/>
      <family val="2"/>
      <scheme val="minor"/>
    </font>
    <font>
      <sz val="11"/>
      <color rgb="FF9C0006"/>
      <name val="Calibri"/>
      <family val="2"/>
      <scheme val="minor"/>
    </font>
    <font>
      <sz val="11"/>
      <name val="Calibri"/>
      <family val="2"/>
      <scheme val="minor"/>
    </font>
    <font>
      <sz val="11"/>
      <color rgb="FF006100"/>
      <name val="Calibri"/>
      <family val="2"/>
      <scheme val="minor"/>
    </font>
    <font>
      <sz val="9"/>
      <name val="Calibri"/>
      <family val="3"/>
      <charset val="134"/>
      <scheme val="minor"/>
    </font>
    <font>
      <b/>
      <sz val="11"/>
      <color theme="0"/>
      <name val="Calibri"/>
      <family val="2"/>
      <scheme val="minor"/>
    </font>
    <font>
      <sz val="11"/>
      <color theme="1"/>
      <name val="Times New Roman"/>
      <family val="1"/>
    </font>
    <font>
      <sz val="11"/>
      <color theme="0"/>
      <name val="Calibri"/>
      <family val="2"/>
      <scheme val="minor"/>
    </font>
    <font>
      <sz val="11"/>
      <color theme="1"/>
      <name val="Calibri"/>
      <family val="2"/>
      <scheme val="minor"/>
    </font>
    <font>
      <sz val="11"/>
      <color rgb="FF3F3F76"/>
      <name val="Calibri"/>
      <family val="2"/>
      <scheme val="minor"/>
    </font>
    <font>
      <b/>
      <sz val="14"/>
      <color rgb="FF000000"/>
      <name val="Calibri"/>
      <family val="2"/>
    </font>
    <font>
      <sz val="11"/>
      <color theme="1"/>
      <name val="Calibri"/>
      <family val="2"/>
    </font>
  </fonts>
  <fills count="15">
    <fill>
      <patternFill patternType="none"/>
    </fill>
    <fill>
      <patternFill patternType="gray125"/>
    </fill>
    <fill>
      <patternFill patternType="solid">
        <fgColor rgb="FFFFC7CE"/>
      </patternFill>
    </fill>
    <fill>
      <patternFill patternType="solid">
        <fgColor rgb="FFC6EFCE"/>
      </patternFill>
    </fill>
    <fill>
      <patternFill patternType="solid">
        <fgColor rgb="FF00FF00"/>
        <bgColor indexed="64"/>
      </patternFill>
    </fill>
    <fill>
      <patternFill patternType="solid">
        <fgColor rgb="FF00FFFF"/>
        <bgColor indexed="64"/>
      </patternFill>
    </fill>
    <fill>
      <patternFill patternType="solid">
        <fgColor rgb="FFA5A5A5"/>
      </patternFill>
    </fill>
    <fill>
      <patternFill patternType="solid">
        <fgColor theme="4"/>
      </patternFill>
    </fill>
    <fill>
      <patternFill patternType="solid">
        <fgColor theme="5"/>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theme="7" tint="0.59999389629810485"/>
        <bgColor indexed="65"/>
      </patternFill>
    </fill>
    <fill>
      <patternFill patternType="solid">
        <fgColor theme="9" tint="0.79998168889431442"/>
        <bgColor indexed="65"/>
      </patternFill>
    </fill>
  </fills>
  <borders count="25">
    <border>
      <left/>
      <right/>
      <top/>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2">
    <xf numFmtId="0" fontId="0" fillId="0" borderId="0"/>
    <xf numFmtId="0" fontId="4" fillId="2" borderId="0" applyNumberFormat="0" applyBorder="0" applyAlignment="0" applyProtection="0"/>
    <xf numFmtId="0" fontId="6" fillId="3" borderId="0" applyNumberFormat="0" applyBorder="0" applyAlignment="0" applyProtection="0"/>
    <xf numFmtId="0" fontId="8" fillId="6" borderId="2" applyNumberFormat="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2" fillId="12" borderId="11" applyNumberFormat="0" applyAlignment="0" applyProtection="0"/>
    <xf numFmtId="0" fontId="11" fillId="13" borderId="0" applyNumberFormat="0" applyBorder="0" applyAlignment="0" applyProtection="0"/>
    <xf numFmtId="0" fontId="11" fillId="14" borderId="0" applyNumberFormat="0" applyBorder="0" applyAlignment="0" applyProtection="0"/>
  </cellStyleXfs>
  <cellXfs count="117">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2"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xf>
    <xf numFmtId="0" fontId="1" fillId="0" borderId="0" xfId="0" applyFont="1" applyAlignment="1">
      <alignment horizontal="center"/>
    </xf>
    <xf numFmtId="164" fontId="0" fillId="0" borderId="0" xfId="0" applyNumberFormat="1" applyAlignment="1">
      <alignment horizontal="center"/>
    </xf>
    <xf numFmtId="164" fontId="0" fillId="0" borderId="0" xfId="0" applyNumberFormat="1"/>
    <xf numFmtId="0" fontId="2" fillId="0" borderId="0" xfId="0" applyFont="1"/>
    <xf numFmtId="0" fontId="4" fillId="2" borderId="0" xfId="1"/>
    <xf numFmtId="0" fontId="0" fillId="4" borderId="0" xfId="0" applyFill="1"/>
    <xf numFmtId="9" fontId="0" fillId="4" borderId="0" xfId="0" applyNumberFormat="1" applyFill="1"/>
    <xf numFmtId="10" fontId="0" fillId="4" borderId="0" xfId="0" applyNumberFormat="1" applyFill="1"/>
    <xf numFmtId="0" fontId="0" fillId="5" borderId="0" xfId="0" applyFill="1"/>
    <xf numFmtId="10" fontId="0" fillId="0" borderId="0" xfId="0" applyNumberFormat="1"/>
    <xf numFmtId="0" fontId="0" fillId="0" borderId="0" xfId="0" quotePrefix="1"/>
    <xf numFmtId="1" fontId="0" fillId="0" borderId="0" xfId="0" applyNumberFormat="1" applyAlignment="1">
      <alignment horizontal="center" vertical="center"/>
    </xf>
    <xf numFmtId="165" fontId="0" fillId="0" borderId="0" xfId="0" applyNumberFormat="1"/>
    <xf numFmtId="0" fontId="8" fillId="6" borderId="2" xfId="3"/>
    <xf numFmtId="166" fontId="0" fillId="0" borderId="0" xfId="0" applyNumberFormat="1"/>
    <xf numFmtId="167" fontId="0" fillId="0" borderId="0" xfId="0" applyNumberFormat="1"/>
    <xf numFmtId="0" fontId="5" fillId="0" borderId="0" xfId="1" applyFont="1" applyFill="1" applyAlignment="1">
      <alignment horizontal="center"/>
    </xf>
    <xf numFmtId="0" fontId="3" fillId="0" borderId="0" xfId="1" applyFont="1" applyFill="1" applyAlignment="1">
      <alignment horizontal="center"/>
    </xf>
    <xf numFmtId="0" fontId="3" fillId="0" borderId="0" xfId="0" applyFont="1" applyFill="1" applyAlignment="1">
      <alignment horizontal="center" vertical="center" wrapText="1"/>
    </xf>
    <xf numFmtId="164" fontId="5" fillId="0" borderId="0" xfId="0" applyNumberFormat="1" applyFont="1" applyFill="1" applyAlignment="1">
      <alignment horizontal="center" vertical="center"/>
    </xf>
    <xf numFmtId="164" fontId="5" fillId="0" borderId="0" xfId="2" applyNumberFormat="1" applyFont="1" applyFill="1" applyAlignment="1">
      <alignment horizontal="center" vertical="center"/>
    </xf>
    <xf numFmtId="0" fontId="5" fillId="0" borderId="0" xfId="0" applyFont="1" applyFill="1" applyAlignment="1">
      <alignment vertical="center" wrapText="1"/>
    </xf>
    <xf numFmtId="0" fontId="10" fillId="10" borderId="0" xfId="7" applyAlignment="1">
      <alignment horizontal="center" vertical="center"/>
    </xf>
    <xf numFmtId="164" fontId="10" fillId="10" borderId="0" xfId="7" applyNumberFormat="1" applyAlignment="1">
      <alignment horizontal="center" vertical="center"/>
    </xf>
    <xf numFmtId="0" fontId="10" fillId="10" borderId="0" xfId="7" applyAlignment="1">
      <alignment horizontal="center"/>
    </xf>
    <xf numFmtId="0" fontId="10" fillId="10" borderId="0" xfId="7" applyAlignment="1">
      <alignment vertical="center" wrapText="1"/>
    </xf>
    <xf numFmtId="164" fontId="0" fillId="0" borderId="0" xfId="0" applyNumberFormat="1" applyFill="1"/>
    <xf numFmtId="2" fontId="0" fillId="0" borderId="0" xfId="0" applyNumberFormat="1" applyFill="1"/>
    <xf numFmtId="0" fontId="4" fillId="0" borderId="0" xfId="1" applyFill="1"/>
    <xf numFmtId="2" fontId="4" fillId="0" borderId="0" xfId="1" applyNumberFormat="1" applyFill="1"/>
    <xf numFmtId="164" fontId="2" fillId="0" borderId="0" xfId="0" applyNumberFormat="1" applyFont="1" applyFill="1"/>
    <xf numFmtId="164" fontId="4" fillId="0" borderId="0" xfId="1" applyNumberFormat="1" applyFill="1"/>
    <xf numFmtId="0" fontId="0" fillId="0" borderId="0" xfId="0" applyFill="1"/>
    <xf numFmtId="167" fontId="0" fillId="0" borderId="0" xfId="0" applyNumberFormat="1" applyFill="1"/>
    <xf numFmtId="0" fontId="10" fillId="10" borderId="0" xfId="7"/>
    <xf numFmtId="164" fontId="10" fillId="10" borderId="0" xfId="7" applyNumberFormat="1"/>
    <xf numFmtId="0" fontId="10" fillId="7" borderId="0" xfId="4" applyAlignment="1">
      <alignment vertical="center"/>
    </xf>
    <xf numFmtId="164" fontId="10" fillId="7" borderId="0" xfId="4" applyNumberFormat="1" applyAlignment="1">
      <alignment horizontal="center" vertical="center"/>
    </xf>
    <xf numFmtId="0" fontId="10" fillId="7" borderId="0" xfId="4" applyAlignment="1">
      <alignment horizontal="center"/>
    </xf>
    <xf numFmtId="0" fontId="10" fillId="10" borderId="0" xfId="7" applyAlignment="1">
      <alignment vertical="center"/>
    </xf>
    <xf numFmtId="0" fontId="10" fillId="8" borderId="0" xfId="5"/>
    <xf numFmtId="0" fontId="2" fillId="0" borderId="3" xfId="0" applyFont="1" applyBorder="1"/>
    <xf numFmtId="0" fontId="0" fillId="0" borderId="4" xfId="0" applyBorder="1"/>
    <xf numFmtId="0" fontId="0" fillId="0" borderId="5" xfId="0" applyBorder="1"/>
    <xf numFmtId="0" fontId="10" fillId="8" borderId="6" xfId="5" applyBorder="1"/>
    <xf numFmtId="164" fontId="10" fillId="8" borderId="7" xfId="5" applyNumberFormat="1" applyBorder="1"/>
    <xf numFmtId="3" fontId="10" fillId="8" borderId="7" xfId="5" applyNumberFormat="1" applyBorder="1"/>
    <xf numFmtId="166" fontId="10" fillId="8" borderId="7" xfId="5" applyNumberFormat="1" applyBorder="1"/>
    <xf numFmtId="166" fontId="10" fillId="8" borderId="8" xfId="5" applyNumberFormat="1" applyBorder="1"/>
    <xf numFmtId="164" fontId="0" fillId="0" borderId="4" xfId="0" applyNumberFormat="1" applyBorder="1"/>
    <xf numFmtId="3" fontId="0" fillId="0" borderId="4" xfId="0" applyNumberFormat="1" applyBorder="1"/>
    <xf numFmtId="166" fontId="0" fillId="0" borderId="4" xfId="0" applyNumberFormat="1" applyBorder="1"/>
    <xf numFmtId="166" fontId="0" fillId="0" borderId="5" xfId="0" applyNumberFormat="1" applyBorder="1"/>
    <xf numFmtId="0" fontId="1" fillId="0" borderId="6" xfId="0" applyFont="1" applyBorder="1"/>
    <xf numFmtId="164" fontId="0" fillId="0" borderId="7" xfId="0" applyNumberFormat="1" applyBorder="1"/>
    <xf numFmtId="3" fontId="0" fillId="0" borderId="7" xfId="0" applyNumberFormat="1" applyBorder="1"/>
    <xf numFmtId="166" fontId="0" fillId="0" borderId="7" xfId="0" applyNumberFormat="1" applyBorder="1"/>
    <xf numFmtId="166" fontId="0" fillId="0" borderId="8" xfId="0" applyNumberFormat="1" applyBorder="1"/>
    <xf numFmtId="0" fontId="10" fillId="7" borderId="0" xfId="4"/>
    <xf numFmtId="0" fontId="10" fillId="11" borderId="0" xfId="8"/>
    <xf numFmtId="0" fontId="10" fillId="9" borderId="0" xfId="6"/>
    <xf numFmtId="0" fontId="10" fillId="10" borderId="9" xfId="7" applyBorder="1"/>
    <xf numFmtId="164" fontId="10" fillId="10" borderId="0" xfId="7" applyNumberFormat="1" applyBorder="1"/>
    <xf numFmtId="3" fontId="10" fillId="10" borderId="0" xfId="7" applyNumberFormat="1" applyBorder="1"/>
    <xf numFmtId="166" fontId="10" fillId="10" borderId="0" xfId="7" applyNumberFormat="1" applyBorder="1"/>
    <xf numFmtId="166" fontId="10" fillId="10" borderId="10" xfId="7" applyNumberFormat="1" applyBorder="1"/>
    <xf numFmtId="0" fontId="10" fillId="10" borderId="6" xfId="7" applyBorder="1"/>
    <xf numFmtId="164" fontId="10" fillId="10" borderId="7" xfId="7" applyNumberFormat="1" applyBorder="1"/>
    <xf numFmtId="3" fontId="10" fillId="10" borderId="7" xfId="7" applyNumberFormat="1" applyBorder="1"/>
    <xf numFmtId="166" fontId="10" fillId="10" borderId="7" xfId="7" applyNumberFormat="1" applyBorder="1"/>
    <xf numFmtId="166" fontId="10" fillId="10" borderId="8" xfId="7" applyNumberFormat="1" applyBorder="1"/>
    <xf numFmtId="0" fontId="10" fillId="11" borderId="0" xfId="8" applyAlignment="1">
      <alignment horizontal="center"/>
    </xf>
    <xf numFmtId="0" fontId="10" fillId="11" borderId="0" xfId="8" applyAlignment="1">
      <alignment horizontal="center" vertical="center"/>
    </xf>
    <xf numFmtId="164" fontId="10" fillId="11" borderId="0" xfId="8" applyNumberFormat="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11" fillId="14" borderId="15" xfId="11" applyBorder="1" applyAlignment="1">
      <alignment horizontal="center" vertical="center"/>
    </xf>
    <xf numFmtId="9" fontId="12" fillId="12" borderId="16" xfId="9" applyNumberFormat="1" applyBorder="1" applyAlignment="1">
      <alignment horizontal="center" vertical="center"/>
    </xf>
    <xf numFmtId="0" fontId="11" fillId="14" borderId="17" xfId="11" applyBorder="1" applyAlignment="1">
      <alignment horizontal="center" vertical="center"/>
    </xf>
    <xf numFmtId="0" fontId="11" fillId="14" borderId="18" xfId="11" applyBorder="1" applyAlignment="1">
      <alignment horizontal="center" vertical="center"/>
    </xf>
    <xf numFmtId="9" fontId="12" fillId="12" borderId="1" xfId="9" applyNumberFormat="1" applyBorder="1" applyAlignment="1">
      <alignment horizontal="center" vertical="center"/>
    </xf>
    <xf numFmtId="0" fontId="11" fillId="14" borderId="19" xfId="11" applyBorder="1" applyAlignment="1">
      <alignment horizontal="center" vertical="center"/>
    </xf>
    <xf numFmtId="0" fontId="11" fillId="13" borderId="18" xfId="10" applyBorder="1" applyAlignment="1">
      <alignment horizontal="center" vertical="center"/>
    </xf>
    <xf numFmtId="0" fontId="11" fillId="13" borderId="19" xfId="10" applyBorder="1" applyAlignment="1">
      <alignment horizontal="center" vertical="center"/>
    </xf>
    <xf numFmtId="0" fontId="11" fillId="14" borderId="20" xfId="11" applyBorder="1" applyAlignment="1">
      <alignment horizontal="center" vertical="center"/>
    </xf>
    <xf numFmtId="9" fontId="12" fillId="12" borderId="21" xfId="9" applyNumberFormat="1" applyBorder="1" applyAlignment="1">
      <alignment horizontal="center" vertical="center"/>
    </xf>
    <xf numFmtId="0" fontId="11" fillId="14" borderId="22" xfId="11" applyBorder="1" applyAlignment="1">
      <alignment horizontal="center" vertical="center"/>
    </xf>
    <xf numFmtId="164" fontId="10" fillId="10" borderId="0" xfId="7" applyNumberFormat="1" applyAlignment="1">
      <alignment horizontal="center" vertical="center"/>
    </xf>
    <xf numFmtId="9" fontId="0" fillId="0" borderId="0" xfId="0" applyNumberFormat="1" applyAlignment="1">
      <alignment horizontal="center" vertical="center"/>
    </xf>
    <xf numFmtId="0" fontId="10" fillId="11" borderId="1" xfId="8" applyBorder="1"/>
    <xf numFmtId="166" fontId="10" fillId="11" borderId="1" xfId="8" applyNumberFormat="1" applyBorder="1"/>
    <xf numFmtId="2" fontId="10" fillId="11" borderId="1" xfId="8" applyNumberFormat="1" applyBorder="1"/>
    <xf numFmtId="9" fontId="10" fillId="11" borderId="1" xfId="8" applyNumberFormat="1" applyBorder="1"/>
    <xf numFmtId="0" fontId="10" fillId="9" borderId="1" xfId="6" applyBorder="1"/>
    <xf numFmtId="166" fontId="10" fillId="9" borderId="1" xfId="6" applyNumberFormat="1" applyBorder="1"/>
    <xf numFmtId="9" fontId="10" fillId="9" borderId="1" xfId="6" applyNumberFormat="1" applyBorder="1"/>
    <xf numFmtId="166" fontId="10" fillId="8" borderId="1" xfId="5" applyNumberFormat="1" applyBorder="1"/>
    <xf numFmtId="2" fontId="10" fillId="8" borderId="1" xfId="5" applyNumberFormat="1" applyBorder="1"/>
    <xf numFmtId="9" fontId="10" fillId="8" borderId="1" xfId="5" applyNumberFormat="1" applyBorder="1"/>
    <xf numFmtId="2" fontId="0" fillId="0" borderId="0" xfId="0" applyNumberFormat="1"/>
    <xf numFmtId="2" fontId="10" fillId="9" borderId="1" xfId="6" applyNumberFormat="1" applyBorder="1"/>
    <xf numFmtId="0" fontId="10" fillId="10" borderId="23" xfId="7" applyBorder="1"/>
    <xf numFmtId="0" fontId="10" fillId="10" borderId="24" xfId="7" applyBorder="1"/>
    <xf numFmtId="0" fontId="2" fillId="0" borderId="0" xfId="0" applyFont="1" applyAlignment="1">
      <alignment horizontal="center" vertical="center"/>
    </xf>
    <xf numFmtId="0" fontId="10" fillId="10" borderId="0" xfId="7" applyAlignment="1">
      <alignment horizontal="center"/>
    </xf>
    <xf numFmtId="164" fontId="10" fillId="10" borderId="0" xfId="7" applyNumberFormat="1" applyAlignment="1">
      <alignment horizontal="center" vertical="center"/>
    </xf>
    <xf numFmtId="0" fontId="2" fillId="0" borderId="0" xfId="0" applyFont="1" applyAlignment="1">
      <alignment horizontal="center"/>
    </xf>
    <xf numFmtId="9" fontId="0" fillId="0" borderId="0" xfId="0" applyNumberFormat="1" applyAlignment="1">
      <alignment horizontal="center"/>
    </xf>
  </cellXfs>
  <cellStyles count="12">
    <cellStyle name="20% - Accent6" xfId="11" builtinId="50"/>
    <cellStyle name="40% - Accent4" xfId="10" builtinId="43"/>
    <cellStyle name="Accent1" xfId="4" builtinId="29"/>
    <cellStyle name="Accent2" xfId="5" builtinId="33"/>
    <cellStyle name="Accent4" xfId="6" builtinId="41"/>
    <cellStyle name="Accent5" xfId="7" builtinId="45"/>
    <cellStyle name="Accent6" xfId="8" builtinId="49"/>
    <cellStyle name="Bad" xfId="1" builtinId="27"/>
    <cellStyle name="Check Cell" xfId="3" builtinId="23"/>
    <cellStyle name="Good" xfId="2" builtinId="26"/>
    <cellStyle name="Input" xfId="9"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789667279207107"/>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202264592714198"/>
          <c:y val="0.20821777486147564"/>
          <c:w val="0.45271234875182609"/>
          <c:h val="0.75474518810148727"/>
        </c:manualLayout>
      </c:layout>
      <c:pieChart>
        <c:varyColors val="1"/>
        <c:ser>
          <c:idx val="0"/>
          <c:order val="0"/>
          <c:tx>
            <c:strRef>
              <c:f>'material inventory'!$U$13</c:f>
              <c:strCache>
                <c:ptCount val="1"/>
                <c:pt idx="0">
                  <c:v>Carbon footprint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165-495F-B2B4-E01AA31609B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9165-495F-B2B4-E01AA31609B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165-495F-B2B4-E01AA31609B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9165-495F-B2B4-E01AA31609B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165-495F-B2B4-E01AA31609B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9165-495F-B2B4-E01AA31609B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165-495F-B2B4-E01AA31609B6}"/>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B34-40C2-9D74-B9D6D4E5EE1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9165-495F-B2B4-E01AA31609B6}"/>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165-495F-B2B4-E01AA31609B6}"/>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9165-495F-B2B4-E01AA31609B6}"/>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165-495F-B2B4-E01AA31609B6}"/>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9B34-40C2-9D74-B9D6D4E5EE11}"/>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165-495F-B2B4-E01AA31609B6}"/>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165-495F-B2B4-E01AA31609B6}"/>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165-495F-B2B4-E01AA31609B6}"/>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165-495F-B2B4-E01AA31609B6}"/>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9B34-40C2-9D74-B9D6D4E5EE11}"/>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61CA-4282-9B50-BCADE7DE9141}"/>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61CA-4282-9B50-BCADE7DE9141}"/>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D2FD-4C05-8E66-7E89A7EE6854}"/>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D2FD-4C05-8E66-7E89A7EE6854}"/>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D2FD-4C05-8E66-7E89A7EE6854}"/>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('material inventory'!$S$14:$S$35,'material inventory'!$S$58)</c:f>
              <c:strCache>
                <c:ptCount val="23"/>
                <c:pt idx="0">
                  <c:v>FTO glass</c:v>
                </c:pt>
                <c:pt idx="1">
                  <c:v>Ethanol</c:v>
                </c:pt>
                <c:pt idx="2">
                  <c:v>Acetone</c:v>
                </c:pt>
                <c:pt idx="3">
                  <c:v>Deionized water</c:v>
                </c:pt>
                <c:pt idx="4">
                  <c:v>BL-TiO₂ ink</c:v>
                </c:pt>
                <c:pt idx="5">
                  <c:v>TiO₂</c:v>
                </c:pt>
                <c:pt idx="6">
                  <c:v>FAI</c:v>
                </c:pt>
                <c:pt idx="7">
                  <c:v>PbI₂</c:v>
                </c:pt>
                <c:pt idx="8">
                  <c:v>MABr</c:v>
                </c:pt>
                <c:pt idx="9">
                  <c:v>PbBr₂</c:v>
                </c:pt>
                <c:pt idx="10">
                  <c:v>DMF</c:v>
                </c:pt>
                <c:pt idx="11">
                  <c:v>DMSO</c:v>
                </c:pt>
                <c:pt idx="12">
                  <c:v>Chlorobenzene</c:v>
                </c:pt>
                <c:pt idx="13">
                  <c:v>spiro-OMeTAD</c:v>
                </c:pt>
                <c:pt idx="14">
                  <c:v>HTFSI</c:v>
                </c:pt>
                <c:pt idx="15">
                  <c:v>Acetonitrile</c:v>
                </c:pt>
                <c:pt idx="16">
                  <c:v>FK209</c:v>
                </c:pt>
                <c:pt idx="17">
                  <c:v>4-tert-Butylpyridine</c:v>
                </c:pt>
                <c:pt idx="18">
                  <c:v>Cu</c:v>
                </c:pt>
                <c:pt idx="19">
                  <c:v>Ar</c:v>
                </c:pt>
                <c:pt idx="20">
                  <c:v>O₂</c:v>
                </c:pt>
                <c:pt idx="21">
                  <c:v>Direct emissions</c:v>
                </c:pt>
                <c:pt idx="22">
                  <c:v>Treatment</c:v>
                </c:pt>
              </c:strCache>
            </c:strRef>
          </c:cat>
          <c:val>
            <c:numRef>
              <c:f>('material inventory'!$U$14:$U$35,'material inventory'!$U$58)</c:f>
              <c:numCache>
                <c:formatCode>0.000E+00</c:formatCode>
                <c:ptCount val="23"/>
                <c:pt idx="0">
                  <c:v>0.34780676817599987</c:v>
                </c:pt>
                <c:pt idx="1">
                  <c:v>7.2156912392727255E-3</c:v>
                </c:pt>
                <c:pt idx="2">
                  <c:v>3.4079009999999986E-2</c:v>
                </c:pt>
                <c:pt idx="3">
                  <c:v>5.6916581999999992E-6</c:v>
                </c:pt>
                <c:pt idx="4">
                  <c:v>1.1382696060619048E-3</c:v>
                </c:pt>
                <c:pt idx="5">
                  <c:v>7.2734003999999988E-4</c:v>
                </c:pt>
                <c:pt idx="6">
                  <c:v>2.5223725128436875E-2</c:v>
                </c:pt>
                <c:pt idx="7">
                  <c:v>3.967277566008961E-3</c:v>
                </c:pt>
                <c:pt idx="8">
                  <c:v>0.13488413735426555</c:v>
                </c:pt>
                <c:pt idx="9">
                  <c:v>4.7014751158128897E-4</c:v>
                </c:pt>
                <c:pt idx="10">
                  <c:v>3.5274443549950076E-3</c:v>
                </c:pt>
                <c:pt idx="11">
                  <c:v>4.5597346337695696E-4</c:v>
                </c:pt>
                <c:pt idx="12">
                  <c:v>1.8214246032301103E-2</c:v>
                </c:pt>
                <c:pt idx="13">
                  <c:v>4.4243052345403516E-2</c:v>
                </c:pt>
                <c:pt idx="14">
                  <c:v>1.8929435795174367E-3</c:v>
                </c:pt>
                <c:pt idx="15">
                  <c:v>8.0393424992440069E-4</c:v>
                </c:pt>
                <c:pt idx="17">
                  <c:v>1.4818854345165239E-3</c:v>
                </c:pt>
                <c:pt idx="18">
                  <c:v>3.0363906048000004E-3</c:v>
                </c:pt>
                <c:pt idx="19">
                  <c:v>0.23246925575757577</c:v>
                </c:pt>
                <c:pt idx="20">
                  <c:v>1.0245566060606062E-4</c:v>
                </c:pt>
                <c:pt idx="21">
                  <c:v>0</c:v>
                </c:pt>
                <c:pt idx="22">
                  <c:v>5.7228935999999982E-5</c:v>
                </c:pt>
              </c:numCache>
            </c:numRef>
          </c:val>
          <c:extLst>
            <c:ext xmlns:c16="http://schemas.microsoft.com/office/drawing/2014/chart" uri="{C3380CC4-5D6E-409C-BE32-E72D297353CC}">
              <c16:uniqueId val="{00000000-9165-495F-B2B4-E01AA31609B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055008748906384"/>
          <c:y val="0.12551800816564598"/>
          <c:w val="0.34278324584426945"/>
          <c:h val="0.87448185356140828"/>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9244300612546397"/>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684820647419075E-2"/>
          <c:y val="0.19432888597258677"/>
          <c:w val="0.45284711286089241"/>
          <c:h val="0.75474518810148727"/>
        </c:manualLayout>
      </c:layout>
      <c:pieChart>
        <c:varyColors val="1"/>
        <c:ser>
          <c:idx val="0"/>
          <c:order val="0"/>
          <c:tx>
            <c:strRef>
              <c:f>'material inventory'!$V$13</c:f>
              <c:strCache>
                <c:ptCount val="1"/>
                <c:pt idx="0">
                  <c:v>Primary energy consumption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E7A-468F-8EE9-A6971C8971C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2FCA-41FF-AA71-B202941CBB9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2FCA-41FF-AA71-B202941CBB9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2FCA-41FF-AA71-B202941CBB9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2FCA-41FF-AA71-B202941CBB91}"/>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2FCA-41FF-AA71-B202941CBB9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FCA-41FF-AA71-B202941CBB9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EE7A-468F-8EE9-A6971C8971C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2FCA-41FF-AA71-B202941CBB91}"/>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FCA-41FF-AA71-B202941CBB91}"/>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2FCA-41FF-AA71-B202941CBB91}"/>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2FCA-41FF-AA71-B202941CBB91}"/>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EE7A-468F-8EE9-A6971C8971C1}"/>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FCA-41FF-AA71-B202941CBB91}"/>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FCA-41FF-AA71-B202941CBB91}"/>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2FCA-41FF-AA71-B202941CBB91}"/>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FCA-41FF-AA71-B202941CBB91}"/>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EE7A-468F-8EE9-A6971C8971C1}"/>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E2C3-423A-83D5-AD0603D9F997}"/>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B0A4-4530-A5CF-AA8DF055CE2B}"/>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B0A4-4530-A5CF-AA8DF055CE2B}"/>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B0A4-4530-A5CF-AA8DF055CE2B}"/>
              </c:ext>
            </c:extLst>
          </c:dPt>
          <c:dLbls>
            <c:dLbl>
              <c:idx val="1"/>
              <c:delete val="1"/>
              <c:extLst>
                <c:ext xmlns:c15="http://schemas.microsoft.com/office/drawing/2012/chart" uri="{CE6537A1-D6FC-4f65-9D91-7224C49458BB}"/>
                <c:ext xmlns:c16="http://schemas.microsoft.com/office/drawing/2014/chart" uri="{C3380CC4-5D6E-409C-BE32-E72D297353CC}">
                  <c16:uniqueId val="{0000000E-2FCA-41FF-AA71-B202941CBB91}"/>
                </c:ext>
              </c:extLst>
            </c:dLbl>
            <c:dLbl>
              <c:idx val="3"/>
              <c:delete val="1"/>
              <c:extLst>
                <c:ext xmlns:c15="http://schemas.microsoft.com/office/drawing/2012/chart" uri="{CE6537A1-D6FC-4f65-9D91-7224C49458BB}"/>
                <c:ext xmlns:c16="http://schemas.microsoft.com/office/drawing/2014/chart" uri="{C3380CC4-5D6E-409C-BE32-E72D297353CC}">
                  <c16:uniqueId val="{0000000C-2FCA-41FF-AA71-B202941CBB91}"/>
                </c:ext>
              </c:extLst>
            </c:dLbl>
            <c:dLbl>
              <c:idx val="4"/>
              <c:delete val="1"/>
              <c:extLst>
                <c:ext xmlns:c15="http://schemas.microsoft.com/office/drawing/2012/chart" uri="{CE6537A1-D6FC-4f65-9D91-7224C49458BB}"/>
                <c:ext xmlns:c16="http://schemas.microsoft.com/office/drawing/2014/chart" uri="{C3380CC4-5D6E-409C-BE32-E72D297353CC}">
                  <c16:uniqueId val="{0000000B-2FCA-41FF-AA71-B202941CBB91}"/>
                </c:ext>
              </c:extLst>
            </c:dLbl>
            <c:dLbl>
              <c:idx val="5"/>
              <c:delete val="1"/>
              <c:extLst>
                <c:ext xmlns:c15="http://schemas.microsoft.com/office/drawing/2012/chart" uri="{CE6537A1-D6FC-4f65-9D91-7224C49458BB}"/>
                <c:ext xmlns:c16="http://schemas.microsoft.com/office/drawing/2014/chart" uri="{C3380CC4-5D6E-409C-BE32-E72D297353CC}">
                  <c16:uniqueId val="{0000000A-2FCA-41FF-AA71-B202941CBB91}"/>
                </c:ext>
              </c:extLst>
            </c:dLbl>
            <c:dLbl>
              <c:idx val="6"/>
              <c:delete val="1"/>
              <c:extLst>
                <c:ext xmlns:c15="http://schemas.microsoft.com/office/drawing/2012/chart" uri="{CE6537A1-D6FC-4f65-9D91-7224C49458BB}"/>
                <c:ext xmlns:c16="http://schemas.microsoft.com/office/drawing/2014/chart" uri="{C3380CC4-5D6E-409C-BE32-E72D297353CC}">
                  <c16:uniqueId val="{00000009-2FCA-41FF-AA71-B202941CBB91}"/>
                </c:ext>
              </c:extLst>
            </c:dLbl>
            <c:dLbl>
              <c:idx val="7"/>
              <c:delete val="1"/>
              <c:extLst>
                <c:ext xmlns:c15="http://schemas.microsoft.com/office/drawing/2012/chart" uri="{CE6537A1-D6FC-4f65-9D91-7224C49458BB}"/>
                <c:ext xmlns:c16="http://schemas.microsoft.com/office/drawing/2014/chart" uri="{C3380CC4-5D6E-409C-BE32-E72D297353CC}">
                  <c16:uniqueId val="{0000000F-EE7A-468F-8EE9-A6971C8971C1}"/>
                </c:ext>
              </c:extLst>
            </c:dLbl>
            <c:dLbl>
              <c:idx val="9"/>
              <c:layout>
                <c:manualLayout>
                  <c:x val="9.4919072615923007E-3"/>
                  <c:y val="1.978966170895304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FCA-41FF-AA71-B202941CBB91}"/>
                </c:ext>
              </c:extLst>
            </c:dLbl>
            <c:dLbl>
              <c:idx val="10"/>
              <c:delete val="1"/>
              <c:extLst>
                <c:ext xmlns:c15="http://schemas.microsoft.com/office/drawing/2012/chart" uri="{CE6537A1-D6FC-4f65-9D91-7224C49458BB}"/>
                <c:ext xmlns:c16="http://schemas.microsoft.com/office/drawing/2014/chart" uri="{C3380CC4-5D6E-409C-BE32-E72D297353CC}">
                  <c16:uniqueId val="{00000006-2FCA-41FF-AA71-B202941CBB91}"/>
                </c:ext>
              </c:extLst>
            </c:dLbl>
            <c:dLbl>
              <c:idx val="11"/>
              <c:delete val="1"/>
              <c:extLst>
                <c:ext xmlns:c15="http://schemas.microsoft.com/office/drawing/2012/chart" uri="{CE6537A1-D6FC-4f65-9D91-7224C49458BB}"/>
                <c:ext xmlns:c16="http://schemas.microsoft.com/office/drawing/2014/chart" uri="{C3380CC4-5D6E-409C-BE32-E72D297353CC}">
                  <c16:uniqueId val="{00000004-2FCA-41FF-AA71-B202941CBB91}"/>
                </c:ext>
              </c:extLst>
            </c:dLbl>
            <c:dLbl>
              <c:idx val="12"/>
              <c:delete val="1"/>
              <c:extLst>
                <c:ext xmlns:c15="http://schemas.microsoft.com/office/drawing/2012/chart" uri="{CE6537A1-D6FC-4f65-9D91-7224C49458BB}"/>
                <c:ext xmlns:c16="http://schemas.microsoft.com/office/drawing/2014/chart" uri="{C3380CC4-5D6E-409C-BE32-E72D297353CC}">
                  <c16:uniqueId val="{00000019-EE7A-468F-8EE9-A6971C8971C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('material inventory'!$S$14:$S$34,'material inventory'!$S$58)</c:f>
              <c:strCache>
                <c:ptCount val="22"/>
                <c:pt idx="0">
                  <c:v>FTO glass</c:v>
                </c:pt>
                <c:pt idx="1">
                  <c:v>Ethanol</c:v>
                </c:pt>
                <c:pt idx="2">
                  <c:v>Acetone</c:v>
                </c:pt>
                <c:pt idx="3">
                  <c:v>Deionized water</c:v>
                </c:pt>
                <c:pt idx="4">
                  <c:v>BL-TiO₂ ink</c:v>
                </c:pt>
                <c:pt idx="5">
                  <c:v>TiO₂</c:v>
                </c:pt>
                <c:pt idx="6">
                  <c:v>FAI</c:v>
                </c:pt>
                <c:pt idx="7">
                  <c:v>PbI₂</c:v>
                </c:pt>
                <c:pt idx="8">
                  <c:v>MABr</c:v>
                </c:pt>
                <c:pt idx="9">
                  <c:v>PbBr₂</c:v>
                </c:pt>
                <c:pt idx="10">
                  <c:v>DMF</c:v>
                </c:pt>
                <c:pt idx="11">
                  <c:v>DMSO</c:v>
                </c:pt>
                <c:pt idx="12">
                  <c:v>Chlorobenzene</c:v>
                </c:pt>
                <c:pt idx="13">
                  <c:v>spiro-OMeTAD</c:v>
                </c:pt>
                <c:pt idx="14">
                  <c:v>HTFSI</c:v>
                </c:pt>
                <c:pt idx="15">
                  <c:v>Acetonitrile</c:v>
                </c:pt>
                <c:pt idx="16">
                  <c:v>FK209</c:v>
                </c:pt>
                <c:pt idx="17">
                  <c:v>4-tert-Butylpyridine</c:v>
                </c:pt>
                <c:pt idx="18">
                  <c:v>Cu</c:v>
                </c:pt>
                <c:pt idx="19">
                  <c:v>Ar</c:v>
                </c:pt>
                <c:pt idx="20">
                  <c:v>O₂</c:v>
                </c:pt>
                <c:pt idx="21">
                  <c:v>Treatment</c:v>
                </c:pt>
              </c:strCache>
            </c:strRef>
          </c:cat>
          <c:val>
            <c:numRef>
              <c:f>('material inventory'!$V$14:$V$34,'material inventory'!$V$58)</c:f>
              <c:numCache>
                <c:formatCode>0.00</c:formatCode>
                <c:ptCount val="22"/>
                <c:pt idx="0">
                  <c:v>8.5029036949120105</c:v>
                </c:pt>
                <c:pt idx="1">
                  <c:v>0.21438001693484721</c:v>
                </c:pt>
                <c:pt idx="2" formatCode="0.000E+00">
                  <c:v>0.99018946488503967</c:v>
                </c:pt>
                <c:pt idx="3">
                  <c:v>7.8310930304559991E-5</c:v>
                </c:pt>
                <c:pt idx="4">
                  <c:v>3.0850478127392843E-2</c:v>
                </c:pt>
                <c:pt idx="5">
                  <c:v>7.801623139805999E-3</c:v>
                </c:pt>
                <c:pt idx="6">
                  <c:v>0.44681968269564831</c:v>
                </c:pt>
                <c:pt idx="7">
                  <c:v>4.7175585678547176E-2</c:v>
                </c:pt>
                <c:pt idx="8">
                  <c:v>2.376101090413008</c:v>
                </c:pt>
                <c:pt idx="9">
                  <c:v>6.1645782321264834E-3</c:v>
                </c:pt>
                <c:pt idx="10">
                  <c:v>9.594394691044536E-2</c:v>
                </c:pt>
                <c:pt idx="11">
                  <c:v>2.1041036486732889E-2</c:v>
                </c:pt>
                <c:pt idx="12">
                  <c:v>0.44095397902701583</c:v>
                </c:pt>
                <c:pt idx="13">
                  <c:v>0.71271985219058731</c:v>
                </c:pt>
                <c:pt idx="14">
                  <c:v>2.9694410746765015E-2</c:v>
                </c:pt>
                <c:pt idx="15">
                  <c:v>2.1761021881914613E-2</c:v>
                </c:pt>
                <c:pt idx="17">
                  <c:v>2.4300028863157897E-2</c:v>
                </c:pt>
                <c:pt idx="18" formatCode="0.000E+00">
                  <c:v>4.3663258078863364E-2</c:v>
                </c:pt>
                <c:pt idx="19" formatCode="0.000E+00">
                  <c:v>3.4927646546424245</c:v>
                </c:pt>
                <c:pt idx="20" formatCode="0.000E+00">
                  <c:v>1.3958710916654544E-3</c:v>
                </c:pt>
                <c:pt idx="21" formatCode="0.000E+00">
                  <c:v>4.7824445274400002E-4</c:v>
                </c:pt>
              </c:numCache>
            </c:numRef>
          </c:val>
          <c:extLst>
            <c:ext xmlns:c16="http://schemas.microsoft.com/office/drawing/2014/chart" uri="{C3380CC4-5D6E-409C-BE32-E72D297353CC}">
              <c16:uniqueId val="{00000000-2FCA-41FF-AA71-B202941CBB9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3499453193350841"/>
          <c:y val="0.12551800816564598"/>
          <c:w val="0.34833880139982504"/>
          <c:h val="0.83681102362204729"/>
        </c:manualLayout>
      </c:layout>
      <c:overlay val="0"/>
      <c:spPr>
        <a:solidFill>
          <a:schemeClr val="bg1"/>
        </a:solidFill>
        <a:ln>
          <a:noFill/>
        </a:ln>
        <a:effectLst/>
      </c:spPr>
      <c:txPr>
        <a:bodyPr rot="0" spcFirstLastPara="1" vertOverflow="ellipsis" vert="horz" wrap="square" anchor="ctr" anchorCtr="1"/>
        <a:lstStyle/>
        <a:p>
          <a:pPr rtl="0">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D5-4143-85A5-1C0822BAF2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D5-4143-85A5-1C0822BAF2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D5-4143-85A5-1C0822BAF2B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BD5-4143-85A5-1C0822BAF2B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BD5-4143-85A5-1C0822BAF2B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BD5-4143-85A5-1C0822BAF2B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BD5-4143-85A5-1C0822BAF2B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BD5-4143-85A5-1C0822BAF2B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BD5-4143-85A5-1C0822BAF2B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BD5-4143-85A5-1C0822BAF2B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BD5-4143-85A5-1C0822BAF2B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BD5-4143-85A5-1C0822BAF2B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BD5-4143-85A5-1C0822BAF2BF}"/>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BD5-4143-85A5-1C0822BAF2BF}"/>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BD5-4143-85A5-1C0822BAF2BF}"/>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7BD5-4143-85A5-1C0822BAF2BF}"/>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7BD5-4143-85A5-1C0822BAF2BF}"/>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7BD5-4143-85A5-1C0822BAF2BF}"/>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7BD5-4143-85A5-1C0822BAF2BF}"/>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3C24-4A44-B1FF-3AB1F711D963}"/>
              </c:ext>
            </c:extLst>
          </c:dPt>
          <c:cat>
            <c:strRef>
              <c:f>('material inventory'!$S$14:$S$32,'material inventory'!$S$58)</c:f>
              <c:strCache>
                <c:ptCount val="20"/>
                <c:pt idx="0">
                  <c:v>FTO glass</c:v>
                </c:pt>
                <c:pt idx="1">
                  <c:v>Ethanol</c:v>
                </c:pt>
                <c:pt idx="2">
                  <c:v>Acetone</c:v>
                </c:pt>
                <c:pt idx="3">
                  <c:v>Deionized water</c:v>
                </c:pt>
                <c:pt idx="4">
                  <c:v>BL-TiO₂ ink</c:v>
                </c:pt>
                <c:pt idx="5">
                  <c:v>TiO₂</c:v>
                </c:pt>
                <c:pt idx="6">
                  <c:v>FAI</c:v>
                </c:pt>
                <c:pt idx="7">
                  <c:v>PbI₂</c:v>
                </c:pt>
                <c:pt idx="8">
                  <c:v>MABr</c:v>
                </c:pt>
                <c:pt idx="9">
                  <c:v>PbBr₂</c:v>
                </c:pt>
                <c:pt idx="10">
                  <c:v>DMF</c:v>
                </c:pt>
                <c:pt idx="11">
                  <c:v>DMSO</c:v>
                </c:pt>
                <c:pt idx="12">
                  <c:v>Chlorobenzene</c:v>
                </c:pt>
                <c:pt idx="13">
                  <c:v>spiro-OMeTAD</c:v>
                </c:pt>
                <c:pt idx="14">
                  <c:v>HTFSI</c:v>
                </c:pt>
                <c:pt idx="15">
                  <c:v>Acetonitrile</c:v>
                </c:pt>
                <c:pt idx="16">
                  <c:v>FK209</c:v>
                </c:pt>
                <c:pt idx="17">
                  <c:v>4-tert-Butylpyridine</c:v>
                </c:pt>
                <c:pt idx="18">
                  <c:v>Cu</c:v>
                </c:pt>
                <c:pt idx="19">
                  <c:v>Treatment</c:v>
                </c:pt>
              </c:strCache>
            </c:strRef>
          </c:cat>
          <c:val>
            <c:numRef>
              <c:f>('material inventory'!$V$14:$V$32,'material inventory'!$V$58)</c:f>
              <c:numCache>
                <c:formatCode>0.00</c:formatCode>
                <c:ptCount val="20"/>
                <c:pt idx="0">
                  <c:v>8.5029036949120105</c:v>
                </c:pt>
                <c:pt idx="1">
                  <c:v>0.21438001693484721</c:v>
                </c:pt>
                <c:pt idx="2" formatCode="0.000E+00">
                  <c:v>0.99018946488503967</c:v>
                </c:pt>
                <c:pt idx="3">
                  <c:v>7.8310930304559991E-5</c:v>
                </c:pt>
                <c:pt idx="4">
                  <c:v>3.0850478127392843E-2</c:v>
                </c:pt>
                <c:pt idx="5">
                  <c:v>7.801623139805999E-3</c:v>
                </c:pt>
                <c:pt idx="6">
                  <c:v>0.44681968269564831</c:v>
                </c:pt>
                <c:pt idx="7">
                  <c:v>4.7175585678547176E-2</c:v>
                </c:pt>
                <c:pt idx="8">
                  <c:v>2.376101090413008</c:v>
                </c:pt>
                <c:pt idx="9">
                  <c:v>6.1645782321264834E-3</c:v>
                </c:pt>
                <c:pt idx="10">
                  <c:v>9.594394691044536E-2</c:v>
                </c:pt>
                <c:pt idx="11">
                  <c:v>2.1041036486732889E-2</c:v>
                </c:pt>
                <c:pt idx="12">
                  <c:v>0.44095397902701583</c:v>
                </c:pt>
                <c:pt idx="13">
                  <c:v>0.71271985219058731</c:v>
                </c:pt>
                <c:pt idx="14">
                  <c:v>2.9694410746765015E-2</c:v>
                </c:pt>
                <c:pt idx="15">
                  <c:v>2.1761021881914613E-2</c:v>
                </c:pt>
                <c:pt idx="17">
                  <c:v>2.4300028863157897E-2</c:v>
                </c:pt>
                <c:pt idx="18" formatCode="0.000E+00">
                  <c:v>4.3663258078863364E-2</c:v>
                </c:pt>
                <c:pt idx="19" formatCode="0.000E+00">
                  <c:v>4.7824445274400002E-4</c:v>
                </c:pt>
              </c:numCache>
            </c:numRef>
          </c:val>
          <c:extLst>
            <c:ext xmlns:c16="http://schemas.microsoft.com/office/drawing/2014/chart" uri="{C3380CC4-5D6E-409C-BE32-E72D297353CC}">
              <c16:uniqueId val="{00000000-3874-45C9-BB15-8EB446C51BBF}"/>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Carbon footprint (kg CO</a:t>
            </a:r>
            <a:r>
              <a:rPr lang="en-US" sz="1400" b="0" i="0" baseline="-25000">
                <a:effectLst/>
              </a:rPr>
              <a:t>2</a:t>
            </a:r>
            <a:r>
              <a:rPr lang="en-US" sz="1400" b="0" i="0" baseline="0">
                <a:effectLst/>
              </a:rPr>
              <a:t>-eq/m</a:t>
            </a:r>
            <a:r>
              <a:rPr lang="en-US" sz="1400" b="0" i="0" baseline="30000">
                <a:effectLst/>
              </a:rPr>
              <a:t>2 </a:t>
            </a:r>
            <a:r>
              <a:rPr lang="en-US" sz="1400" b="0" i="0" baseline="0">
                <a:effectLst/>
              </a:rPr>
              <a:t>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1B9A64B4-110B-4ECD-A4C0-D8F510258D1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90C-45A5-8034-C6D5C2CBD8BC}"/>
                </c:ext>
              </c:extLst>
            </c:dLbl>
            <c:dLbl>
              <c:idx val="1"/>
              <c:tx>
                <c:rich>
                  <a:bodyPr/>
                  <a:lstStyle/>
                  <a:p>
                    <a:fld id="{4CE46DE2-5566-4D1E-84C0-E81C54CA894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90C-45A5-8034-C6D5C2CBD8BC}"/>
                </c:ext>
              </c:extLst>
            </c:dLbl>
            <c:dLbl>
              <c:idx val="2"/>
              <c:tx>
                <c:rich>
                  <a:bodyPr/>
                  <a:lstStyle/>
                  <a:p>
                    <a:fld id="{441BBF83-E469-45D4-A43A-677189BAEF6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90C-45A5-8034-C6D5C2CBD8BC}"/>
                </c:ext>
              </c:extLst>
            </c:dLbl>
            <c:dLbl>
              <c:idx val="3"/>
              <c:tx>
                <c:rich>
                  <a:bodyPr/>
                  <a:lstStyle/>
                  <a:p>
                    <a:fld id="{2F287F07-29EF-460D-8E36-D86F1BFA60B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90C-45A5-8034-C6D5C2CBD8BC}"/>
                </c:ext>
              </c:extLst>
            </c:dLbl>
            <c:dLbl>
              <c:idx val="4"/>
              <c:tx>
                <c:rich>
                  <a:bodyPr/>
                  <a:lstStyle/>
                  <a:p>
                    <a:fld id="{F4B8CD7B-9836-45EE-82CC-5C7FDCE6F54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90C-45A5-8034-C6D5C2CBD8BC}"/>
                </c:ext>
              </c:extLst>
            </c:dLbl>
            <c:dLbl>
              <c:idx val="5"/>
              <c:tx>
                <c:rich>
                  <a:bodyPr/>
                  <a:lstStyle/>
                  <a:p>
                    <a:fld id="{26304E6A-7EC0-414F-A16F-63C1DC0E1CF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90C-45A5-8034-C6D5C2CBD8BC}"/>
                </c:ext>
              </c:extLst>
            </c:dLbl>
            <c:dLbl>
              <c:idx val="6"/>
              <c:tx>
                <c:rich>
                  <a:bodyPr/>
                  <a:lstStyle/>
                  <a:p>
                    <a:fld id="{1B343CF4-DDBA-44F8-A9F5-699800680E6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90C-45A5-8034-C6D5C2CBD8BC}"/>
                </c:ext>
              </c:extLst>
            </c:dLbl>
            <c:dLbl>
              <c:idx val="7"/>
              <c:tx>
                <c:rich>
                  <a:bodyPr/>
                  <a:lstStyle/>
                  <a:p>
                    <a:fld id="{C178A4AE-4993-40B5-B08B-6116F02288B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90C-45A5-8034-C6D5C2CBD8BC}"/>
                </c:ext>
              </c:extLst>
            </c:dLbl>
            <c:dLbl>
              <c:idx val="8"/>
              <c:tx>
                <c:rich>
                  <a:bodyPr/>
                  <a:lstStyle/>
                  <a:p>
                    <a:fld id="{1150765A-10EC-46D9-A283-5AFC3F7FA99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90C-45A5-8034-C6D5C2CBD8B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SA!$A$5:$A$13</c:f>
              <c:strCache>
                <c:ptCount val="9"/>
                <c:pt idx="0">
                  <c:v>Recycling level of electrode (95%)</c:v>
                </c:pt>
                <c:pt idx="1">
                  <c:v>Utilization efficiency of spin coating (80%)</c:v>
                </c:pt>
                <c:pt idx="2">
                  <c:v>Energy consumption of  ETL spin coating, kWh (0.309)</c:v>
                </c:pt>
                <c:pt idx="3">
                  <c:v>Energy consumption of  sonication, kWh (0.400)</c:v>
                </c:pt>
                <c:pt idx="4">
                  <c:v>Energy consumption of ETL calcining, kWh (2.400)</c:v>
                </c:pt>
                <c:pt idx="5">
                  <c:v>Energy consumption of electrode sputtering, kWh (7.056)</c:v>
                </c:pt>
                <c:pt idx="6">
                  <c:v>Energy consumption of PL 2nd-step spin coating, kWh (11.61)</c:v>
                </c:pt>
                <c:pt idx="7">
                  <c:v>Recycling level of substrate (90%)</c:v>
                </c:pt>
                <c:pt idx="8">
                  <c:v>Energy consumption of PL drying, kWh (21.60)</c:v>
                </c:pt>
              </c:strCache>
            </c:strRef>
          </c:cat>
          <c:val>
            <c:numRef>
              <c:f>SA!$C$5:$C$13</c:f>
              <c:numCache>
                <c:formatCode>General</c:formatCode>
                <c:ptCount val="9"/>
                <c:pt idx="0">
                  <c:v>39.573146189458356</c:v>
                </c:pt>
                <c:pt idx="1">
                  <c:v>39.60664421746236</c:v>
                </c:pt>
                <c:pt idx="2">
                  <c:v>39.529092304161992</c:v>
                </c:pt>
                <c:pt idx="3">
                  <c:v>39.516207999384122</c:v>
                </c:pt>
                <c:pt idx="4" formatCode="0.000">
                  <c:v>39.232239999156945</c:v>
                </c:pt>
                <c:pt idx="5">
                  <c:v>38.571225598628132</c:v>
                </c:pt>
                <c:pt idx="6">
                  <c:v>37.924271704779201</c:v>
                </c:pt>
                <c:pt idx="7">
                  <c:v>42.169731674347844</c:v>
                </c:pt>
                <c:pt idx="8" formatCode="0.00">
                  <c:v>36.506147196976066</c:v>
                </c:pt>
              </c:numCache>
            </c:numRef>
          </c:val>
          <c:extLst>
            <c:ext xmlns:c15="http://schemas.microsoft.com/office/drawing/2012/chart" uri="{02D57815-91ED-43cb-92C2-25804820EDAC}">
              <c15:datalabelsRange>
                <c15:f>SA!$B$5:$B$13</c15:f>
                <c15:dlblRangeCache>
                  <c:ptCount val="9"/>
                  <c:pt idx="0">
                    <c:v>90%</c:v>
                  </c:pt>
                  <c:pt idx="1">
                    <c:v>70%</c:v>
                  </c:pt>
                  <c:pt idx="2">
                    <c:v>0.247</c:v>
                  </c:pt>
                  <c:pt idx="3">
                    <c:v>0.320</c:v>
                  </c:pt>
                  <c:pt idx="4">
                    <c:v>1.920</c:v>
                  </c:pt>
                  <c:pt idx="5">
                    <c:v>5.6448</c:v>
                  </c:pt>
                  <c:pt idx="6">
                    <c:v>9.288</c:v>
                  </c:pt>
                  <c:pt idx="7">
                    <c:v>80%</c:v>
                  </c:pt>
                  <c:pt idx="8">
                    <c:v>17.28</c:v>
                  </c:pt>
                </c15:dlblRangeCache>
              </c15:datalabelsRange>
            </c:ext>
            <c:ext xmlns:c16="http://schemas.microsoft.com/office/drawing/2014/chart" uri="{C3380CC4-5D6E-409C-BE32-E72D297353CC}">
              <c16:uniqueId val="{00000000-490C-45A5-8034-C6D5C2CBD8BC}"/>
            </c:ext>
          </c:extLst>
        </c:ser>
        <c:ser>
          <c:idx val="1"/>
          <c:order val="1"/>
          <c:spPr>
            <a:solidFill>
              <a:schemeClr val="accent2"/>
            </a:solidFill>
            <a:ln>
              <a:noFill/>
            </a:ln>
            <a:effectLst/>
          </c:spPr>
          <c:invertIfNegative val="0"/>
          <c:dLbls>
            <c:dLbl>
              <c:idx val="0"/>
              <c:tx>
                <c:rich>
                  <a:bodyPr/>
                  <a:lstStyle/>
                  <a:p>
                    <a:fld id="{78C2D6CA-B1EC-48D5-9507-CF62B5D9384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90C-45A5-8034-C6D5C2CBD8BC}"/>
                </c:ext>
              </c:extLst>
            </c:dLbl>
            <c:dLbl>
              <c:idx val="1"/>
              <c:tx>
                <c:rich>
                  <a:bodyPr/>
                  <a:lstStyle/>
                  <a:p>
                    <a:fld id="{19E5750B-202C-4B44-A8CA-818E0FC8F6B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90C-45A5-8034-C6D5C2CBD8BC}"/>
                </c:ext>
              </c:extLst>
            </c:dLbl>
            <c:dLbl>
              <c:idx val="2"/>
              <c:tx>
                <c:rich>
                  <a:bodyPr/>
                  <a:lstStyle/>
                  <a:p>
                    <a:fld id="{A7556DE2-069E-4796-8A75-1C8781EC8CB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90C-45A5-8034-C6D5C2CBD8BC}"/>
                </c:ext>
              </c:extLst>
            </c:dLbl>
            <c:dLbl>
              <c:idx val="3"/>
              <c:tx>
                <c:rich>
                  <a:bodyPr/>
                  <a:lstStyle/>
                  <a:p>
                    <a:fld id="{3CC576AD-FE43-42DB-B9D5-E730C933E8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90C-45A5-8034-C6D5C2CBD8BC}"/>
                </c:ext>
              </c:extLst>
            </c:dLbl>
            <c:dLbl>
              <c:idx val="4"/>
              <c:tx>
                <c:rich>
                  <a:bodyPr/>
                  <a:lstStyle/>
                  <a:p>
                    <a:fld id="{D73B5A39-583A-4021-80B0-8704D41F5D8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90C-45A5-8034-C6D5C2CBD8BC}"/>
                </c:ext>
              </c:extLst>
            </c:dLbl>
            <c:dLbl>
              <c:idx val="5"/>
              <c:tx>
                <c:rich>
                  <a:bodyPr/>
                  <a:lstStyle/>
                  <a:p>
                    <a:fld id="{2AF1C9AA-5EE8-4D55-98EA-BAEB90B4C7A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90C-45A5-8034-C6D5C2CBD8BC}"/>
                </c:ext>
              </c:extLst>
            </c:dLbl>
            <c:dLbl>
              <c:idx val="6"/>
              <c:tx>
                <c:rich>
                  <a:bodyPr/>
                  <a:lstStyle/>
                  <a:p>
                    <a:fld id="{96D2D23C-C6BB-407F-9506-82E2BF40B69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90C-45A5-8034-C6D5C2CBD8BC}"/>
                </c:ext>
              </c:extLst>
            </c:dLbl>
            <c:dLbl>
              <c:idx val="7"/>
              <c:tx>
                <c:rich>
                  <a:bodyPr/>
                  <a:lstStyle/>
                  <a:p>
                    <a:fld id="{4CBD6657-FB73-4B5C-82D4-2BB08D95D6F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90C-45A5-8034-C6D5C2CBD8BC}"/>
                </c:ext>
              </c:extLst>
            </c:dLbl>
            <c:dLbl>
              <c:idx val="8"/>
              <c:tx>
                <c:rich>
                  <a:bodyPr/>
                  <a:lstStyle/>
                  <a:p>
                    <a:fld id="{64F53535-1E2C-44E7-8EA0-424891F9660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90C-45A5-8034-C6D5C2CBD8B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SA!$A$5:$A$13</c:f>
              <c:strCache>
                <c:ptCount val="9"/>
                <c:pt idx="0">
                  <c:v>Recycling level of electrode (95%)</c:v>
                </c:pt>
                <c:pt idx="1">
                  <c:v>Utilization efficiency of spin coating (80%)</c:v>
                </c:pt>
                <c:pt idx="2">
                  <c:v>Energy consumption of  ETL spin coating, kWh (0.309)</c:v>
                </c:pt>
                <c:pt idx="3">
                  <c:v>Energy consumption of  sonication, kWh (0.400)</c:v>
                </c:pt>
                <c:pt idx="4">
                  <c:v>Energy consumption of ETL calcining, kWh (2.400)</c:v>
                </c:pt>
                <c:pt idx="5">
                  <c:v>Energy consumption of electrode sputtering, kWh (7.056)</c:v>
                </c:pt>
                <c:pt idx="6">
                  <c:v>Energy consumption of PL 2nd-step spin coating, kWh (11.61)</c:v>
                </c:pt>
                <c:pt idx="7">
                  <c:v>Recycling level of substrate (90%)</c:v>
                </c:pt>
                <c:pt idx="8">
                  <c:v>Energy consumption of PL drying, kWh (21.60)</c:v>
                </c:pt>
              </c:strCache>
            </c:strRef>
          </c:cat>
          <c:val>
            <c:numRef>
              <c:f>SA!$G$5:$G$13</c:f>
              <c:numCache>
                <c:formatCode>General</c:formatCode>
                <c:ptCount val="9"/>
                <c:pt idx="0">
                  <c:v>39.572857009400749</c:v>
                </c:pt>
                <c:pt idx="1">
                  <c:v>39.546835118737377</c:v>
                </c:pt>
                <c:pt idx="2">
                  <c:v>39.616910894697114</c:v>
                </c:pt>
                <c:pt idx="3">
                  <c:v>39.629795199474984</c:v>
                </c:pt>
                <c:pt idx="4">
                  <c:v>39.91376319970216</c:v>
                </c:pt>
                <c:pt idx="5">
                  <c:v>40.574777600230973</c:v>
                </c:pt>
                <c:pt idx="6">
                  <c:v>41.221731494079904</c:v>
                </c:pt>
                <c:pt idx="7">
                  <c:v>36.976279901961469</c:v>
                </c:pt>
                <c:pt idx="8">
                  <c:v>42.639856001883032</c:v>
                </c:pt>
              </c:numCache>
            </c:numRef>
          </c:val>
          <c:extLst>
            <c:ext xmlns:c15="http://schemas.microsoft.com/office/drawing/2012/chart" uri="{02D57815-91ED-43cb-92C2-25804820EDAC}">
              <c15:datalabelsRange>
                <c15:f>SA!$F$5:$F$13</c15:f>
                <c15:dlblRangeCache>
                  <c:ptCount val="9"/>
                  <c:pt idx="0">
                    <c:v>100%</c:v>
                  </c:pt>
                  <c:pt idx="1">
                    <c:v>90%</c:v>
                  </c:pt>
                  <c:pt idx="2">
                    <c:v>0.371</c:v>
                  </c:pt>
                  <c:pt idx="3">
                    <c:v>0.480</c:v>
                  </c:pt>
                  <c:pt idx="4">
                    <c:v>2.880</c:v>
                  </c:pt>
                  <c:pt idx="5">
                    <c:v>8.467</c:v>
                  </c:pt>
                  <c:pt idx="6">
                    <c:v>13.93</c:v>
                  </c:pt>
                  <c:pt idx="7">
                    <c:v>100%</c:v>
                  </c:pt>
                  <c:pt idx="8">
                    <c:v>25.92</c:v>
                  </c:pt>
                </c15:dlblRangeCache>
              </c15:datalabelsRange>
            </c:ext>
            <c:ext xmlns:c16="http://schemas.microsoft.com/office/drawing/2014/chart" uri="{C3380CC4-5D6E-409C-BE32-E72D297353CC}">
              <c16:uniqueId val="{00000002-490C-45A5-8034-C6D5C2CBD8BC}"/>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38742815"/>
        <c:crossesAt val="39.573"/>
        <c:auto val="1"/>
        <c:lblAlgn val="ctr"/>
        <c:lblOffset val="100"/>
        <c:noMultiLvlLbl val="0"/>
      </c:catAx>
      <c:valAx>
        <c:axId val="338742815"/>
        <c:scaling>
          <c:orientation val="minMax"/>
          <c:min val="36"/>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Primary energy consumption (MJ/m</a:t>
            </a:r>
            <a:r>
              <a:rPr lang="en-US" sz="1400" b="0" i="0" baseline="30000">
                <a:effectLst/>
              </a:rPr>
              <a:t>2</a:t>
            </a:r>
            <a:r>
              <a:rPr lang="en-US" sz="1400" b="0" i="0" baseline="0">
                <a:effectLst/>
              </a:rPr>
              <a:t> 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860E2A40-F155-4AC6-9BEF-292A5F74FD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F7A-4800-84B9-D1BE0BDDBCC1}"/>
                </c:ext>
              </c:extLst>
            </c:dLbl>
            <c:dLbl>
              <c:idx val="1"/>
              <c:tx>
                <c:rich>
                  <a:bodyPr/>
                  <a:lstStyle/>
                  <a:p>
                    <a:fld id="{364F8D18-9450-4F32-91B5-FFE180EDB5C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F7A-4800-84B9-D1BE0BDDBCC1}"/>
                </c:ext>
              </c:extLst>
            </c:dLbl>
            <c:dLbl>
              <c:idx val="2"/>
              <c:tx>
                <c:rich>
                  <a:bodyPr/>
                  <a:lstStyle/>
                  <a:p>
                    <a:fld id="{B1FB569F-6B6C-40B3-82BC-DB42288885D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F7A-4800-84B9-D1BE0BDDBCC1}"/>
                </c:ext>
              </c:extLst>
            </c:dLbl>
            <c:dLbl>
              <c:idx val="3"/>
              <c:tx>
                <c:rich>
                  <a:bodyPr/>
                  <a:lstStyle/>
                  <a:p>
                    <a:fld id="{4F8E779C-084B-484B-91BE-227E0FD2B3F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F7A-4800-84B9-D1BE0BDDBCC1}"/>
                </c:ext>
              </c:extLst>
            </c:dLbl>
            <c:dLbl>
              <c:idx val="4"/>
              <c:tx>
                <c:rich>
                  <a:bodyPr/>
                  <a:lstStyle/>
                  <a:p>
                    <a:fld id="{D5EBD6E8-B9C6-4883-9AFF-A6B21B1E834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F7A-4800-84B9-D1BE0BDDBCC1}"/>
                </c:ext>
              </c:extLst>
            </c:dLbl>
            <c:dLbl>
              <c:idx val="5"/>
              <c:tx>
                <c:rich>
                  <a:bodyPr/>
                  <a:lstStyle/>
                  <a:p>
                    <a:fld id="{24FB975B-BB0F-4B0C-9F6E-AAE7C9FFB5B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F7A-4800-84B9-D1BE0BDDBCC1}"/>
                </c:ext>
              </c:extLst>
            </c:dLbl>
            <c:dLbl>
              <c:idx val="6"/>
              <c:tx>
                <c:rich>
                  <a:bodyPr/>
                  <a:lstStyle/>
                  <a:p>
                    <a:fld id="{905CDF49-10AB-4E67-853B-6BD8DA049AA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F7A-4800-84B9-D1BE0BDDBCC1}"/>
                </c:ext>
              </c:extLst>
            </c:dLbl>
            <c:dLbl>
              <c:idx val="7"/>
              <c:tx>
                <c:rich>
                  <a:bodyPr/>
                  <a:lstStyle/>
                  <a:p>
                    <a:fld id="{B5169402-2A52-42D8-B34A-A3EC50BB4CF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F7A-4800-84B9-D1BE0BDDBCC1}"/>
                </c:ext>
              </c:extLst>
            </c:dLbl>
            <c:dLbl>
              <c:idx val="8"/>
              <c:tx>
                <c:rich>
                  <a:bodyPr/>
                  <a:lstStyle/>
                  <a:p>
                    <a:fld id="{D524185E-D567-479F-9808-5FC28EA63E3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F7A-4800-84B9-D1BE0BDDBCC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SA!$A$17:$A$25</c:f>
              <c:strCache>
                <c:ptCount val="9"/>
                <c:pt idx="0">
                  <c:v>Recycling level of electrode (95%)</c:v>
                </c:pt>
                <c:pt idx="1">
                  <c:v>Utilization efficiency of spin coating (80%)</c:v>
                </c:pt>
                <c:pt idx="2">
                  <c:v>Energy consumption of  ETL spin coating, kWh (0.309)</c:v>
                </c:pt>
                <c:pt idx="3">
                  <c:v>Energy consumption of  sonication, kWh (0.400)</c:v>
                </c:pt>
                <c:pt idx="4">
                  <c:v>Energy consumption of ETL calcining, kWh (2.400)</c:v>
                </c:pt>
                <c:pt idx="5">
                  <c:v>Energy consumption of electrode sputtering, kWh (7.056)</c:v>
                </c:pt>
                <c:pt idx="6">
                  <c:v>Energy consumption of PL 2nd-step spin coating, kWh (11.61)</c:v>
                </c:pt>
                <c:pt idx="7">
                  <c:v>Recycling level of substrate (90%)</c:v>
                </c:pt>
                <c:pt idx="8">
                  <c:v>Energy consumption of PL drying, kWh (21.60)</c:v>
                </c:pt>
              </c:strCache>
            </c:strRef>
          </c:cat>
          <c:val>
            <c:numRef>
              <c:f>SA!$C$17:$C$25</c:f>
              <c:numCache>
                <c:formatCode>General</c:formatCode>
                <c:ptCount val="9"/>
                <c:pt idx="0">
                  <c:v>690.2135270231928</c:v>
                </c:pt>
                <c:pt idx="1">
                  <c:v>690.81444146675699</c:v>
                </c:pt>
                <c:pt idx="2">
                  <c:v>689.43882911355593</c:v>
                </c:pt>
                <c:pt idx="3">
                  <c:v>689.21211960169171</c:v>
                </c:pt>
                <c:pt idx="4">
                  <c:v>684.21547850801437</c:v>
                </c:pt>
                <c:pt idx="5">
                  <c:v>672.58440840662104</c:v>
                </c:pt>
                <c:pt idx="6">
                  <c:v>661.20074401790805</c:v>
                </c:pt>
                <c:pt idx="7">
                  <c:v>738.76921554947342</c:v>
                </c:pt>
                <c:pt idx="8">
                  <c:v>636.24772400871211</c:v>
                </c:pt>
              </c:numCache>
            </c:numRef>
          </c:val>
          <c:extLst>
            <c:ext xmlns:c15="http://schemas.microsoft.com/office/drawing/2012/chart" uri="{02D57815-91ED-43cb-92C2-25804820EDAC}">
              <c15:datalabelsRange>
                <c15:f>SA!$B$5:$B$13</c15:f>
                <c15:dlblRangeCache>
                  <c:ptCount val="9"/>
                  <c:pt idx="0">
                    <c:v>90%</c:v>
                  </c:pt>
                  <c:pt idx="1">
                    <c:v>70%</c:v>
                  </c:pt>
                  <c:pt idx="2">
                    <c:v>0.247</c:v>
                  </c:pt>
                  <c:pt idx="3">
                    <c:v>0.320</c:v>
                  </c:pt>
                  <c:pt idx="4">
                    <c:v>1.920</c:v>
                  </c:pt>
                  <c:pt idx="5">
                    <c:v>5.6448</c:v>
                  </c:pt>
                  <c:pt idx="6">
                    <c:v>9.288</c:v>
                  </c:pt>
                  <c:pt idx="7">
                    <c:v>80%</c:v>
                  </c:pt>
                  <c:pt idx="8">
                    <c:v>17.28</c:v>
                  </c:pt>
                </c15:dlblRangeCache>
              </c15:datalabelsRange>
            </c:ext>
            <c:ext xmlns:c16="http://schemas.microsoft.com/office/drawing/2014/chart" uri="{C3380CC4-5D6E-409C-BE32-E72D297353CC}">
              <c16:uniqueId val="{00000000-9F7A-4800-84B9-D1BE0BDDBCC1}"/>
            </c:ext>
          </c:extLst>
        </c:ser>
        <c:ser>
          <c:idx val="1"/>
          <c:order val="1"/>
          <c:spPr>
            <a:solidFill>
              <a:schemeClr val="accent2"/>
            </a:solidFill>
            <a:ln>
              <a:noFill/>
            </a:ln>
            <a:effectLst/>
          </c:spPr>
          <c:invertIfNegative val="0"/>
          <c:dLbls>
            <c:dLbl>
              <c:idx val="0"/>
              <c:tx>
                <c:rich>
                  <a:bodyPr/>
                  <a:lstStyle/>
                  <a:p>
                    <a:fld id="{EDD9CC05-57E7-4196-93B8-96BD5A02E00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F7A-4800-84B9-D1BE0BDDBCC1}"/>
                </c:ext>
              </c:extLst>
            </c:dLbl>
            <c:dLbl>
              <c:idx val="1"/>
              <c:tx>
                <c:rich>
                  <a:bodyPr/>
                  <a:lstStyle/>
                  <a:p>
                    <a:fld id="{349DC19D-113F-4D16-AC80-970D835E510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F7A-4800-84B9-D1BE0BDDBCC1}"/>
                </c:ext>
              </c:extLst>
            </c:dLbl>
            <c:dLbl>
              <c:idx val="2"/>
              <c:tx>
                <c:rich>
                  <a:bodyPr/>
                  <a:lstStyle/>
                  <a:p>
                    <a:fld id="{B9166042-3759-4F10-A89C-1BECF2BA90C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F7A-4800-84B9-D1BE0BDDBCC1}"/>
                </c:ext>
              </c:extLst>
            </c:dLbl>
            <c:dLbl>
              <c:idx val="3"/>
              <c:tx>
                <c:rich>
                  <a:bodyPr/>
                  <a:lstStyle/>
                  <a:p>
                    <a:fld id="{03551600-D233-4BD9-821B-77F8F63FA7E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F7A-4800-84B9-D1BE0BDDBCC1}"/>
                </c:ext>
              </c:extLst>
            </c:dLbl>
            <c:dLbl>
              <c:idx val="4"/>
              <c:tx>
                <c:rich>
                  <a:bodyPr/>
                  <a:lstStyle/>
                  <a:p>
                    <a:fld id="{4F2F820B-F742-4944-A919-A5DF80E6BB9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F7A-4800-84B9-D1BE0BDDBCC1}"/>
                </c:ext>
              </c:extLst>
            </c:dLbl>
            <c:dLbl>
              <c:idx val="5"/>
              <c:tx>
                <c:rich>
                  <a:bodyPr/>
                  <a:lstStyle/>
                  <a:p>
                    <a:fld id="{C25C446C-0831-4F6A-9CED-301796D7BF1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F7A-4800-84B9-D1BE0BDDBCC1}"/>
                </c:ext>
              </c:extLst>
            </c:dLbl>
            <c:dLbl>
              <c:idx val="6"/>
              <c:tx>
                <c:rich>
                  <a:bodyPr/>
                  <a:lstStyle/>
                  <a:p>
                    <a:fld id="{D2DB145F-B97D-4E1E-ADD7-20BF3906C9D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F7A-4800-84B9-D1BE0BDDBCC1}"/>
                </c:ext>
              </c:extLst>
            </c:dLbl>
            <c:dLbl>
              <c:idx val="7"/>
              <c:tx>
                <c:rich>
                  <a:bodyPr/>
                  <a:lstStyle/>
                  <a:p>
                    <a:fld id="{9D2B85D8-E598-4049-B15B-83FD424D7E3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F7A-4800-84B9-D1BE0BDDBCC1}"/>
                </c:ext>
              </c:extLst>
            </c:dLbl>
            <c:dLbl>
              <c:idx val="8"/>
              <c:tx>
                <c:rich>
                  <a:bodyPr/>
                  <a:lstStyle/>
                  <a:p>
                    <a:fld id="{99F956C9-DBD4-4668-98A5-FDB72341587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F7A-4800-84B9-D1BE0BDDBCC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SA!$A$17:$A$25</c:f>
              <c:strCache>
                <c:ptCount val="9"/>
                <c:pt idx="0">
                  <c:v>Recycling level of electrode (95%)</c:v>
                </c:pt>
                <c:pt idx="1">
                  <c:v>Utilization efficiency of spin coating (80%)</c:v>
                </c:pt>
                <c:pt idx="2">
                  <c:v>Energy consumption of  ETL spin coating, kWh (0.309)</c:v>
                </c:pt>
                <c:pt idx="3">
                  <c:v>Energy consumption of  sonication, kWh (0.400)</c:v>
                </c:pt>
                <c:pt idx="4">
                  <c:v>Energy consumption of ETL calcining, kWh (2.400)</c:v>
                </c:pt>
                <c:pt idx="5">
                  <c:v>Energy consumption of electrode sputtering, kWh (7.056)</c:v>
                </c:pt>
                <c:pt idx="6">
                  <c:v>Energy consumption of PL 2nd-step spin coating, kWh (11.61)</c:v>
                </c:pt>
                <c:pt idx="7">
                  <c:v>Recycling level of substrate (90%)</c:v>
                </c:pt>
                <c:pt idx="8">
                  <c:v>Energy consumption of PL drying, kWh (21.60)</c:v>
                </c:pt>
              </c:strCache>
            </c:strRef>
          </c:cat>
          <c:val>
            <c:numRef>
              <c:f>SA!$G$17:$G$25</c:f>
              <c:numCache>
                <c:formatCode>General</c:formatCode>
                <c:ptCount val="9"/>
                <c:pt idx="0">
                  <c:v>690.20936861766143</c:v>
                </c:pt>
                <c:pt idx="1">
                  <c:v>689.7424527621705</c:v>
                </c:pt>
                <c:pt idx="2">
                  <c:v>690.9840665272983</c:v>
                </c:pt>
                <c:pt idx="3">
                  <c:v>691.21077603916262</c:v>
                </c:pt>
                <c:pt idx="4">
                  <c:v>696.20741713283985</c:v>
                </c:pt>
                <c:pt idx="5">
                  <c:v>707.83848723423318</c:v>
                </c:pt>
                <c:pt idx="6">
                  <c:v>719.22215162294606</c:v>
                </c:pt>
                <c:pt idx="7">
                  <c:v>641.65387966021854</c:v>
                </c:pt>
                <c:pt idx="8">
                  <c:v>744.17517163214211</c:v>
                </c:pt>
              </c:numCache>
            </c:numRef>
          </c:val>
          <c:extLst>
            <c:ext xmlns:c15="http://schemas.microsoft.com/office/drawing/2012/chart" uri="{02D57815-91ED-43cb-92C2-25804820EDAC}">
              <c15:datalabelsRange>
                <c15:f>SA!$F$5:$F$13</c15:f>
                <c15:dlblRangeCache>
                  <c:ptCount val="9"/>
                  <c:pt idx="0">
                    <c:v>100%</c:v>
                  </c:pt>
                  <c:pt idx="1">
                    <c:v>90%</c:v>
                  </c:pt>
                  <c:pt idx="2">
                    <c:v>0.371</c:v>
                  </c:pt>
                  <c:pt idx="3">
                    <c:v>0.480</c:v>
                  </c:pt>
                  <c:pt idx="4">
                    <c:v>2.880</c:v>
                  </c:pt>
                  <c:pt idx="5">
                    <c:v>8.467</c:v>
                  </c:pt>
                  <c:pt idx="6">
                    <c:v>13.93</c:v>
                  </c:pt>
                  <c:pt idx="7">
                    <c:v>100%</c:v>
                  </c:pt>
                  <c:pt idx="8">
                    <c:v>25.92</c:v>
                  </c:pt>
                </c15:dlblRangeCache>
              </c15:datalabelsRange>
            </c:ext>
            <c:ext xmlns:c16="http://schemas.microsoft.com/office/drawing/2014/chart" uri="{C3380CC4-5D6E-409C-BE32-E72D297353CC}">
              <c16:uniqueId val="{00000002-9F7A-4800-84B9-D1BE0BDDBCC1}"/>
            </c:ext>
          </c:extLst>
        </c:ser>
        <c:dLbls>
          <c:dLblPos val="outEnd"/>
          <c:showLegendKey val="0"/>
          <c:showVal val="1"/>
          <c:showCatName val="0"/>
          <c:showSerName val="0"/>
          <c:showPercent val="0"/>
          <c:showBubbleSize val="0"/>
        </c:dLbls>
        <c:gapWidth val="182"/>
        <c:overlap val="100"/>
        <c:axId val="226197807"/>
        <c:axId val="1519138671"/>
      </c:barChart>
      <c:catAx>
        <c:axId val="226197807"/>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19138671"/>
        <c:crossesAt val="690.21144779999997"/>
        <c:auto val="1"/>
        <c:lblAlgn val="ctr"/>
        <c:lblOffset val="100"/>
        <c:noMultiLvlLbl val="0"/>
      </c:catAx>
      <c:valAx>
        <c:axId val="1519138671"/>
        <c:scaling>
          <c:orientation val="minMax"/>
          <c:min val="6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2619780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802621722600843"/>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877702417806958"/>
          <c:y val="0.19895851560221639"/>
          <c:w val="0.41924501156410876"/>
          <c:h val="0.69918963254593169"/>
        </c:manualLayout>
      </c:layout>
      <c:pieChart>
        <c:varyColors val="1"/>
        <c:ser>
          <c:idx val="0"/>
          <c:order val="0"/>
          <c:tx>
            <c:strRef>
              <c:f>'energy consumption'!$P$2</c:f>
              <c:strCache>
                <c:ptCount val="1"/>
                <c:pt idx="0">
                  <c:v>Carbon footprint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D13-4835-8DAA-41FF51DAFDB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D13-4835-8DAA-41FF51DAFDB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D13-4835-8DAA-41FF51DAFDB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D13-4835-8DAA-41FF51DAFDB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5D13-4835-8DAA-41FF51DAFDBF}"/>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D13-4835-8DAA-41FF51DAFDBF}"/>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5D13-4835-8DAA-41FF51DAFDBF}"/>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D13-4835-8DAA-41FF51DAFDBF}"/>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D828-435E-BB46-E7B450B24079}"/>
              </c:ext>
            </c:extLst>
          </c:dPt>
          <c:dLbls>
            <c:dLbl>
              <c:idx val="0"/>
              <c:layout>
                <c:manualLayout>
                  <c:x val="-1.1009346370469901E-2"/>
                  <c:y val="8.498906386701662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D13-4835-8DAA-41FF51DAFDBF}"/>
                </c:ext>
              </c:extLst>
            </c:dLbl>
            <c:dLbl>
              <c:idx val="1"/>
              <c:delete val="1"/>
              <c:extLst>
                <c:ext xmlns:c15="http://schemas.microsoft.com/office/drawing/2012/chart" uri="{CE6537A1-D6FC-4f65-9D91-7224C49458BB}"/>
                <c:ext xmlns:c16="http://schemas.microsoft.com/office/drawing/2014/chart" uri="{C3380CC4-5D6E-409C-BE32-E72D297353CC}">
                  <c16:uniqueId val="{00000004-5D13-4835-8DAA-41FF51DAFDBF}"/>
                </c:ext>
              </c:extLst>
            </c:dLbl>
            <c:dLbl>
              <c:idx val="2"/>
              <c:layout>
                <c:manualLayout>
                  <c:x val="2.3154447575274906E-2"/>
                  <c:y val="1.406969962088072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13-4835-8DAA-41FF51DAFDBF}"/>
                </c:ext>
              </c:extLst>
            </c:dLbl>
            <c:dLbl>
              <c:idx val="4"/>
              <c:layout>
                <c:manualLayout>
                  <c:x val="-5.5045857522222838E-2"/>
                  <c:y val="-8.283756197142032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5D13-4835-8DAA-41FF51DAFDBF}"/>
                </c:ext>
              </c:extLst>
            </c:dLbl>
            <c:dLbl>
              <c:idx val="5"/>
              <c:layout>
                <c:manualLayout>
                  <c:x val="-5.4119067588123237E-2"/>
                  <c:y val="-9.269575678040245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13-4835-8DAA-41FF51DAFDBF}"/>
                </c:ext>
              </c:extLst>
            </c:dLbl>
            <c:dLbl>
              <c:idx val="6"/>
              <c:layout>
                <c:manualLayout>
                  <c:x val="4.4323947180842677E-2"/>
                  <c:y val="1.5583989501312336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5D13-4835-8DAA-41FF51DAFDBF}"/>
                </c:ext>
              </c:extLst>
            </c:dLbl>
            <c:dLbl>
              <c:idx val="7"/>
              <c:layout>
                <c:manualLayout>
                  <c:x val="-2.6481273706641748E-2"/>
                  <c:y val="-1.271033829104695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D13-4835-8DAA-41FF51DAFDB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'energy consumption'!$N$3:$N$11</c:f>
              <c:strCache>
                <c:ptCount val="9"/>
                <c:pt idx="0">
                  <c:v>Sonication</c:v>
                </c:pt>
                <c:pt idx="1">
                  <c:v>Spray pyrolysis</c:v>
                </c:pt>
                <c:pt idx="2">
                  <c:v>ETL spin coating</c:v>
                </c:pt>
                <c:pt idx="3">
                  <c:v>ETL calcining</c:v>
                </c:pt>
                <c:pt idx="4">
                  <c:v>PL 1st-step spin coating</c:v>
                </c:pt>
                <c:pt idx="5">
                  <c:v>PL 2nd-step spin coating</c:v>
                </c:pt>
                <c:pt idx="6">
                  <c:v>PL drying</c:v>
                </c:pt>
                <c:pt idx="7">
                  <c:v>HTL spin coating</c:v>
                </c:pt>
                <c:pt idx="8">
                  <c:v>Electrode sputtering</c:v>
                </c:pt>
              </c:strCache>
            </c:strRef>
          </c:cat>
          <c:val>
            <c:numRef>
              <c:f>'energy consumption'!$P$3:$P$11</c:f>
              <c:numCache>
                <c:formatCode>General</c:formatCode>
                <c:ptCount val="9"/>
                <c:pt idx="0">
                  <c:v>0.28396800022717433</c:v>
                </c:pt>
                <c:pt idx="1">
                  <c:v>2.0358858304232818E-6</c:v>
                </c:pt>
                <c:pt idx="2">
                  <c:v>0.21954647633780475</c:v>
                </c:pt>
                <c:pt idx="3">
                  <c:v>1.7038080013630461</c:v>
                </c:pt>
                <c:pt idx="4">
                  <c:v>8.4576274476780081E-2</c:v>
                </c:pt>
                <c:pt idx="5">
                  <c:v>8.2436494732517538</c:v>
                </c:pt>
                <c:pt idx="6">
                  <c:v>15.334272012267418</c:v>
                </c:pt>
                <c:pt idx="7">
                  <c:v>1.5223729405820419</c:v>
                </c:pt>
                <c:pt idx="8">
                  <c:v>5.0088800040071035</c:v>
                </c:pt>
              </c:numCache>
            </c:numRef>
          </c:val>
          <c:extLst>
            <c:ext xmlns:c16="http://schemas.microsoft.com/office/drawing/2014/chart" uri="{C3380CC4-5D6E-409C-BE32-E72D297353CC}">
              <c16:uniqueId val="{00000000-5D13-4835-8DAA-41FF51DAFDB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9158773180982455"/>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8672187547731828"/>
          <c:y val="0.21284740449110529"/>
          <c:w val="0.42805290032259602"/>
          <c:h val="0.71307852143482064"/>
        </c:manualLayout>
      </c:layout>
      <c:pieChart>
        <c:varyColors val="1"/>
        <c:ser>
          <c:idx val="0"/>
          <c:order val="0"/>
          <c:tx>
            <c:strRef>
              <c:f>'energy consumption'!$Q$2</c:f>
              <c:strCache>
                <c:ptCount val="1"/>
                <c:pt idx="0">
                  <c:v>Primary energy consumption</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2F37-4D7F-8A94-964D8BB7A7C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F37-4D7F-8A94-964D8BB7A7C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2F37-4D7F-8A94-964D8BB7A7C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F37-4D7F-8A94-964D8BB7A7C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2F37-4D7F-8A94-964D8BB7A7CE}"/>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F37-4D7F-8A94-964D8BB7A7C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2F37-4D7F-8A94-964D8BB7A7CE}"/>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F37-4D7F-8A94-964D8BB7A7CE}"/>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53E0-43E0-BEF8-E273FF4A349C}"/>
              </c:ext>
            </c:extLst>
          </c:dPt>
          <c:dLbls>
            <c:dLbl>
              <c:idx val="0"/>
              <c:layout>
                <c:manualLayout>
                  <c:x val="-1.3655077397226401E-2"/>
                  <c:y val="7.951990376202970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F37-4D7F-8A94-964D8BB7A7CE}"/>
                </c:ext>
              </c:extLst>
            </c:dLbl>
            <c:dLbl>
              <c:idx val="1"/>
              <c:delete val="1"/>
              <c:extLst>
                <c:ext xmlns:c15="http://schemas.microsoft.com/office/drawing/2012/chart" uri="{CE6537A1-D6FC-4f65-9D91-7224C49458BB}"/>
                <c:ext xmlns:c16="http://schemas.microsoft.com/office/drawing/2014/chart" uri="{C3380CC4-5D6E-409C-BE32-E72D297353CC}">
                  <c16:uniqueId val="{00000007-2F37-4D7F-8A94-964D8BB7A7CE}"/>
                </c:ext>
              </c:extLst>
            </c:dLbl>
            <c:dLbl>
              <c:idx val="2"/>
              <c:layout>
                <c:manualLayout>
                  <c:x val="2.9869346636900242E-2"/>
                  <c:y val="2.792906095071447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F37-4D7F-8A94-964D8BB7A7CE}"/>
                </c:ext>
              </c:extLst>
            </c:dLbl>
            <c:dLbl>
              <c:idx val="3"/>
              <c:layout>
                <c:manualLayout>
                  <c:x val="-0.1599666681401076"/>
                  <c:y val="-3.129374453193359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F37-4D7F-8A94-964D8BB7A7CE}"/>
                </c:ext>
              </c:extLst>
            </c:dLbl>
            <c:dLbl>
              <c:idx val="4"/>
              <c:layout>
                <c:manualLayout>
                  <c:x val="9.6400237909650723E-3"/>
                  <c:y val="-8.333515602216388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F37-4D7F-8A94-964D8BB7A7CE}"/>
                </c:ext>
              </c:extLst>
            </c:dLbl>
            <c:dLbl>
              <c:idx val="5"/>
              <c:layout>
                <c:manualLayout>
                  <c:x val="4.4020506796574509E-2"/>
                  <c:y val="-7.987314085739283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F37-4D7F-8A94-964D8BB7A7CE}"/>
                </c:ext>
              </c:extLst>
            </c:dLbl>
            <c:dLbl>
              <c:idx val="6"/>
              <c:layout>
                <c:manualLayout>
                  <c:x val="1.1379048807803927E-4"/>
                  <c:y val="-3.338801399825021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F37-4D7F-8A94-964D8BB7A7CE}"/>
                </c:ext>
              </c:extLst>
            </c:dLbl>
            <c:dLbl>
              <c:idx val="7"/>
              <c:layout>
                <c:manualLayout>
                  <c:x val="4.7346033810655254E-2"/>
                  <c:y val="-8.12984835228929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F37-4D7F-8A94-964D8BB7A7C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'energy consumption'!$N$3:$N$11</c:f>
              <c:strCache>
                <c:ptCount val="9"/>
                <c:pt idx="0">
                  <c:v>Sonication</c:v>
                </c:pt>
                <c:pt idx="1">
                  <c:v>Spray pyrolysis</c:v>
                </c:pt>
                <c:pt idx="2">
                  <c:v>ETL spin coating</c:v>
                </c:pt>
                <c:pt idx="3">
                  <c:v>ETL calcining</c:v>
                </c:pt>
                <c:pt idx="4">
                  <c:v>PL 1st-step spin coating</c:v>
                </c:pt>
                <c:pt idx="5">
                  <c:v>PL 2nd-step spin coating</c:v>
                </c:pt>
                <c:pt idx="6">
                  <c:v>PL drying</c:v>
                </c:pt>
                <c:pt idx="7">
                  <c:v>HTL spin coating</c:v>
                </c:pt>
                <c:pt idx="8">
                  <c:v>Electrode sputtering</c:v>
                </c:pt>
              </c:strCache>
            </c:strRef>
          </c:cat>
          <c:val>
            <c:numRef>
              <c:f>'energy consumption'!$Q$3:$Q$11</c:f>
              <c:numCache>
                <c:formatCode>General</c:formatCode>
                <c:ptCount val="9"/>
                <c:pt idx="0">
                  <c:v>4.9966410936773125</c:v>
                </c:pt>
                <c:pt idx="1">
                  <c:v>3.5823018066085824E-5</c:v>
                </c:pt>
                <c:pt idx="2">
                  <c:v>3.8630935343557486</c:v>
                </c:pt>
                <c:pt idx="3">
                  <c:v>29.979846562063877</c:v>
                </c:pt>
                <c:pt idx="4">
                  <c:v>1.4881863036072136</c:v>
                </c:pt>
                <c:pt idx="5">
                  <c:v>145.05351901259513</c:v>
                </c:pt>
                <c:pt idx="6">
                  <c:v>269.81861905857494</c:v>
                </c:pt>
                <c:pt idx="7">
                  <c:v>26.787353464929854</c:v>
                </c:pt>
                <c:pt idx="8">
                  <c:v>88.135197069030383</c:v>
                </c:pt>
              </c:numCache>
            </c:numRef>
          </c:val>
          <c:extLst>
            <c:ext xmlns:c16="http://schemas.microsoft.com/office/drawing/2014/chart" uri="{C3380CC4-5D6E-409C-BE32-E72D297353CC}">
              <c16:uniqueId val="{00000000-2F37-4D7F-8A94-964D8BB7A7CE}"/>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84-4C73-88F2-5DF071A0C77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84-4C73-88F2-5DF071A0C77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84-4C73-88F2-5DF071A0C77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84-4C73-88F2-5DF071A0C77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484-4C73-88F2-5DF071A0C77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484-4C73-88F2-5DF071A0C77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484-4C73-88F2-5DF071A0C77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484-4C73-88F2-5DF071A0C77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84-4C73-88F2-5DF071A0C778}"/>
              </c:ext>
            </c:extLst>
          </c:dPt>
          <c:cat>
            <c:strRef>
              <c:f>'energy consumption'!$N$3:$N$11</c:f>
              <c:strCache>
                <c:ptCount val="9"/>
                <c:pt idx="0">
                  <c:v>Sonication</c:v>
                </c:pt>
                <c:pt idx="1">
                  <c:v>Spray pyrolysis</c:v>
                </c:pt>
                <c:pt idx="2">
                  <c:v>ETL spin coating</c:v>
                </c:pt>
                <c:pt idx="3">
                  <c:v>ETL calcining</c:v>
                </c:pt>
                <c:pt idx="4">
                  <c:v>PL 1st-step spin coating</c:v>
                </c:pt>
                <c:pt idx="5">
                  <c:v>PL 2nd-step spin coating</c:v>
                </c:pt>
                <c:pt idx="6">
                  <c:v>PL drying</c:v>
                </c:pt>
                <c:pt idx="7">
                  <c:v>HTL spin coating</c:v>
                </c:pt>
                <c:pt idx="8">
                  <c:v>Electrode sputtering</c:v>
                </c:pt>
              </c:strCache>
            </c:strRef>
          </c:cat>
          <c:val>
            <c:numRef>
              <c:f>'energy consumption'!$Q$3:$Q$11</c:f>
              <c:numCache>
                <c:formatCode>General</c:formatCode>
                <c:ptCount val="9"/>
                <c:pt idx="0">
                  <c:v>4.9966410936773125</c:v>
                </c:pt>
                <c:pt idx="1">
                  <c:v>3.5823018066085824E-5</c:v>
                </c:pt>
                <c:pt idx="2">
                  <c:v>3.8630935343557486</c:v>
                </c:pt>
                <c:pt idx="3">
                  <c:v>29.979846562063877</c:v>
                </c:pt>
                <c:pt idx="4">
                  <c:v>1.4881863036072136</c:v>
                </c:pt>
                <c:pt idx="5">
                  <c:v>145.05351901259513</c:v>
                </c:pt>
                <c:pt idx="6">
                  <c:v>269.81861905857494</c:v>
                </c:pt>
                <c:pt idx="7">
                  <c:v>26.787353464929854</c:v>
                </c:pt>
                <c:pt idx="8">
                  <c:v>88.135197069030383</c:v>
                </c:pt>
              </c:numCache>
            </c:numRef>
          </c:val>
          <c:extLst>
            <c:ext xmlns:c16="http://schemas.microsoft.com/office/drawing/2014/chart" uri="{C3380CC4-5D6E-409C-BE32-E72D297353CC}">
              <c16:uniqueId val="{00000000-2AF2-4A28-A3E6-238CDB0C4FA0}"/>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results!$A$2</c:f>
              <c:strCache>
                <c:ptCount val="1"/>
                <c:pt idx="0">
                  <c:v>FTO glass</c:v>
                </c:pt>
              </c:strCache>
            </c:strRef>
          </c:tx>
          <c:spPr>
            <a:solidFill>
              <a:schemeClr val="accent1"/>
            </a:solidFill>
            <a:ln>
              <a:noFill/>
            </a:ln>
            <a:effectLst/>
          </c:spPr>
          <c:invertIfNegative val="0"/>
          <c:cat>
            <c:strRef>
              <c:f>results!$D$1:$X$1</c:f>
              <c:strCache>
                <c:ptCount val="5"/>
                <c:pt idx="3">
                  <c:v>Carbon footprint</c:v>
                </c:pt>
                <c:pt idx="4">
                  <c:v>Primary energy consumption</c:v>
                </c:pt>
              </c:strCache>
            </c:strRef>
          </c:cat>
          <c:val>
            <c:numRef>
              <c:f>results!$D$2:$X$2</c:f>
              <c:numCache>
                <c:formatCode>General</c:formatCode>
                <c:ptCount val="21"/>
                <c:pt idx="3">
                  <c:v>0.34780676817599987</c:v>
                </c:pt>
                <c:pt idx="4">
                  <c:v>8.5029036949120105</c:v>
                </c:pt>
              </c:numCache>
            </c:numRef>
          </c:val>
          <c:extLst>
            <c:ext xmlns:c16="http://schemas.microsoft.com/office/drawing/2014/chart" uri="{C3380CC4-5D6E-409C-BE32-E72D297353CC}">
              <c16:uniqueId val="{00000000-62C3-4FF4-89FF-B002E1E5C76A}"/>
            </c:ext>
          </c:extLst>
        </c:ser>
        <c:ser>
          <c:idx val="1"/>
          <c:order val="1"/>
          <c:tx>
            <c:strRef>
              <c:f>results!$A$3</c:f>
              <c:strCache>
                <c:ptCount val="1"/>
                <c:pt idx="0">
                  <c:v>Ethanol</c:v>
                </c:pt>
              </c:strCache>
            </c:strRef>
          </c:tx>
          <c:spPr>
            <a:solidFill>
              <a:schemeClr val="accent2"/>
            </a:solidFill>
            <a:ln>
              <a:noFill/>
            </a:ln>
            <a:effectLst/>
          </c:spPr>
          <c:invertIfNegative val="0"/>
          <c:cat>
            <c:strRef>
              <c:f>results!$D$1:$X$1</c:f>
              <c:strCache>
                <c:ptCount val="5"/>
                <c:pt idx="3">
                  <c:v>Carbon footprint</c:v>
                </c:pt>
                <c:pt idx="4">
                  <c:v>Primary energy consumption</c:v>
                </c:pt>
              </c:strCache>
            </c:strRef>
          </c:cat>
          <c:val>
            <c:numRef>
              <c:f>results!$D$3:$X$3</c:f>
              <c:numCache>
                <c:formatCode>General</c:formatCode>
                <c:ptCount val="21"/>
                <c:pt idx="3">
                  <c:v>7.2156912392727255E-3</c:v>
                </c:pt>
                <c:pt idx="4">
                  <c:v>0.21438001693484721</c:v>
                </c:pt>
              </c:numCache>
            </c:numRef>
          </c:val>
          <c:extLst>
            <c:ext xmlns:c16="http://schemas.microsoft.com/office/drawing/2014/chart" uri="{C3380CC4-5D6E-409C-BE32-E72D297353CC}">
              <c16:uniqueId val="{00000001-62C3-4FF4-89FF-B002E1E5C76A}"/>
            </c:ext>
          </c:extLst>
        </c:ser>
        <c:ser>
          <c:idx val="2"/>
          <c:order val="2"/>
          <c:tx>
            <c:strRef>
              <c:f>results!$A$4</c:f>
              <c:strCache>
                <c:ptCount val="1"/>
                <c:pt idx="0">
                  <c:v>Acetone</c:v>
                </c:pt>
              </c:strCache>
            </c:strRef>
          </c:tx>
          <c:spPr>
            <a:solidFill>
              <a:schemeClr val="accent3"/>
            </a:solidFill>
            <a:ln>
              <a:noFill/>
            </a:ln>
            <a:effectLst/>
          </c:spPr>
          <c:invertIfNegative val="0"/>
          <c:cat>
            <c:strRef>
              <c:f>results!$D$1:$X$1</c:f>
              <c:strCache>
                <c:ptCount val="5"/>
                <c:pt idx="3">
                  <c:v>Carbon footprint</c:v>
                </c:pt>
                <c:pt idx="4">
                  <c:v>Primary energy consumption</c:v>
                </c:pt>
              </c:strCache>
            </c:strRef>
          </c:cat>
          <c:val>
            <c:numRef>
              <c:f>results!$D$4:$X$4</c:f>
              <c:numCache>
                <c:formatCode>General</c:formatCode>
                <c:ptCount val="21"/>
                <c:pt idx="3">
                  <c:v>3.4079009999999986E-2</c:v>
                </c:pt>
                <c:pt idx="4">
                  <c:v>0.99018946488503967</c:v>
                </c:pt>
              </c:numCache>
            </c:numRef>
          </c:val>
          <c:extLst>
            <c:ext xmlns:c16="http://schemas.microsoft.com/office/drawing/2014/chart" uri="{C3380CC4-5D6E-409C-BE32-E72D297353CC}">
              <c16:uniqueId val="{00000002-62C3-4FF4-89FF-B002E1E5C76A}"/>
            </c:ext>
          </c:extLst>
        </c:ser>
        <c:ser>
          <c:idx val="3"/>
          <c:order val="3"/>
          <c:tx>
            <c:strRef>
              <c:f>results!$A$5</c:f>
              <c:strCache>
                <c:ptCount val="1"/>
                <c:pt idx="0">
                  <c:v>Deionized water</c:v>
                </c:pt>
              </c:strCache>
            </c:strRef>
          </c:tx>
          <c:spPr>
            <a:solidFill>
              <a:schemeClr val="accent4"/>
            </a:solidFill>
            <a:ln>
              <a:noFill/>
            </a:ln>
            <a:effectLst/>
          </c:spPr>
          <c:invertIfNegative val="0"/>
          <c:cat>
            <c:strRef>
              <c:f>results!$D$1:$X$1</c:f>
              <c:strCache>
                <c:ptCount val="5"/>
                <c:pt idx="3">
                  <c:v>Carbon footprint</c:v>
                </c:pt>
                <c:pt idx="4">
                  <c:v>Primary energy consumption</c:v>
                </c:pt>
              </c:strCache>
            </c:strRef>
          </c:cat>
          <c:val>
            <c:numRef>
              <c:f>results!$D$5:$X$5</c:f>
              <c:numCache>
                <c:formatCode>General</c:formatCode>
                <c:ptCount val="21"/>
                <c:pt idx="3">
                  <c:v>5.6916581999999992E-6</c:v>
                </c:pt>
                <c:pt idx="4">
                  <c:v>7.8310930304559991E-5</c:v>
                </c:pt>
              </c:numCache>
            </c:numRef>
          </c:val>
          <c:extLst>
            <c:ext xmlns:c16="http://schemas.microsoft.com/office/drawing/2014/chart" uri="{C3380CC4-5D6E-409C-BE32-E72D297353CC}">
              <c16:uniqueId val="{00000003-62C3-4FF4-89FF-B002E1E5C76A}"/>
            </c:ext>
          </c:extLst>
        </c:ser>
        <c:ser>
          <c:idx val="4"/>
          <c:order val="4"/>
          <c:tx>
            <c:strRef>
              <c:f>results!$A$6</c:f>
              <c:strCache>
                <c:ptCount val="1"/>
                <c:pt idx="0">
                  <c:v>BL-TiO₂ ink</c:v>
                </c:pt>
              </c:strCache>
            </c:strRef>
          </c:tx>
          <c:spPr>
            <a:solidFill>
              <a:schemeClr val="accent5"/>
            </a:solidFill>
            <a:ln>
              <a:noFill/>
            </a:ln>
            <a:effectLst/>
          </c:spPr>
          <c:invertIfNegative val="0"/>
          <c:cat>
            <c:strRef>
              <c:f>results!$D$1:$X$1</c:f>
              <c:strCache>
                <c:ptCount val="5"/>
                <c:pt idx="3">
                  <c:v>Carbon footprint</c:v>
                </c:pt>
                <c:pt idx="4">
                  <c:v>Primary energy consumption</c:v>
                </c:pt>
              </c:strCache>
            </c:strRef>
          </c:cat>
          <c:val>
            <c:numRef>
              <c:f>results!$D$6:$X$6</c:f>
              <c:numCache>
                <c:formatCode>General</c:formatCode>
                <c:ptCount val="21"/>
                <c:pt idx="3">
                  <c:v>1.1382696060619048E-3</c:v>
                </c:pt>
                <c:pt idx="4">
                  <c:v>3.0850478127392843E-2</c:v>
                </c:pt>
              </c:numCache>
            </c:numRef>
          </c:val>
          <c:extLst>
            <c:ext xmlns:c16="http://schemas.microsoft.com/office/drawing/2014/chart" uri="{C3380CC4-5D6E-409C-BE32-E72D297353CC}">
              <c16:uniqueId val="{00000004-62C3-4FF4-89FF-B002E1E5C76A}"/>
            </c:ext>
          </c:extLst>
        </c:ser>
        <c:ser>
          <c:idx val="5"/>
          <c:order val="5"/>
          <c:tx>
            <c:strRef>
              <c:f>results!$A$7</c:f>
              <c:strCache>
                <c:ptCount val="1"/>
                <c:pt idx="0">
                  <c:v>TiO₂</c:v>
                </c:pt>
              </c:strCache>
            </c:strRef>
          </c:tx>
          <c:spPr>
            <a:solidFill>
              <a:schemeClr val="accent6"/>
            </a:solidFill>
            <a:ln>
              <a:noFill/>
            </a:ln>
            <a:effectLst/>
          </c:spPr>
          <c:invertIfNegative val="0"/>
          <c:cat>
            <c:strRef>
              <c:f>results!$D$1:$X$1</c:f>
              <c:strCache>
                <c:ptCount val="5"/>
                <c:pt idx="3">
                  <c:v>Carbon footprint</c:v>
                </c:pt>
                <c:pt idx="4">
                  <c:v>Primary energy consumption</c:v>
                </c:pt>
              </c:strCache>
            </c:strRef>
          </c:cat>
          <c:val>
            <c:numRef>
              <c:f>results!$D$7:$X$7</c:f>
              <c:numCache>
                <c:formatCode>General</c:formatCode>
                <c:ptCount val="21"/>
                <c:pt idx="3">
                  <c:v>7.2734003999999988E-4</c:v>
                </c:pt>
                <c:pt idx="4">
                  <c:v>7.801623139805999E-3</c:v>
                </c:pt>
              </c:numCache>
            </c:numRef>
          </c:val>
          <c:extLst>
            <c:ext xmlns:c16="http://schemas.microsoft.com/office/drawing/2014/chart" uri="{C3380CC4-5D6E-409C-BE32-E72D297353CC}">
              <c16:uniqueId val="{00000005-62C3-4FF4-89FF-B002E1E5C76A}"/>
            </c:ext>
          </c:extLst>
        </c:ser>
        <c:ser>
          <c:idx val="6"/>
          <c:order val="6"/>
          <c:tx>
            <c:strRef>
              <c:f>results!$A$8</c:f>
              <c:strCache>
                <c:ptCount val="1"/>
                <c:pt idx="0">
                  <c:v>FAI</c:v>
                </c:pt>
              </c:strCache>
            </c:strRef>
          </c:tx>
          <c:spPr>
            <a:solidFill>
              <a:schemeClr val="accent1">
                <a:lumMod val="60000"/>
              </a:schemeClr>
            </a:solidFill>
            <a:ln>
              <a:noFill/>
            </a:ln>
            <a:effectLst/>
          </c:spPr>
          <c:invertIfNegative val="0"/>
          <c:cat>
            <c:strRef>
              <c:f>results!$D$1:$X$1</c:f>
              <c:strCache>
                <c:ptCount val="5"/>
                <c:pt idx="3">
                  <c:v>Carbon footprint</c:v>
                </c:pt>
                <c:pt idx="4">
                  <c:v>Primary energy consumption</c:v>
                </c:pt>
              </c:strCache>
            </c:strRef>
          </c:cat>
          <c:val>
            <c:numRef>
              <c:f>results!$D$8:$X$8</c:f>
              <c:numCache>
                <c:formatCode>General</c:formatCode>
                <c:ptCount val="21"/>
                <c:pt idx="3">
                  <c:v>2.5223725128436875E-2</c:v>
                </c:pt>
                <c:pt idx="4">
                  <c:v>0.44681968269564831</c:v>
                </c:pt>
              </c:numCache>
            </c:numRef>
          </c:val>
          <c:extLst>
            <c:ext xmlns:c16="http://schemas.microsoft.com/office/drawing/2014/chart" uri="{C3380CC4-5D6E-409C-BE32-E72D297353CC}">
              <c16:uniqueId val="{00000006-62C3-4FF4-89FF-B002E1E5C76A}"/>
            </c:ext>
          </c:extLst>
        </c:ser>
        <c:ser>
          <c:idx val="7"/>
          <c:order val="7"/>
          <c:tx>
            <c:strRef>
              <c:f>results!$A$9</c:f>
              <c:strCache>
                <c:ptCount val="1"/>
                <c:pt idx="0">
                  <c:v>PbI₂</c:v>
                </c:pt>
              </c:strCache>
            </c:strRef>
          </c:tx>
          <c:spPr>
            <a:solidFill>
              <a:schemeClr val="accent2">
                <a:lumMod val="60000"/>
              </a:schemeClr>
            </a:solidFill>
            <a:ln>
              <a:noFill/>
            </a:ln>
            <a:effectLst/>
          </c:spPr>
          <c:invertIfNegative val="0"/>
          <c:cat>
            <c:strRef>
              <c:f>results!$D$1:$X$1</c:f>
              <c:strCache>
                <c:ptCount val="5"/>
                <c:pt idx="3">
                  <c:v>Carbon footprint</c:v>
                </c:pt>
                <c:pt idx="4">
                  <c:v>Primary energy consumption</c:v>
                </c:pt>
              </c:strCache>
            </c:strRef>
          </c:cat>
          <c:val>
            <c:numRef>
              <c:f>results!$D$9:$X$9</c:f>
              <c:numCache>
                <c:formatCode>General</c:formatCode>
                <c:ptCount val="21"/>
                <c:pt idx="3">
                  <c:v>3.967277566008961E-3</c:v>
                </c:pt>
                <c:pt idx="4">
                  <c:v>4.7175585678547176E-2</c:v>
                </c:pt>
              </c:numCache>
            </c:numRef>
          </c:val>
          <c:extLst>
            <c:ext xmlns:c16="http://schemas.microsoft.com/office/drawing/2014/chart" uri="{C3380CC4-5D6E-409C-BE32-E72D297353CC}">
              <c16:uniqueId val="{00000007-62C3-4FF4-89FF-B002E1E5C76A}"/>
            </c:ext>
          </c:extLst>
        </c:ser>
        <c:ser>
          <c:idx val="8"/>
          <c:order val="8"/>
          <c:tx>
            <c:strRef>
              <c:f>results!$A$10</c:f>
              <c:strCache>
                <c:ptCount val="1"/>
                <c:pt idx="0">
                  <c:v>MABr</c:v>
                </c:pt>
              </c:strCache>
            </c:strRef>
          </c:tx>
          <c:spPr>
            <a:solidFill>
              <a:schemeClr val="accent3">
                <a:lumMod val="60000"/>
              </a:schemeClr>
            </a:solidFill>
            <a:ln>
              <a:noFill/>
            </a:ln>
            <a:effectLst/>
          </c:spPr>
          <c:invertIfNegative val="0"/>
          <c:cat>
            <c:strRef>
              <c:f>results!$D$1:$X$1</c:f>
              <c:strCache>
                <c:ptCount val="5"/>
                <c:pt idx="3">
                  <c:v>Carbon footprint</c:v>
                </c:pt>
                <c:pt idx="4">
                  <c:v>Primary energy consumption</c:v>
                </c:pt>
              </c:strCache>
            </c:strRef>
          </c:cat>
          <c:val>
            <c:numRef>
              <c:f>results!$D$10:$X$10</c:f>
              <c:numCache>
                <c:formatCode>General</c:formatCode>
                <c:ptCount val="21"/>
                <c:pt idx="3">
                  <c:v>0.13488413735426555</c:v>
                </c:pt>
                <c:pt idx="4">
                  <c:v>2.376101090413008</c:v>
                </c:pt>
              </c:numCache>
            </c:numRef>
          </c:val>
          <c:extLst>
            <c:ext xmlns:c16="http://schemas.microsoft.com/office/drawing/2014/chart" uri="{C3380CC4-5D6E-409C-BE32-E72D297353CC}">
              <c16:uniqueId val="{00000008-62C3-4FF4-89FF-B002E1E5C76A}"/>
            </c:ext>
          </c:extLst>
        </c:ser>
        <c:ser>
          <c:idx val="9"/>
          <c:order val="9"/>
          <c:tx>
            <c:strRef>
              <c:f>results!$A$11</c:f>
              <c:strCache>
                <c:ptCount val="1"/>
                <c:pt idx="0">
                  <c:v>PbBr₂</c:v>
                </c:pt>
              </c:strCache>
            </c:strRef>
          </c:tx>
          <c:spPr>
            <a:solidFill>
              <a:schemeClr val="accent4">
                <a:lumMod val="60000"/>
              </a:schemeClr>
            </a:solidFill>
            <a:ln>
              <a:noFill/>
            </a:ln>
            <a:effectLst/>
          </c:spPr>
          <c:invertIfNegative val="0"/>
          <c:cat>
            <c:strRef>
              <c:f>results!$D$1:$X$1</c:f>
              <c:strCache>
                <c:ptCount val="5"/>
                <c:pt idx="3">
                  <c:v>Carbon footprint</c:v>
                </c:pt>
                <c:pt idx="4">
                  <c:v>Primary energy consumption</c:v>
                </c:pt>
              </c:strCache>
            </c:strRef>
          </c:cat>
          <c:val>
            <c:numRef>
              <c:f>results!$D$11:$X$11</c:f>
              <c:numCache>
                <c:formatCode>General</c:formatCode>
                <c:ptCount val="21"/>
                <c:pt idx="3">
                  <c:v>4.7014751158128897E-4</c:v>
                </c:pt>
                <c:pt idx="4">
                  <c:v>6.1645782321264834E-3</c:v>
                </c:pt>
              </c:numCache>
            </c:numRef>
          </c:val>
          <c:extLst>
            <c:ext xmlns:c16="http://schemas.microsoft.com/office/drawing/2014/chart" uri="{C3380CC4-5D6E-409C-BE32-E72D297353CC}">
              <c16:uniqueId val="{00000009-62C3-4FF4-89FF-B002E1E5C76A}"/>
            </c:ext>
          </c:extLst>
        </c:ser>
        <c:ser>
          <c:idx val="10"/>
          <c:order val="10"/>
          <c:tx>
            <c:strRef>
              <c:f>results!$A$12</c:f>
              <c:strCache>
                <c:ptCount val="1"/>
                <c:pt idx="0">
                  <c:v>DMF</c:v>
                </c:pt>
              </c:strCache>
            </c:strRef>
          </c:tx>
          <c:spPr>
            <a:solidFill>
              <a:schemeClr val="accent5">
                <a:lumMod val="60000"/>
              </a:schemeClr>
            </a:solidFill>
            <a:ln>
              <a:noFill/>
            </a:ln>
            <a:effectLst/>
          </c:spPr>
          <c:invertIfNegative val="0"/>
          <c:cat>
            <c:strRef>
              <c:f>results!$D$1:$X$1</c:f>
              <c:strCache>
                <c:ptCount val="5"/>
                <c:pt idx="3">
                  <c:v>Carbon footprint</c:v>
                </c:pt>
                <c:pt idx="4">
                  <c:v>Primary energy consumption</c:v>
                </c:pt>
              </c:strCache>
            </c:strRef>
          </c:cat>
          <c:val>
            <c:numRef>
              <c:f>results!$D$12:$X$12</c:f>
              <c:numCache>
                <c:formatCode>General</c:formatCode>
                <c:ptCount val="21"/>
                <c:pt idx="3">
                  <c:v>3.5274443549950076E-3</c:v>
                </c:pt>
                <c:pt idx="4">
                  <c:v>9.594394691044536E-2</c:v>
                </c:pt>
              </c:numCache>
            </c:numRef>
          </c:val>
          <c:extLst>
            <c:ext xmlns:c16="http://schemas.microsoft.com/office/drawing/2014/chart" uri="{C3380CC4-5D6E-409C-BE32-E72D297353CC}">
              <c16:uniqueId val="{0000000A-62C3-4FF4-89FF-B002E1E5C76A}"/>
            </c:ext>
          </c:extLst>
        </c:ser>
        <c:ser>
          <c:idx val="11"/>
          <c:order val="11"/>
          <c:tx>
            <c:strRef>
              <c:f>results!$A$13</c:f>
              <c:strCache>
                <c:ptCount val="1"/>
                <c:pt idx="0">
                  <c:v>DMSO</c:v>
                </c:pt>
              </c:strCache>
            </c:strRef>
          </c:tx>
          <c:spPr>
            <a:solidFill>
              <a:schemeClr val="accent6">
                <a:lumMod val="60000"/>
              </a:schemeClr>
            </a:solidFill>
            <a:ln>
              <a:noFill/>
            </a:ln>
            <a:effectLst/>
          </c:spPr>
          <c:invertIfNegative val="0"/>
          <c:cat>
            <c:strRef>
              <c:f>results!$D$1:$X$1</c:f>
              <c:strCache>
                <c:ptCount val="5"/>
                <c:pt idx="3">
                  <c:v>Carbon footprint</c:v>
                </c:pt>
                <c:pt idx="4">
                  <c:v>Primary energy consumption</c:v>
                </c:pt>
              </c:strCache>
            </c:strRef>
          </c:cat>
          <c:val>
            <c:numRef>
              <c:f>results!$D$13:$X$13</c:f>
              <c:numCache>
                <c:formatCode>General</c:formatCode>
                <c:ptCount val="21"/>
                <c:pt idx="3">
                  <c:v>4.5597346337695696E-4</c:v>
                </c:pt>
                <c:pt idx="4">
                  <c:v>2.1041036486732889E-2</c:v>
                </c:pt>
              </c:numCache>
            </c:numRef>
          </c:val>
          <c:extLst>
            <c:ext xmlns:c16="http://schemas.microsoft.com/office/drawing/2014/chart" uri="{C3380CC4-5D6E-409C-BE32-E72D297353CC}">
              <c16:uniqueId val="{0000000B-62C3-4FF4-89FF-B002E1E5C76A}"/>
            </c:ext>
          </c:extLst>
        </c:ser>
        <c:ser>
          <c:idx val="12"/>
          <c:order val="12"/>
          <c:tx>
            <c:strRef>
              <c:f>results!$A$14</c:f>
              <c:strCache>
                <c:ptCount val="1"/>
                <c:pt idx="0">
                  <c:v>Chlorobenzene</c:v>
                </c:pt>
              </c:strCache>
            </c:strRef>
          </c:tx>
          <c:spPr>
            <a:solidFill>
              <a:schemeClr val="accent1">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results!$D$14:$X$14</c:f>
              <c:numCache>
                <c:formatCode>General</c:formatCode>
                <c:ptCount val="21"/>
                <c:pt idx="3">
                  <c:v>1.8214246032301103E-2</c:v>
                </c:pt>
                <c:pt idx="4">
                  <c:v>0.44095397902701583</c:v>
                </c:pt>
              </c:numCache>
            </c:numRef>
          </c:val>
          <c:extLst>
            <c:ext xmlns:c16="http://schemas.microsoft.com/office/drawing/2014/chart" uri="{C3380CC4-5D6E-409C-BE32-E72D297353CC}">
              <c16:uniqueId val="{0000000C-62C3-4FF4-89FF-B002E1E5C76A}"/>
            </c:ext>
          </c:extLst>
        </c:ser>
        <c:ser>
          <c:idx val="13"/>
          <c:order val="13"/>
          <c:tx>
            <c:strRef>
              <c:f>results!$A$15</c:f>
              <c:strCache>
                <c:ptCount val="1"/>
                <c:pt idx="0">
                  <c:v>spiro-OMeTAD</c:v>
                </c:pt>
              </c:strCache>
            </c:strRef>
          </c:tx>
          <c:spPr>
            <a:solidFill>
              <a:schemeClr val="accent2">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results!$D$15:$X$15</c:f>
              <c:numCache>
                <c:formatCode>General</c:formatCode>
                <c:ptCount val="21"/>
                <c:pt idx="3">
                  <c:v>4.4243052345403516E-2</c:v>
                </c:pt>
                <c:pt idx="4">
                  <c:v>0.71271985219058731</c:v>
                </c:pt>
              </c:numCache>
            </c:numRef>
          </c:val>
          <c:extLst>
            <c:ext xmlns:c16="http://schemas.microsoft.com/office/drawing/2014/chart" uri="{C3380CC4-5D6E-409C-BE32-E72D297353CC}">
              <c16:uniqueId val="{0000000D-62C3-4FF4-89FF-B002E1E5C76A}"/>
            </c:ext>
          </c:extLst>
        </c:ser>
        <c:ser>
          <c:idx val="14"/>
          <c:order val="14"/>
          <c:tx>
            <c:strRef>
              <c:f>results!$A$16</c:f>
              <c:strCache>
                <c:ptCount val="1"/>
                <c:pt idx="0">
                  <c:v>HTFSI</c:v>
                </c:pt>
              </c:strCache>
            </c:strRef>
          </c:tx>
          <c:spPr>
            <a:solidFill>
              <a:schemeClr val="accent3">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results!$D$16:$X$16</c:f>
              <c:numCache>
                <c:formatCode>General</c:formatCode>
                <c:ptCount val="21"/>
                <c:pt idx="3">
                  <c:v>1.8929435795174367E-3</c:v>
                </c:pt>
                <c:pt idx="4">
                  <c:v>2.9694410746765015E-2</c:v>
                </c:pt>
              </c:numCache>
            </c:numRef>
          </c:val>
          <c:extLst>
            <c:ext xmlns:c16="http://schemas.microsoft.com/office/drawing/2014/chart" uri="{C3380CC4-5D6E-409C-BE32-E72D297353CC}">
              <c16:uniqueId val="{0000000E-62C3-4FF4-89FF-B002E1E5C76A}"/>
            </c:ext>
          </c:extLst>
        </c:ser>
        <c:ser>
          <c:idx val="15"/>
          <c:order val="15"/>
          <c:tx>
            <c:strRef>
              <c:f>results!$A$17</c:f>
              <c:strCache>
                <c:ptCount val="1"/>
                <c:pt idx="0">
                  <c:v>Acetonitrile</c:v>
                </c:pt>
              </c:strCache>
            </c:strRef>
          </c:tx>
          <c:spPr>
            <a:solidFill>
              <a:schemeClr val="accent4">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results!$D$17:$X$17</c:f>
              <c:numCache>
                <c:formatCode>General</c:formatCode>
                <c:ptCount val="21"/>
                <c:pt idx="3">
                  <c:v>8.0393424992440069E-4</c:v>
                </c:pt>
                <c:pt idx="4">
                  <c:v>2.1761021881914613E-2</c:v>
                </c:pt>
              </c:numCache>
            </c:numRef>
          </c:val>
          <c:extLst>
            <c:ext xmlns:c16="http://schemas.microsoft.com/office/drawing/2014/chart" uri="{C3380CC4-5D6E-409C-BE32-E72D297353CC}">
              <c16:uniqueId val="{0000000F-62C3-4FF4-89FF-B002E1E5C76A}"/>
            </c:ext>
          </c:extLst>
        </c:ser>
        <c:ser>
          <c:idx val="16"/>
          <c:order val="16"/>
          <c:tx>
            <c:strRef>
              <c:f>results!$A$18</c:f>
              <c:strCache>
                <c:ptCount val="1"/>
                <c:pt idx="0">
                  <c:v>FK209</c:v>
                </c:pt>
              </c:strCache>
            </c:strRef>
          </c:tx>
          <c:spPr>
            <a:solidFill>
              <a:schemeClr val="accent5">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results!$D$18:$X$18</c:f>
              <c:numCache>
                <c:formatCode>General</c:formatCode>
                <c:ptCount val="21"/>
                <c:pt idx="3">
                  <c:v>0</c:v>
                </c:pt>
                <c:pt idx="4">
                  <c:v>0</c:v>
                </c:pt>
              </c:numCache>
            </c:numRef>
          </c:val>
          <c:extLst>
            <c:ext xmlns:c16="http://schemas.microsoft.com/office/drawing/2014/chart" uri="{C3380CC4-5D6E-409C-BE32-E72D297353CC}">
              <c16:uniqueId val="{00000010-62C3-4FF4-89FF-B002E1E5C76A}"/>
            </c:ext>
          </c:extLst>
        </c:ser>
        <c:ser>
          <c:idx val="17"/>
          <c:order val="17"/>
          <c:tx>
            <c:strRef>
              <c:f>results!$A$19</c:f>
              <c:strCache>
                <c:ptCount val="1"/>
                <c:pt idx="0">
                  <c:v>4-tert-Butylpyridine</c:v>
                </c:pt>
              </c:strCache>
            </c:strRef>
          </c:tx>
          <c:spPr>
            <a:solidFill>
              <a:schemeClr val="accent6">
                <a:lumMod val="80000"/>
                <a:lumOff val="20000"/>
              </a:schemeClr>
            </a:solidFill>
            <a:ln>
              <a:noFill/>
            </a:ln>
            <a:effectLst/>
          </c:spPr>
          <c:invertIfNegative val="0"/>
          <c:cat>
            <c:strRef>
              <c:f>results!$D$1:$X$1</c:f>
              <c:strCache>
                <c:ptCount val="5"/>
                <c:pt idx="3">
                  <c:v>Carbon footprint</c:v>
                </c:pt>
                <c:pt idx="4">
                  <c:v>Primary energy consumption</c:v>
                </c:pt>
              </c:strCache>
            </c:strRef>
          </c:cat>
          <c:val>
            <c:numRef>
              <c:f>results!$D$19:$X$19</c:f>
              <c:numCache>
                <c:formatCode>General</c:formatCode>
                <c:ptCount val="21"/>
                <c:pt idx="3">
                  <c:v>1.4818854345165239E-3</c:v>
                </c:pt>
                <c:pt idx="4">
                  <c:v>2.4300028863157897E-2</c:v>
                </c:pt>
              </c:numCache>
            </c:numRef>
          </c:val>
          <c:extLst>
            <c:ext xmlns:c16="http://schemas.microsoft.com/office/drawing/2014/chart" uri="{C3380CC4-5D6E-409C-BE32-E72D297353CC}">
              <c16:uniqueId val="{00000011-62C3-4FF4-89FF-B002E1E5C76A}"/>
            </c:ext>
          </c:extLst>
        </c:ser>
        <c:ser>
          <c:idx val="18"/>
          <c:order val="18"/>
          <c:tx>
            <c:strRef>
              <c:f>results!$A$20</c:f>
              <c:strCache>
                <c:ptCount val="1"/>
                <c:pt idx="0">
                  <c:v>Cu</c:v>
                </c:pt>
              </c:strCache>
            </c:strRef>
          </c:tx>
          <c:spPr>
            <a:solidFill>
              <a:schemeClr val="accent1">
                <a:lumMod val="80000"/>
              </a:schemeClr>
            </a:solidFill>
            <a:ln>
              <a:noFill/>
            </a:ln>
            <a:effectLst/>
          </c:spPr>
          <c:invertIfNegative val="0"/>
          <c:cat>
            <c:strRef>
              <c:f>results!$D$1:$X$1</c:f>
              <c:strCache>
                <c:ptCount val="5"/>
                <c:pt idx="3">
                  <c:v>Carbon footprint</c:v>
                </c:pt>
                <c:pt idx="4">
                  <c:v>Primary energy consumption</c:v>
                </c:pt>
              </c:strCache>
            </c:strRef>
          </c:cat>
          <c:val>
            <c:numRef>
              <c:f>results!$D$20:$X$20</c:f>
              <c:numCache>
                <c:formatCode>General</c:formatCode>
                <c:ptCount val="21"/>
                <c:pt idx="3">
                  <c:v>3.0363906048000004E-3</c:v>
                </c:pt>
                <c:pt idx="4">
                  <c:v>4.3663258078863364E-2</c:v>
                </c:pt>
              </c:numCache>
            </c:numRef>
          </c:val>
          <c:extLst>
            <c:ext xmlns:c16="http://schemas.microsoft.com/office/drawing/2014/chart" uri="{C3380CC4-5D6E-409C-BE32-E72D297353CC}">
              <c16:uniqueId val="{00000012-62C3-4FF4-89FF-B002E1E5C76A}"/>
            </c:ext>
          </c:extLst>
        </c:ser>
        <c:ser>
          <c:idx val="19"/>
          <c:order val="19"/>
          <c:tx>
            <c:strRef>
              <c:f>results!$A$21</c:f>
              <c:strCache>
                <c:ptCount val="1"/>
                <c:pt idx="0">
                  <c:v>Ar</c:v>
                </c:pt>
              </c:strCache>
            </c:strRef>
          </c:tx>
          <c:spPr>
            <a:solidFill>
              <a:schemeClr val="accent2">
                <a:lumMod val="80000"/>
              </a:schemeClr>
            </a:solidFill>
            <a:ln>
              <a:noFill/>
            </a:ln>
            <a:effectLst/>
          </c:spPr>
          <c:invertIfNegative val="0"/>
          <c:cat>
            <c:strRef>
              <c:f>results!$D$1:$X$1</c:f>
              <c:strCache>
                <c:ptCount val="5"/>
                <c:pt idx="3">
                  <c:v>Carbon footprint</c:v>
                </c:pt>
                <c:pt idx="4">
                  <c:v>Primary energy consumption</c:v>
                </c:pt>
              </c:strCache>
            </c:strRef>
          </c:cat>
          <c:val>
            <c:numRef>
              <c:f>results!$D$21:$X$21</c:f>
              <c:numCache>
                <c:formatCode>General</c:formatCode>
                <c:ptCount val="21"/>
                <c:pt idx="3">
                  <c:v>0.23246925575757577</c:v>
                </c:pt>
                <c:pt idx="4">
                  <c:v>3.4927646546424245</c:v>
                </c:pt>
              </c:numCache>
            </c:numRef>
          </c:val>
          <c:extLst>
            <c:ext xmlns:c16="http://schemas.microsoft.com/office/drawing/2014/chart" uri="{C3380CC4-5D6E-409C-BE32-E72D297353CC}">
              <c16:uniqueId val="{00000013-62C3-4FF4-89FF-B002E1E5C76A}"/>
            </c:ext>
          </c:extLst>
        </c:ser>
        <c:ser>
          <c:idx val="20"/>
          <c:order val="20"/>
          <c:tx>
            <c:strRef>
              <c:f>results!$A$22</c:f>
              <c:strCache>
                <c:ptCount val="1"/>
                <c:pt idx="0">
                  <c:v>O₂</c:v>
                </c:pt>
              </c:strCache>
            </c:strRef>
          </c:tx>
          <c:spPr>
            <a:solidFill>
              <a:schemeClr val="accent3">
                <a:lumMod val="80000"/>
              </a:schemeClr>
            </a:solidFill>
            <a:ln>
              <a:noFill/>
            </a:ln>
            <a:effectLst/>
          </c:spPr>
          <c:invertIfNegative val="0"/>
          <c:cat>
            <c:strRef>
              <c:f>results!$D$1:$X$1</c:f>
              <c:strCache>
                <c:ptCount val="5"/>
                <c:pt idx="3">
                  <c:v>Carbon footprint</c:v>
                </c:pt>
                <c:pt idx="4">
                  <c:v>Primary energy consumption</c:v>
                </c:pt>
              </c:strCache>
            </c:strRef>
          </c:cat>
          <c:val>
            <c:numRef>
              <c:f>results!$D$22:$X$22</c:f>
              <c:numCache>
                <c:formatCode>General</c:formatCode>
                <c:ptCount val="21"/>
                <c:pt idx="3">
                  <c:v>1.0245566060606062E-4</c:v>
                </c:pt>
                <c:pt idx="4">
                  <c:v>1.3958710916654544E-3</c:v>
                </c:pt>
              </c:numCache>
            </c:numRef>
          </c:val>
          <c:extLst>
            <c:ext xmlns:c16="http://schemas.microsoft.com/office/drawing/2014/chart" uri="{C3380CC4-5D6E-409C-BE32-E72D297353CC}">
              <c16:uniqueId val="{00000014-62C3-4FF4-89FF-B002E1E5C76A}"/>
            </c:ext>
          </c:extLst>
        </c:ser>
        <c:ser>
          <c:idx val="21"/>
          <c:order val="21"/>
          <c:tx>
            <c:strRef>
              <c:f>results!$A$24</c:f>
              <c:strCache>
                <c:ptCount val="1"/>
                <c:pt idx="0">
                  <c:v>Sonication</c:v>
                </c:pt>
              </c:strCache>
            </c:strRef>
          </c:tx>
          <c:spPr>
            <a:solidFill>
              <a:schemeClr val="accent4">
                <a:lumMod val="80000"/>
              </a:schemeClr>
            </a:solidFill>
            <a:ln>
              <a:noFill/>
            </a:ln>
            <a:effectLst/>
          </c:spPr>
          <c:invertIfNegative val="0"/>
          <c:cat>
            <c:strRef>
              <c:f>results!$D$1:$X$1</c:f>
              <c:strCache>
                <c:ptCount val="5"/>
                <c:pt idx="3">
                  <c:v>Carbon footprint</c:v>
                </c:pt>
                <c:pt idx="4">
                  <c:v>Primary energy consumption</c:v>
                </c:pt>
              </c:strCache>
            </c:strRef>
          </c:cat>
          <c:val>
            <c:numRef>
              <c:f>results!$D$24:$X$24</c:f>
              <c:numCache>
                <c:formatCode>General</c:formatCode>
                <c:ptCount val="21"/>
                <c:pt idx="3">
                  <c:v>0.28396800022717433</c:v>
                </c:pt>
                <c:pt idx="4">
                  <c:v>4.9966410936773125</c:v>
                </c:pt>
              </c:numCache>
            </c:numRef>
          </c:val>
          <c:extLst>
            <c:ext xmlns:c16="http://schemas.microsoft.com/office/drawing/2014/chart" uri="{C3380CC4-5D6E-409C-BE32-E72D297353CC}">
              <c16:uniqueId val="{00000015-62C3-4FF4-89FF-B002E1E5C76A}"/>
            </c:ext>
          </c:extLst>
        </c:ser>
        <c:ser>
          <c:idx val="22"/>
          <c:order val="22"/>
          <c:tx>
            <c:strRef>
              <c:f>results!$A$25</c:f>
              <c:strCache>
                <c:ptCount val="1"/>
                <c:pt idx="0">
                  <c:v>Spray pyrolysis</c:v>
                </c:pt>
              </c:strCache>
            </c:strRef>
          </c:tx>
          <c:spPr>
            <a:solidFill>
              <a:schemeClr val="accent5">
                <a:lumMod val="80000"/>
              </a:schemeClr>
            </a:solidFill>
            <a:ln>
              <a:noFill/>
            </a:ln>
            <a:effectLst/>
          </c:spPr>
          <c:invertIfNegative val="0"/>
          <c:cat>
            <c:strRef>
              <c:f>results!$D$1:$X$1</c:f>
              <c:strCache>
                <c:ptCount val="5"/>
                <c:pt idx="3">
                  <c:v>Carbon footprint</c:v>
                </c:pt>
                <c:pt idx="4">
                  <c:v>Primary energy consumption</c:v>
                </c:pt>
              </c:strCache>
            </c:strRef>
          </c:cat>
          <c:val>
            <c:numRef>
              <c:f>results!$D$25:$X$25</c:f>
              <c:numCache>
                <c:formatCode>General</c:formatCode>
                <c:ptCount val="21"/>
                <c:pt idx="3">
                  <c:v>2.0358858304232818E-6</c:v>
                </c:pt>
                <c:pt idx="4">
                  <c:v>3.5823018066085824E-5</c:v>
                </c:pt>
              </c:numCache>
            </c:numRef>
          </c:val>
          <c:extLst>
            <c:ext xmlns:c16="http://schemas.microsoft.com/office/drawing/2014/chart" uri="{C3380CC4-5D6E-409C-BE32-E72D297353CC}">
              <c16:uniqueId val="{00000016-62C3-4FF4-89FF-B002E1E5C76A}"/>
            </c:ext>
          </c:extLst>
        </c:ser>
        <c:ser>
          <c:idx val="23"/>
          <c:order val="23"/>
          <c:tx>
            <c:strRef>
              <c:f>results!$A$26</c:f>
              <c:strCache>
                <c:ptCount val="1"/>
                <c:pt idx="0">
                  <c:v>ETL spin coating</c:v>
                </c:pt>
              </c:strCache>
            </c:strRef>
          </c:tx>
          <c:spPr>
            <a:solidFill>
              <a:schemeClr val="accent6">
                <a:lumMod val="80000"/>
              </a:schemeClr>
            </a:solidFill>
            <a:ln>
              <a:noFill/>
            </a:ln>
            <a:effectLst/>
          </c:spPr>
          <c:invertIfNegative val="0"/>
          <c:cat>
            <c:strRef>
              <c:f>results!$D$1:$X$1</c:f>
              <c:strCache>
                <c:ptCount val="5"/>
                <c:pt idx="3">
                  <c:v>Carbon footprint</c:v>
                </c:pt>
                <c:pt idx="4">
                  <c:v>Primary energy consumption</c:v>
                </c:pt>
              </c:strCache>
            </c:strRef>
          </c:cat>
          <c:val>
            <c:numRef>
              <c:f>results!$D$26:$X$26</c:f>
              <c:numCache>
                <c:formatCode>General</c:formatCode>
                <c:ptCount val="21"/>
                <c:pt idx="3">
                  <c:v>0.21954647633780475</c:v>
                </c:pt>
                <c:pt idx="4">
                  <c:v>3.8630935343557486</c:v>
                </c:pt>
              </c:numCache>
            </c:numRef>
          </c:val>
          <c:extLst>
            <c:ext xmlns:c16="http://schemas.microsoft.com/office/drawing/2014/chart" uri="{C3380CC4-5D6E-409C-BE32-E72D297353CC}">
              <c16:uniqueId val="{00000017-62C3-4FF4-89FF-B002E1E5C76A}"/>
            </c:ext>
          </c:extLst>
        </c:ser>
        <c:ser>
          <c:idx val="24"/>
          <c:order val="24"/>
          <c:tx>
            <c:strRef>
              <c:f>results!$A$27</c:f>
              <c:strCache>
                <c:ptCount val="1"/>
                <c:pt idx="0">
                  <c:v>ETL calcining</c:v>
                </c:pt>
              </c:strCache>
            </c:strRef>
          </c:tx>
          <c:spPr>
            <a:solidFill>
              <a:schemeClr val="accent1">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results!$D$27:$X$27</c:f>
              <c:numCache>
                <c:formatCode>General</c:formatCode>
                <c:ptCount val="21"/>
                <c:pt idx="3">
                  <c:v>1.7038080013630461</c:v>
                </c:pt>
                <c:pt idx="4">
                  <c:v>29.979846562063877</c:v>
                </c:pt>
              </c:numCache>
            </c:numRef>
          </c:val>
          <c:extLst>
            <c:ext xmlns:c16="http://schemas.microsoft.com/office/drawing/2014/chart" uri="{C3380CC4-5D6E-409C-BE32-E72D297353CC}">
              <c16:uniqueId val="{00000018-62C3-4FF4-89FF-B002E1E5C76A}"/>
            </c:ext>
          </c:extLst>
        </c:ser>
        <c:ser>
          <c:idx val="25"/>
          <c:order val="25"/>
          <c:tx>
            <c:strRef>
              <c:f>results!$A$28</c:f>
              <c:strCache>
                <c:ptCount val="1"/>
                <c:pt idx="0">
                  <c:v>PL 1st-step spin coating</c:v>
                </c:pt>
              </c:strCache>
            </c:strRef>
          </c:tx>
          <c:spPr>
            <a:solidFill>
              <a:schemeClr val="accent2">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results!$D$28:$X$28</c:f>
              <c:numCache>
                <c:formatCode>General</c:formatCode>
                <c:ptCount val="21"/>
                <c:pt idx="3">
                  <c:v>8.4576274476780081E-2</c:v>
                </c:pt>
                <c:pt idx="4">
                  <c:v>1.4881863036072136</c:v>
                </c:pt>
              </c:numCache>
            </c:numRef>
          </c:val>
          <c:extLst>
            <c:ext xmlns:c16="http://schemas.microsoft.com/office/drawing/2014/chart" uri="{C3380CC4-5D6E-409C-BE32-E72D297353CC}">
              <c16:uniqueId val="{00000019-62C3-4FF4-89FF-B002E1E5C76A}"/>
            </c:ext>
          </c:extLst>
        </c:ser>
        <c:ser>
          <c:idx val="26"/>
          <c:order val="26"/>
          <c:tx>
            <c:strRef>
              <c:f>results!$A$29</c:f>
              <c:strCache>
                <c:ptCount val="1"/>
                <c:pt idx="0">
                  <c:v>PL 2nd-step spin coating</c:v>
                </c:pt>
              </c:strCache>
            </c:strRef>
          </c:tx>
          <c:spPr>
            <a:solidFill>
              <a:schemeClr val="accent3">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results!$D$29:$X$29</c:f>
              <c:numCache>
                <c:formatCode>General</c:formatCode>
                <c:ptCount val="21"/>
                <c:pt idx="3">
                  <c:v>8.2436494732517538</c:v>
                </c:pt>
                <c:pt idx="4">
                  <c:v>145.05351901259513</c:v>
                </c:pt>
              </c:numCache>
            </c:numRef>
          </c:val>
          <c:extLst>
            <c:ext xmlns:c16="http://schemas.microsoft.com/office/drawing/2014/chart" uri="{C3380CC4-5D6E-409C-BE32-E72D297353CC}">
              <c16:uniqueId val="{0000001A-62C3-4FF4-89FF-B002E1E5C76A}"/>
            </c:ext>
          </c:extLst>
        </c:ser>
        <c:ser>
          <c:idx val="27"/>
          <c:order val="27"/>
          <c:tx>
            <c:strRef>
              <c:f>results!$A$30</c:f>
              <c:strCache>
                <c:ptCount val="1"/>
                <c:pt idx="0">
                  <c:v>PL drying</c:v>
                </c:pt>
              </c:strCache>
            </c:strRef>
          </c:tx>
          <c:spPr>
            <a:solidFill>
              <a:schemeClr val="accent4">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results!$D$30:$X$30</c:f>
              <c:numCache>
                <c:formatCode>General</c:formatCode>
                <c:ptCount val="21"/>
                <c:pt idx="3">
                  <c:v>15.334272012267418</c:v>
                </c:pt>
                <c:pt idx="4">
                  <c:v>269.81861905857494</c:v>
                </c:pt>
              </c:numCache>
            </c:numRef>
          </c:val>
          <c:extLst>
            <c:ext xmlns:c16="http://schemas.microsoft.com/office/drawing/2014/chart" uri="{C3380CC4-5D6E-409C-BE32-E72D297353CC}">
              <c16:uniqueId val="{0000001B-62C3-4FF4-89FF-B002E1E5C76A}"/>
            </c:ext>
          </c:extLst>
        </c:ser>
        <c:ser>
          <c:idx val="28"/>
          <c:order val="28"/>
          <c:tx>
            <c:strRef>
              <c:f>results!$A$31</c:f>
              <c:strCache>
                <c:ptCount val="1"/>
                <c:pt idx="0">
                  <c:v>HTL spin coating</c:v>
                </c:pt>
              </c:strCache>
            </c:strRef>
          </c:tx>
          <c:spPr>
            <a:solidFill>
              <a:schemeClr val="accent5">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results!$D$31:$X$31</c:f>
              <c:numCache>
                <c:formatCode>General</c:formatCode>
                <c:ptCount val="21"/>
                <c:pt idx="3">
                  <c:v>1.5223729405820419</c:v>
                </c:pt>
                <c:pt idx="4">
                  <c:v>26.787353464929854</c:v>
                </c:pt>
              </c:numCache>
            </c:numRef>
          </c:val>
          <c:extLst>
            <c:ext xmlns:c16="http://schemas.microsoft.com/office/drawing/2014/chart" uri="{C3380CC4-5D6E-409C-BE32-E72D297353CC}">
              <c16:uniqueId val="{00000000-A994-4949-9D22-1A94983C40E5}"/>
            </c:ext>
          </c:extLst>
        </c:ser>
        <c:ser>
          <c:idx val="29"/>
          <c:order val="29"/>
          <c:tx>
            <c:strRef>
              <c:f>results!$A$32</c:f>
              <c:strCache>
                <c:ptCount val="1"/>
                <c:pt idx="0">
                  <c:v>Electrode sputtering</c:v>
                </c:pt>
              </c:strCache>
            </c:strRef>
          </c:tx>
          <c:spPr>
            <a:solidFill>
              <a:schemeClr val="accent6">
                <a:lumMod val="60000"/>
                <a:lumOff val="40000"/>
              </a:schemeClr>
            </a:solidFill>
            <a:ln>
              <a:noFill/>
            </a:ln>
            <a:effectLst/>
          </c:spPr>
          <c:invertIfNegative val="0"/>
          <c:cat>
            <c:strRef>
              <c:f>results!$D$1:$X$1</c:f>
              <c:strCache>
                <c:ptCount val="5"/>
                <c:pt idx="3">
                  <c:v>Carbon footprint</c:v>
                </c:pt>
                <c:pt idx="4">
                  <c:v>Primary energy consumption</c:v>
                </c:pt>
              </c:strCache>
            </c:strRef>
          </c:cat>
          <c:val>
            <c:numRef>
              <c:f>results!$D$32:$X$32</c:f>
              <c:numCache>
                <c:formatCode>General</c:formatCode>
                <c:ptCount val="21"/>
                <c:pt idx="3">
                  <c:v>5.0088800040071035</c:v>
                </c:pt>
                <c:pt idx="4">
                  <c:v>88.135197069030383</c:v>
                </c:pt>
              </c:numCache>
            </c:numRef>
          </c:val>
          <c:extLst>
            <c:ext xmlns:c16="http://schemas.microsoft.com/office/drawing/2014/chart" uri="{C3380CC4-5D6E-409C-BE32-E72D297353CC}">
              <c16:uniqueId val="{00000001-CFB5-4199-AE12-B308BEB37285}"/>
            </c:ext>
          </c:extLst>
        </c:ser>
        <c:ser>
          <c:idx val="30"/>
          <c:order val="30"/>
          <c:tx>
            <c:strRef>
              <c:f>results!$A$33</c:f>
              <c:strCache>
                <c:ptCount val="1"/>
                <c:pt idx="0">
                  <c:v>Direct emissions</c:v>
                </c:pt>
              </c:strCache>
            </c:strRef>
          </c:tx>
          <c:spPr>
            <a:solidFill>
              <a:schemeClr val="accent1">
                <a:lumMod val="50000"/>
              </a:schemeClr>
            </a:solidFill>
            <a:ln>
              <a:noFill/>
            </a:ln>
            <a:effectLst/>
          </c:spPr>
          <c:invertIfNegative val="0"/>
          <c:cat>
            <c:strRef>
              <c:f>results!$D$1:$X$1</c:f>
              <c:strCache>
                <c:ptCount val="5"/>
                <c:pt idx="3">
                  <c:v>Carbon footprint</c:v>
                </c:pt>
                <c:pt idx="4">
                  <c:v>Primary energy consumption</c:v>
                </c:pt>
              </c:strCache>
            </c:strRef>
          </c:cat>
          <c:val>
            <c:numRef>
              <c:f>results!$D$33:$X$33</c:f>
              <c:numCache>
                <c:formatCode>General</c:formatCode>
                <c:ptCount val="21"/>
                <c:pt idx="3">
                  <c:v>0</c:v>
                </c:pt>
                <c:pt idx="4">
                  <c:v>0</c:v>
                </c:pt>
              </c:numCache>
            </c:numRef>
          </c:val>
          <c:extLst>
            <c:ext xmlns:c16="http://schemas.microsoft.com/office/drawing/2014/chart" uri="{C3380CC4-5D6E-409C-BE32-E72D297353CC}">
              <c16:uniqueId val="{00000000-DE19-4BAB-8A0A-3352A2A1E728}"/>
            </c:ext>
          </c:extLst>
        </c:ser>
        <c:ser>
          <c:idx val="31"/>
          <c:order val="31"/>
          <c:tx>
            <c:strRef>
              <c:f>results!$A$34</c:f>
              <c:strCache>
                <c:ptCount val="1"/>
                <c:pt idx="0">
                  <c:v>Treatment</c:v>
                </c:pt>
              </c:strCache>
            </c:strRef>
          </c:tx>
          <c:spPr>
            <a:solidFill>
              <a:schemeClr val="accent2">
                <a:lumMod val="50000"/>
              </a:schemeClr>
            </a:solidFill>
            <a:ln>
              <a:noFill/>
            </a:ln>
            <a:effectLst/>
          </c:spPr>
          <c:invertIfNegative val="0"/>
          <c:cat>
            <c:strRef>
              <c:f>results!$D$1:$X$1</c:f>
              <c:strCache>
                <c:ptCount val="5"/>
                <c:pt idx="3">
                  <c:v>Carbon footprint</c:v>
                </c:pt>
                <c:pt idx="4">
                  <c:v>Primary energy consumption</c:v>
                </c:pt>
              </c:strCache>
            </c:strRef>
          </c:cat>
          <c:val>
            <c:numRef>
              <c:f>results!$D$34:$X$34</c:f>
              <c:numCache>
                <c:formatCode>General</c:formatCode>
                <c:ptCount val="21"/>
                <c:pt idx="3">
                  <c:v>5.7228935999999982E-5</c:v>
                </c:pt>
                <c:pt idx="4">
                  <c:v>4.7824445274400002E-4</c:v>
                </c:pt>
              </c:numCache>
            </c:numRef>
          </c:val>
          <c:extLst>
            <c:ext xmlns:c16="http://schemas.microsoft.com/office/drawing/2014/chart" uri="{C3380CC4-5D6E-409C-BE32-E72D297353CC}">
              <c16:uniqueId val="{00000001-DE19-4BAB-8A0A-3352A2A1E728}"/>
            </c:ext>
          </c:extLst>
        </c:ser>
        <c:ser>
          <c:idx val="32"/>
          <c:order val="32"/>
          <c:tx>
            <c:strRef>
              <c:f>results!$A$35</c:f>
              <c:strCache>
                <c:ptCount val="1"/>
                <c:pt idx="0">
                  <c:v>End of life</c:v>
                </c:pt>
              </c:strCache>
            </c:strRef>
          </c:tx>
          <c:spPr>
            <a:solidFill>
              <a:schemeClr val="accent3">
                <a:lumMod val="50000"/>
              </a:schemeClr>
            </a:solidFill>
            <a:ln>
              <a:noFill/>
            </a:ln>
            <a:effectLst/>
          </c:spPr>
          <c:invertIfNegative val="0"/>
          <c:cat>
            <c:strRef>
              <c:f>results!$D$1:$X$1</c:f>
              <c:strCache>
                <c:ptCount val="5"/>
                <c:pt idx="3">
                  <c:v>Carbon footprint</c:v>
                </c:pt>
                <c:pt idx="4">
                  <c:v>Primary energy consumption</c:v>
                </c:pt>
              </c:strCache>
            </c:strRef>
          </c:cat>
          <c:val>
            <c:numRef>
              <c:f>results!$D$35:$X$35</c:f>
              <c:numCache>
                <c:formatCode>General</c:formatCode>
                <c:ptCount val="21"/>
                <c:pt idx="3">
                  <c:v>6.2954281683199991</c:v>
                </c:pt>
                <c:pt idx="4">
                  <c:v>102.32319889165566</c:v>
                </c:pt>
              </c:numCache>
            </c:numRef>
          </c:val>
          <c:extLst>
            <c:ext xmlns:c16="http://schemas.microsoft.com/office/drawing/2014/chart" uri="{C3380CC4-5D6E-409C-BE32-E72D297353CC}">
              <c16:uniqueId val="{00000002-DE19-4BAB-8A0A-3352A2A1E728}"/>
            </c:ext>
          </c:extLst>
        </c:ser>
        <c:dLbls>
          <c:showLegendKey val="0"/>
          <c:showVal val="0"/>
          <c:showCatName val="0"/>
          <c:showSerName val="0"/>
          <c:showPercent val="0"/>
          <c:showBubbleSize val="0"/>
        </c:dLbls>
        <c:gapWidth val="150"/>
        <c:overlap val="100"/>
        <c:axId val="590330352"/>
        <c:axId val="590333304"/>
      </c:barChart>
      <c:catAx>
        <c:axId val="59033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333304"/>
        <c:crosses val="autoZero"/>
        <c:auto val="1"/>
        <c:lblAlgn val="ctr"/>
        <c:lblOffset val="100"/>
        <c:noMultiLvlLbl val="0"/>
      </c:catAx>
      <c:valAx>
        <c:axId val="590333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330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2530848</xdr:colOff>
      <xdr:row>62</xdr:row>
      <xdr:rowOff>79562</xdr:rowOff>
    </xdr:from>
    <xdr:to>
      <xdr:col>21</xdr:col>
      <xdr:colOff>453278</xdr:colOff>
      <xdr:row>79</xdr:row>
      <xdr:rowOff>155762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534522</xdr:colOff>
      <xdr:row>63</xdr:row>
      <xdr:rowOff>87406</xdr:rowOff>
    </xdr:from>
    <xdr:to>
      <xdr:col>24</xdr:col>
      <xdr:colOff>756398</xdr:colOff>
      <xdr:row>80</xdr:row>
      <xdr:rowOff>163606</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433667</xdr:colOff>
      <xdr:row>69</xdr:row>
      <xdr:rowOff>27734</xdr:rowOff>
    </xdr:from>
    <xdr:to>
      <xdr:col>31</xdr:col>
      <xdr:colOff>128867</xdr:colOff>
      <xdr:row>83</xdr:row>
      <xdr:rowOff>103934</xdr:rowOff>
    </xdr:to>
    <xdr:graphicFrame macro="">
      <xdr:nvGraphicFramePr>
        <xdr:cNvPr id="4" name="图表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19050</xdr:colOff>
          <xdr:row>7</xdr:row>
          <xdr:rowOff>161925</xdr:rowOff>
        </xdr:from>
        <xdr:to>
          <xdr:col>5</xdr:col>
          <xdr:colOff>247650</xdr:colOff>
          <xdr:row>10</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Ideal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xdr:row>
          <xdr:rowOff>161925</xdr:rowOff>
        </xdr:from>
        <xdr:to>
          <xdr:col>5</xdr:col>
          <xdr:colOff>247650</xdr:colOff>
          <xdr:row>4</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180975</xdr:rowOff>
        </xdr:from>
        <xdr:to>
          <xdr:col>5</xdr:col>
          <xdr:colOff>247650</xdr:colOff>
          <xdr:row>7</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Norminal recycling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419100</xdr:colOff>
      <xdr:row>0</xdr:row>
      <xdr:rowOff>66675</xdr:rowOff>
    </xdr:from>
    <xdr:to>
      <xdr:col>23</xdr:col>
      <xdr:colOff>281892</xdr:colOff>
      <xdr:row>14</xdr:row>
      <xdr:rowOff>95250</xdr:rowOff>
    </xdr:to>
    <xdr:graphicFrame macro="">
      <xdr:nvGraphicFramePr>
        <xdr:cNvPr id="4" name="Chart 38">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409575</xdr:colOff>
      <xdr:row>15</xdr:row>
      <xdr:rowOff>200025</xdr:rowOff>
    </xdr:from>
    <xdr:to>
      <xdr:col>23</xdr:col>
      <xdr:colOff>272367</xdr:colOff>
      <xdr:row>30</xdr:row>
      <xdr:rowOff>57150</xdr:rowOff>
    </xdr:to>
    <xdr:graphicFrame macro="">
      <xdr:nvGraphicFramePr>
        <xdr:cNvPr id="5" name="Chart 43">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285750</xdr:colOff>
      <xdr:row>14</xdr:row>
      <xdr:rowOff>95250</xdr:rowOff>
    </xdr:from>
    <xdr:to>
      <xdr:col>14</xdr:col>
      <xdr:colOff>1590675</xdr:colOff>
      <xdr:row>28</xdr:row>
      <xdr:rowOff>171450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1495425</xdr:colOff>
      <xdr:row>14</xdr:row>
      <xdr:rowOff>95250</xdr:rowOff>
    </xdr:from>
    <xdr:to>
      <xdr:col>17</xdr:col>
      <xdr:colOff>57150</xdr:colOff>
      <xdr:row>28</xdr:row>
      <xdr:rowOff>171450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776287</xdr:colOff>
      <xdr:row>14</xdr:row>
      <xdr:rowOff>14287</xdr:rowOff>
    </xdr:from>
    <xdr:to>
      <xdr:col>22</xdr:col>
      <xdr:colOff>681037</xdr:colOff>
      <xdr:row>28</xdr:row>
      <xdr:rowOff>90487</xdr:rowOff>
    </xdr:to>
    <xdr:graphicFrame macro="">
      <xdr:nvGraphicFramePr>
        <xdr:cNvPr id="4" name="图表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252410</xdr:colOff>
      <xdr:row>39</xdr:row>
      <xdr:rowOff>85725</xdr:rowOff>
    </xdr:from>
    <xdr:to>
      <xdr:col>12</xdr:col>
      <xdr:colOff>409575</xdr:colOff>
      <xdr:row>69</xdr:row>
      <xdr:rowOff>9524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38</xdr:row>
      <xdr:rowOff>0</xdr:rowOff>
    </xdr:from>
    <xdr:to>
      <xdr:col>7</xdr:col>
      <xdr:colOff>551626</xdr:colOff>
      <xdr:row>59</xdr:row>
      <xdr:rowOff>47119</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0" y="7239000"/>
          <a:ext cx="6590476" cy="4047619"/>
        </a:xfrm>
        <a:prstGeom prst="rect">
          <a:avLst/>
        </a:prstGeom>
      </xdr:spPr>
    </xdr:pic>
    <xdr:clientData/>
  </xdr:twoCellAnchor>
  <xdr:twoCellAnchor editAs="oneCell">
    <xdr:from>
      <xdr:col>8</xdr:col>
      <xdr:colOff>0</xdr:colOff>
      <xdr:row>38</xdr:row>
      <xdr:rowOff>0</xdr:rowOff>
    </xdr:from>
    <xdr:to>
      <xdr:col>13</xdr:col>
      <xdr:colOff>65852</xdr:colOff>
      <xdr:row>59</xdr:row>
      <xdr:rowOff>47119</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6648450" y="7239000"/>
          <a:ext cx="6580952" cy="40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Other%20invento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0_Raw%20material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0_Raw%20materials-update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6_FAI%20pr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7_MABr.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8_PbBr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Recycling/2_LiTFS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I2"/>
      <sheetName val="CH3NH3I"/>
      <sheetName val="FTO glass"/>
      <sheetName val="ITO glass"/>
      <sheetName val="BL-TiO2 ink"/>
      <sheetName val="spiro-OMeTAD"/>
      <sheetName val="C60"/>
      <sheetName val="PCBM_old"/>
      <sheetName val="PCBM_new"/>
      <sheetName val="PCBM"/>
      <sheetName val="Thiophene"/>
      <sheetName val="PEDOT PSS"/>
    </sheetNames>
    <sheetDataSet>
      <sheetData sheetId="0">
        <row r="18">
          <cell r="D18">
            <v>4.5641478346943822</v>
          </cell>
          <cell r="M18">
            <v>54.273073573167295</v>
          </cell>
          <cell r="N18">
            <v>1.0468647769178421</v>
          </cell>
          <cell r="O18">
            <v>3.8979307535263539</v>
          </cell>
          <cell r="P18">
            <v>1.0346162212323682</v>
          </cell>
          <cell r="Q18">
            <v>7.1263336550358825E-2</v>
          </cell>
          <cell r="R18">
            <v>1.9784839253897545E-3</v>
          </cell>
          <cell r="S18">
            <v>155.93446269487751</v>
          </cell>
          <cell r="T18">
            <v>0.19160131588715665</v>
          </cell>
          <cell r="U18">
            <v>78.202403056174219</v>
          </cell>
          <cell r="V18">
            <v>5.15849037985647E-3</v>
          </cell>
          <cell r="W18">
            <v>0.63220118225686706</v>
          </cell>
          <cell r="X18">
            <v>6.6310885300668149E-4</v>
          </cell>
          <cell r="Y18">
            <v>4.462579856471171E-7</v>
          </cell>
          <cell r="Z18">
            <v>1.1047205555555552E-2</v>
          </cell>
          <cell r="AA18">
            <v>1.554942625587726E-2</v>
          </cell>
          <cell r="AB18">
            <v>3.125296795347686E-2</v>
          </cell>
          <cell r="AC18">
            <v>5.3766239785944065E-3</v>
          </cell>
          <cell r="AD18">
            <v>4.0204006328878987E-2</v>
          </cell>
          <cell r="AE18">
            <v>1.1739803605543183E-2</v>
          </cell>
          <cell r="AF18">
            <v>0.19118482430091563</v>
          </cell>
          <cell r="AG18">
            <v>1.2205381316505814</v>
          </cell>
          <cell r="AH18">
            <v>0.15340474263796092</v>
          </cell>
        </row>
      </sheetData>
      <sheetData sheetId="1">
        <row r="17">
          <cell r="D17">
            <v>161.5361359123435</v>
          </cell>
        </row>
      </sheetData>
      <sheetData sheetId="2">
        <row r="41">
          <cell r="D41">
            <v>0.6900927939999999</v>
          </cell>
          <cell r="M41">
            <v>16.870840664507959</v>
          </cell>
          <cell r="N41">
            <v>1.2304100629300001</v>
          </cell>
          <cell r="O41">
            <v>0.71155339899999992</v>
          </cell>
          <cell r="P41">
            <v>0.16598633829999998</v>
          </cell>
          <cell r="Q41">
            <v>1.9207721611635292E-2</v>
          </cell>
          <cell r="R41">
            <v>4.0224563808999997E-4</v>
          </cell>
          <cell r="S41">
            <v>24.778602629582721</v>
          </cell>
          <cell r="T41">
            <v>4.3648278519999993E-2</v>
          </cell>
          <cell r="U41">
            <v>17.545004398641137</v>
          </cell>
          <cell r="V41">
            <v>2.1058137381999996E-3</v>
          </cell>
          <cell r="W41">
            <v>7.485683762029999</v>
          </cell>
          <cell r="X41">
            <v>5.2843976053999992E-4</v>
          </cell>
          <cell r="Y41">
            <v>4.481888471999999E-8</v>
          </cell>
          <cell r="Z41">
            <v>6.2016636211999999E-3</v>
          </cell>
          <cell r="AA41">
            <v>9.5497049174216204E-3</v>
          </cell>
          <cell r="AB41">
            <v>1.2424807466E-2</v>
          </cell>
          <cell r="AC41">
            <v>1.4737965990842938E-3</v>
          </cell>
          <cell r="AD41">
            <v>2.9310167130999997E-2</v>
          </cell>
          <cell r="AE41">
            <v>1.5347061815999996E-3</v>
          </cell>
          <cell r="AF41">
            <v>0.10118733074544357</v>
          </cell>
          <cell r="AG41">
            <v>0.20367506328805784</v>
          </cell>
          <cell r="AH41">
            <v>0.36744772991999997</v>
          </cell>
        </row>
      </sheetData>
      <sheetData sheetId="3">
        <row r="14">
          <cell r="D14">
            <v>16.837863429999999</v>
          </cell>
        </row>
      </sheetData>
      <sheetData sheetId="4">
        <row r="14">
          <cell r="D14">
            <v>1.816623717028</v>
          </cell>
          <cell r="M14">
            <v>49.235883967569862</v>
          </cell>
          <cell r="N14">
            <v>1.031942146719008</v>
          </cell>
          <cell r="O14">
            <v>1.571679025116</v>
          </cell>
          <cell r="P14">
            <v>0.56452762463599993</v>
          </cell>
          <cell r="Q14">
            <v>3.6490840867999995E-2</v>
          </cell>
          <cell r="R14">
            <v>6.7762399148959987E-4</v>
          </cell>
          <cell r="S14">
            <v>22.165093164199998</v>
          </cell>
          <cell r="T14">
            <v>0.1099822682052</v>
          </cell>
          <cell r="U14">
            <v>18.255521079160001</v>
          </cell>
          <cell r="V14">
            <v>6.0900339802000001E-3</v>
          </cell>
          <cell r="W14">
            <v>6.8993196383600006E-2</v>
          </cell>
          <cell r="X14">
            <v>1.068494039446E-3</v>
          </cell>
          <cell r="Y14">
            <v>1.435786231096E-7</v>
          </cell>
          <cell r="Z14">
            <v>4.5740298416480007E-3</v>
          </cell>
          <cell r="AA14">
            <v>5.7932781494399992E-3</v>
          </cell>
          <cell r="AB14">
            <v>1.4153469894000001E-2</v>
          </cell>
          <cell r="AC14">
            <v>7.7372104642912014E-3</v>
          </cell>
          <cell r="AD14">
            <v>5.9085341149744001E-2</v>
          </cell>
          <cell r="AE14">
            <v>0.34168602040953444</v>
          </cell>
          <cell r="AF14">
            <v>0.32895532035960001</v>
          </cell>
          <cell r="AG14">
            <v>0.21573273067080001</v>
          </cell>
          <cell r="AH14">
            <v>7.1616409671400011E-2</v>
          </cell>
        </row>
      </sheetData>
      <sheetData sheetId="5">
        <row r="33">
          <cell r="D33">
            <v>121.5468471027569</v>
          </cell>
          <cell r="M33">
            <v>1958.021571952163</v>
          </cell>
          <cell r="N33">
            <v>29.767093973383464</v>
          </cell>
          <cell r="O33">
            <v>109.87499824561404</v>
          </cell>
          <cell r="P33">
            <v>35.465421288220554</v>
          </cell>
          <cell r="Q33">
            <v>7.4221536900250635</v>
          </cell>
          <cell r="R33">
            <v>0.12792126052481204</v>
          </cell>
          <cell r="S33">
            <v>6548.1155303258156</v>
          </cell>
          <cell r="T33">
            <v>11.179426375939849</v>
          </cell>
          <cell r="U33">
            <v>5537.7356836591489</v>
          </cell>
          <cell r="V33">
            <v>0.12301502522305767</v>
          </cell>
          <cell r="W33">
            <v>5.0502886230576465</v>
          </cell>
          <cell r="X33">
            <v>9.585345859649123E-3</v>
          </cell>
          <cell r="Y33">
            <v>1.0339000486716796E-5</v>
          </cell>
          <cell r="Z33">
            <v>0.62014124886215527</v>
          </cell>
          <cell r="AA33">
            <v>0.43767035669172932</v>
          </cell>
          <cell r="AB33">
            <v>0.59866097528822071</v>
          </cell>
          <cell r="AC33">
            <v>0.12409401888220552</v>
          </cell>
          <cell r="AD33">
            <v>1.6249439223558895</v>
          </cell>
          <cell r="AE33">
            <v>0.36095372982456142</v>
          </cell>
          <cell r="AF33">
            <v>6.3790381538847116</v>
          </cell>
          <cell r="AG33">
            <v>49.986884340350883</v>
          </cell>
          <cell r="AH33">
            <v>4.4870217719298244</v>
          </cell>
        </row>
      </sheetData>
      <sheetData sheetId="6"/>
      <sheetData sheetId="7"/>
      <sheetData sheetId="8">
        <row r="16">
          <cell r="D16">
            <v>681.91697298744145</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cell r="M3">
            <v>20.685313700000005</v>
          </cell>
          <cell r="N3">
            <v>8.8877999999999999E-2</v>
          </cell>
          <cell r="O3">
            <v>2.2648999999999999</v>
          </cell>
          <cell r="P3">
            <v>0.39137</v>
          </cell>
          <cell r="Q3">
            <v>3.4606999999999999E-2</v>
          </cell>
          <cell r="R3">
            <v>1.4064E-2</v>
          </cell>
          <cell r="S3">
            <v>31.951000000000001</v>
          </cell>
          <cell r="T3">
            <v>0.15866</v>
          </cell>
          <cell r="U3">
            <v>31.074999999999999</v>
          </cell>
          <cell r="V3">
            <v>0.13034999999999999</v>
          </cell>
          <cell r="W3">
            <v>0.17466000000000001</v>
          </cell>
          <cell r="X3">
            <v>1.8164E-4</v>
          </cell>
          <cell r="Y3">
            <v>1.8353E-7</v>
          </cell>
          <cell r="Z3">
            <v>5.0572000000000004E-3</v>
          </cell>
          <cell r="AA3">
            <v>5.9461000000000002E-3</v>
          </cell>
          <cell r="AB3">
            <v>1.0370000000000001E-2</v>
          </cell>
          <cell r="AC3">
            <v>1.3814999999999999E-3</v>
          </cell>
          <cell r="AD3">
            <v>2.3361E-2</v>
          </cell>
          <cell r="AE3">
            <v>1.0649E-2</v>
          </cell>
          <cell r="AF3">
            <v>0.10145</v>
          </cell>
          <cell r="AG3">
            <v>0.30706</v>
          </cell>
          <cell r="AH3">
            <v>5.5032999999999999E-2</v>
          </cell>
        </row>
        <row r="7">
          <cell r="D7">
            <v>0.70992</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34">
          <cell r="D34">
            <v>3.2427000000000001</v>
          </cell>
          <cell r="M34">
            <v>78.503467299999997</v>
          </cell>
          <cell r="N34">
            <v>0.11455</v>
          </cell>
          <cell r="O34">
            <v>2.7587000000000002</v>
          </cell>
          <cell r="P34">
            <v>1.7338</v>
          </cell>
          <cell r="Q34">
            <v>0.10091</v>
          </cell>
          <cell r="R34">
            <v>1.325E-3</v>
          </cell>
          <cell r="S34">
            <v>50.4</v>
          </cell>
          <cell r="T34">
            <v>0.1552</v>
          </cell>
          <cell r="U34">
            <v>41.045000000000002</v>
          </cell>
          <cell r="V34">
            <v>2.7309999999999999E-3</v>
          </cell>
          <cell r="W34">
            <v>0.13256000000000001</v>
          </cell>
          <cell r="X34">
            <v>2.5385000000000002E-4</v>
          </cell>
          <cell r="Y34">
            <v>7.1116999999999998E-7</v>
          </cell>
          <cell r="Z34">
            <v>8.2673999999999994E-3</v>
          </cell>
          <cell r="AA34">
            <v>2.1946E-2</v>
          </cell>
          <cell r="AB34">
            <v>1.4785E-2</v>
          </cell>
          <cell r="AC34">
            <v>1.9043E-3</v>
          </cell>
          <cell r="AD34">
            <v>2.7025E-2</v>
          </cell>
          <cell r="AE34">
            <v>8.4682999999999998E-3</v>
          </cell>
          <cell r="AF34">
            <v>0.12331</v>
          </cell>
          <cell r="AG34">
            <v>0.46032000000000001</v>
          </cell>
          <cell r="AH34">
            <v>0.21404999999999999</v>
          </cell>
        </row>
        <row r="54">
          <cell r="D54">
            <v>1.3996</v>
          </cell>
          <cell r="M54">
            <v>41.582470999999998</v>
          </cell>
          <cell r="N54">
            <v>1.1153999999999999</v>
          </cell>
          <cell r="O54">
            <v>1.2186999999999999</v>
          </cell>
          <cell r="P54">
            <v>0.34281</v>
          </cell>
          <cell r="Q54">
            <v>3.4125999999999997E-2</v>
          </cell>
          <cell r="R54">
            <v>5.6773000000000001E-4</v>
          </cell>
          <cell r="S54">
            <v>16.718</v>
          </cell>
          <cell r="T54">
            <v>8.7052000000000004E-2</v>
          </cell>
          <cell r="U54">
            <v>13.432</v>
          </cell>
          <cell r="V54">
            <v>6.2411999999999997E-3</v>
          </cell>
          <cell r="W54">
            <v>5.4462000000000003E-2</v>
          </cell>
          <cell r="X54">
            <v>1.0508E-3</v>
          </cell>
          <cell r="Y54">
            <v>8.8975000000000001E-8</v>
          </cell>
          <cell r="Z54">
            <v>3.9167000000000004E-3</v>
          </cell>
          <cell r="AA54">
            <v>4.1108999999999998E-3</v>
          </cell>
          <cell r="AB54">
            <v>1.2865E-2</v>
          </cell>
          <cell r="AC54">
            <v>8.2140000000000008E-3</v>
          </cell>
          <cell r="AD54">
            <v>5.9778999999999999E-2</v>
          </cell>
          <cell r="AE54">
            <v>0.37369000000000002</v>
          </cell>
          <cell r="AF54">
            <v>0.34144999999999998</v>
          </cell>
          <cell r="AG54">
            <v>0.16486999999999999</v>
          </cell>
          <cell r="AH54">
            <v>4.3631999999999997E-2</v>
          </cell>
        </row>
        <row r="71">
          <cell r="D71">
            <v>4.0795000000000003</v>
          </cell>
          <cell r="M71">
            <v>110.42456367</v>
          </cell>
          <cell r="N71">
            <v>6.1492999999999999E-2</v>
          </cell>
          <cell r="O71">
            <v>3.6772999999999998</v>
          </cell>
          <cell r="P71">
            <v>2.5369000000000002</v>
          </cell>
          <cell r="Q71">
            <v>1.7544000000000001E-2</v>
          </cell>
          <cell r="R71">
            <v>4.2855999999999998E-4</v>
          </cell>
          <cell r="S71">
            <v>28.675000000000001</v>
          </cell>
          <cell r="T71">
            <v>8.8314000000000004E-2</v>
          </cell>
          <cell r="U71">
            <v>22.437999999999999</v>
          </cell>
          <cell r="V71">
            <v>1.6815E-2</v>
          </cell>
          <cell r="W71">
            <v>0.10779</v>
          </cell>
          <cell r="X71">
            <v>4.1534999999999999E-4</v>
          </cell>
          <cell r="Y71">
            <v>1.9926E-7</v>
          </cell>
          <cell r="Z71">
            <v>6.2411000000000003E-3</v>
          </cell>
          <cell r="AA71">
            <v>9.4280000000000006E-3</v>
          </cell>
          <cell r="AB71">
            <v>2.6443999999999999E-2</v>
          </cell>
          <cell r="AC71">
            <v>2.4615000000000001E-3</v>
          </cell>
          <cell r="AD71">
            <v>9.8277999999999994E-3</v>
          </cell>
          <cell r="AE71">
            <v>9.4646999999999995E-3</v>
          </cell>
          <cell r="AF71">
            <v>0.12259</v>
          </cell>
          <cell r="AG71">
            <v>0.33853</v>
          </cell>
          <cell r="AH71">
            <v>0.30918000000000001</v>
          </cell>
        </row>
        <row r="72">
          <cell r="D72">
            <v>11.087</v>
          </cell>
          <cell r="M72">
            <v>181.805161</v>
          </cell>
          <cell r="N72">
            <v>0.61707999999999996</v>
          </cell>
          <cell r="O72">
            <v>10.166</v>
          </cell>
          <cell r="P72">
            <v>3.73</v>
          </cell>
          <cell r="Q72">
            <v>0.14452999999999999</v>
          </cell>
          <cell r="R72">
            <v>4.7632000000000004E-3</v>
          </cell>
          <cell r="S72">
            <v>215.25</v>
          </cell>
          <cell r="T72">
            <v>0.89961000000000002</v>
          </cell>
          <cell r="U72">
            <v>169.91</v>
          </cell>
          <cell r="V72">
            <v>1.2493000000000001E-2</v>
          </cell>
          <cell r="W72">
            <v>0.67508000000000001</v>
          </cell>
          <cell r="X72">
            <v>1.4947000000000001E-3</v>
          </cell>
          <cell r="Y72">
            <v>2.8059999999999999E-6</v>
          </cell>
          <cell r="Z72">
            <v>2.8736000000000001E-2</v>
          </cell>
          <cell r="AA72">
            <v>3.1737000000000001E-2</v>
          </cell>
          <cell r="AB72">
            <v>5.6224999999999997E-2</v>
          </cell>
          <cell r="AC72">
            <v>1.0362E-2</v>
          </cell>
          <cell r="AD72">
            <v>9.0798000000000004E-2</v>
          </cell>
          <cell r="AE72">
            <v>3.2612000000000002E-2</v>
          </cell>
          <cell r="AF72">
            <v>0.45911000000000002</v>
          </cell>
          <cell r="AG72">
            <v>1.8869</v>
          </cell>
          <cell r="AH72">
            <v>0.47855999999999999</v>
          </cell>
        </row>
        <row r="74">
          <cell r="D74">
            <v>1.7427E-3</v>
          </cell>
          <cell r="M74">
            <v>2.3977627160000001E-2</v>
          </cell>
          <cell r="N74">
            <v>8.0226000000000001E-5</v>
          </cell>
          <cell r="O74">
            <v>1.603E-3</v>
          </cell>
          <cell r="P74">
            <v>4.6108999999999999E-4</v>
          </cell>
          <cell r="Q74">
            <v>2.4029E-5</v>
          </cell>
          <cell r="R74">
            <v>8.5155000000000003E-7</v>
          </cell>
          <cell r="S74">
            <v>3.1862000000000001E-2</v>
          </cell>
          <cell r="T74">
            <v>1.739E-4</v>
          </cell>
          <cell r="U74">
            <v>2.7362999999999998E-2</v>
          </cell>
          <cell r="V74">
            <v>1.7167E-6</v>
          </cell>
          <cell r="W74">
            <v>1.1456E-4</v>
          </cell>
          <cell r="X74">
            <v>2.2113E-7</v>
          </cell>
          <cell r="Y74">
            <v>7.3037000000000003E-10</v>
          </cell>
          <cell r="Z74">
            <v>5.7030000000000003E-6</v>
          </cell>
          <cell r="AA74">
            <v>4.9044E-6</v>
          </cell>
          <cell r="AB74">
            <v>8.8248000000000006E-6</v>
          </cell>
          <cell r="AC74">
            <v>1.4250999999999999E-6</v>
          </cell>
          <cell r="AD74">
            <v>1.5262000000000001E-5</v>
          </cell>
          <cell r="AE74">
            <v>1.3097E-3</v>
          </cell>
          <cell r="AF74">
            <v>7.5106999999999998E-5</v>
          </cell>
          <cell r="AG74">
            <v>2.8687E-4</v>
          </cell>
          <cell r="AH74">
            <v>6.0606000000000002E-5</v>
          </cell>
        </row>
        <row r="75">
          <cell r="D75">
            <v>2.8612000000000002</v>
          </cell>
          <cell r="M75">
            <v>77.822580110000004</v>
          </cell>
          <cell r="N75">
            <v>0.11645</v>
          </cell>
          <cell r="O75">
            <v>2.5897999999999999</v>
          </cell>
          <cell r="P75">
            <v>1.7415</v>
          </cell>
          <cell r="Q75">
            <v>3.6441000000000001E-2</v>
          </cell>
          <cell r="R75">
            <v>9.8305000000000007E-4</v>
          </cell>
          <cell r="S75">
            <v>59.360999999999997</v>
          </cell>
          <cell r="T75">
            <v>0.25631999999999999</v>
          </cell>
          <cell r="U75">
            <v>38.563000000000002</v>
          </cell>
          <cell r="V75">
            <v>1.2496999999999999E-2</v>
          </cell>
          <cell r="W75">
            <v>0.16675999999999999</v>
          </cell>
          <cell r="X75">
            <v>1.0935000000000001E-3</v>
          </cell>
          <cell r="Y75">
            <v>5.2045000000000003E-7</v>
          </cell>
          <cell r="Z75">
            <v>7.2179000000000002E-3</v>
          </cell>
          <cell r="AA75">
            <v>8.7553000000000006E-3</v>
          </cell>
          <cell r="AB75">
            <v>1.839E-2</v>
          </cell>
          <cell r="AC75">
            <v>1.839E-2</v>
          </cell>
          <cell r="AD75">
            <v>2.2100999999999999E-2</v>
          </cell>
          <cell r="AE75">
            <v>7.7352999999999996E-3</v>
          </cell>
          <cell r="AF75">
            <v>0.11523</v>
          </cell>
          <cell r="AG75">
            <v>0.51175000000000004</v>
          </cell>
          <cell r="AH75">
            <v>0.21654000000000001</v>
          </cell>
        </row>
        <row r="89">
          <cell r="D89">
            <v>8.5974000000000004</v>
          </cell>
          <cell r="M89">
            <v>92.21776761000001</v>
          </cell>
          <cell r="N89">
            <v>0.36826999999999999</v>
          </cell>
          <cell r="O89">
            <v>7.4287999999999998</v>
          </cell>
          <cell r="P89">
            <v>1.8311999999999999</v>
          </cell>
          <cell r="Q89">
            <v>0.13183</v>
          </cell>
          <cell r="R89">
            <v>3.4123999999999999E-3</v>
          </cell>
          <cell r="S89">
            <v>121.42</v>
          </cell>
          <cell r="T89">
            <v>0.46332000000000001</v>
          </cell>
          <cell r="U89">
            <v>152.15</v>
          </cell>
          <cell r="V89">
            <v>7.9149000000000008E-3</v>
          </cell>
          <cell r="W89">
            <v>0.23019999999999999</v>
          </cell>
          <cell r="X89">
            <v>1.7210000000000001E-3</v>
          </cell>
          <cell r="Y89">
            <v>7.6133999999999996E-7</v>
          </cell>
          <cell r="Z89">
            <v>1.9774E-2</v>
          </cell>
          <cell r="AA89">
            <v>2.9107000000000001E-2</v>
          </cell>
          <cell r="AB89">
            <v>4.1057999999999997E-2</v>
          </cell>
          <cell r="AC89">
            <v>4.3298E-3</v>
          </cell>
          <cell r="AD89">
            <v>0.1129</v>
          </cell>
          <cell r="AE89">
            <v>7.9020000000000007E-2</v>
          </cell>
          <cell r="AF89">
            <v>0.32826</v>
          </cell>
          <cell r="AG89">
            <v>1.1247</v>
          </cell>
          <cell r="AH89">
            <v>0.25229000000000001</v>
          </cell>
        </row>
        <row r="103">
          <cell r="D103">
            <v>5.4259E-3</v>
          </cell>
          <cell r="M103">
            <v>0.17365606929999999</v>
          </cell>
        </row>
        <row r="104">
          <cell r="D104">
            <v>1.2696000000000001</v>
          </cell>
          <cell r="M104">
            <v>58.586084650000004</v>
          </cell>
          <cell r="N104">
            <v>5.4158999999999999E-2</v>
          </cell>
          <cell r="O104">
            <v>1.0815999999999999</v>
          </cell>
          <cell r="P104">
            <v>1.3033999999999999</v>
          </cell>
          <cell r="Q104">
            <v>2.2741000000000001E-2</v>
          </cell>
          <cell r="R104">
            <v>5.0582999999999997E-4</v>
          </cell>
          <cell r="S104">
            <v>33.625</v>
          </cell>
          <cell r="T104">
            <v>0.18521000000000001</v>
          </cell>
          <cell r="U104">
            <v>19.648</v>
          </cell>
          <cell r="V104">
            <v>9.9444000000000008E-4</v>
          </cell>
          <cell r="W104">
            <v>0.10894</v>
          </cell>
          <cell r="X104">
            <v>5.6817E-4</v>
          </cell>
          <cell r="Y104">
            <v>3.1627000000000001E-7</v>
          </cell>
          <cell r="Z104">
            <v>1.7206000000000001E-3</v>
          </cell>
          <cell r="AA104">
            <v>3.9411999999999997E-3</v>
          </cell>
          <cell r="AB104">
            <v>5.1390999999999997E-3</v>
          </cell>
          <cell r="AC104">
            <v>9.7420000000000004E-4</v>
          </cell>
          <cell r="AD104">
            <v>9.5762E-3</v>
          </cell>
          <cell r="AE104">
            <v>3.8428999999999998E-3</v>
          </cell>
          <cell r="AF104">
            <v>4.9723000000000003E-2</v>
          </cell>
          <cell r="AG104">
            <v>0.27034000000000002</v>
          </cell>
          <cell r="AH104">
            <v>0.16134000000000001</v>
          </cell>
        </row>
      </sheetData>
      <sheetData sheetId="1"/>
      <sheetData sheetId="2"/>
      <sheetData sheetId="3"/>
      <sheetData sheetId="4">
        <row r="15">
          <cell r="D15">
            <v>0</v>
          </cell>
          <cell r="M15">
            <v>0</v>
          </cell>
          <cell r="N15"/>
          <cell r="O15"/>
          <cell r="P15"/>
          <cell r="Q15">
            <v>1.0511520897095683E-5</v>
          </cell>
          <cell r="R15"/>
          <cell r="S15">
            <v>1.4366951661669828E-2</v>
          </cell>
          <cell r="T15"/>
          <cell r="U15">
            <v>1.7867815068253627E-5</v>
          </cell>
          <cell r="V15"/>
          <cell r="W15"/>
          <cell r="X15"/>
          <cell r="Y15"/>
          <cell r="Z15"/>
          <cell r="AA15">
            <v>0.67398648648648651</v>
          </cell>
          <cell r="AB15"/>
          <cell r="AC15">
            <v>3.7179897031113646E-5</v>
          </cell>
          <cell r="AD15"/>
          <cell r="AE15"/>
          <cell r="AF15">
            <v>8.1614583487299999E-6</v>
          </cell>
          <cell r="AG15">
            <v>3.5455940620700001E-4</v>
          </cell>
          <cell r="AH15"/>
        </row>
        <row r="24">
          <cell r="D24">
            <v>0</v>
          </cell>
          <cell r="M24">
            <v>0</v>
          </cell>
          <cell r="N24"/>
          <cell r="O24"/>
          <cell r="P24"/>
          <cell r="Q24"/>
          <cell r="R24"/>
          <cell r="S24"/>
          <cell r="T24"/>
          <cell r="U24"/>
          <cell r="V24"/>
          <cell r="W24"/>
          <cell r="X24"/>
          <cell r="Y24"/>
          <cell r="Z24"/>
          <cell r="AA24">
            <v>0.3175675675675676</v>
          </cell>
          <cell r="AB24"/>
          <cell r="AC24"/>
          <cell r="AD24"/>
          <cell r="AE24"/>
          <cell r="AF24"/>
          <cell r="AG24">
            <v>1.20830586684E-4</v>
          </cell>
          <cell r="AH24"/>
        </row>
        <row r="25">
          <cell r="D25">
            <v>0</v>
          </cell>
          <cell r="M25">
            <v>0</v>
          </cell>
          <cell r="N25"/>
          <cell r="O25"/>
          <cell r="P25"/>
          <cell r="Q25">
            <v>1.8285430284917717E-5</v>
          </cell>
          <cell r="R25"/>
          <cell r="S25">
            <v>0.14896775129815301</v>
          </cell>
          <cell r="T25"/>
          <cell r="U25">
            <v>7.4567515026773893E-5</v>
          </cell>
          <cell r="V25"/>
          <cell r="W25"/>
          <cell r="X25"/>
          <cell r="Y25"/>
          <cell r="Z25"/>
          <cell r="AA25">
            <v>0.1587837837837838</v>
          </cell>
          <cell r="AB25"/>
          <cell r="AC25">
            <v>3.0347324622674447E-5</v>
          </cell>
          <cell r="AD25"/>
          <cell r="AE25"/>
          <cell r="AF25">
            <v>6.6891399295099997E-6</v>
          </cell>
          <cell r="AG25">
            <v>1.0777560339100001E-3</v>
          </cell>
          <cell r="AH25"/>
        </row>
        <row r="26">
          <cell r="D26">
            <v>0</v>
          </cell>
          <cell r="M26">
            <v>0</v>
          </cell>
          <cell r="N26"/>
          <cell r="O26"/>
          <cell r="P26"/>
          <cell r="Q26">
            <v>5.5239331204532241E-6</v>
          </cell>
          <cell r="R26"/>
          <cell r="S26"/>
          <cell r="T26"/>
          <cell r="U26">
            <v>3.2144404879240416E-7</v>
          </cell>
          <cell r="V26"/>
          <cell r="W26"/>
          <cell r="X26"/>
          <cell r="Y26"/>
          <cell r="Z26"/>
          <cell r="AA26"/>
          <cell r="AB26"/>
          <cell r="AC26">
            <v>1.3004211950132588E-4</v>
          </cell>
          <cell r="AD26"/>
          <cell r="AE26"/>
          <cell r="AF26"/>
          <cell r="AG26"/>
          <cell r="AH26"/>
        </row>
        <row r="28">
          <cell r="D28">
            <v>0</v>
          </cell>
          <cell r="M28">
            <v>0</v>
          </cell>
          <cell r="N28"/>
          <cell r="O28"/>
          <cell r="P28"/>
          <cell r="Q28"/>
          <cell r="R28"/>
          <cell r="S28"/>
          <cell r="T28"/>
          <cell r="U28"/>
          <cell r="V28"/>
          <cell r="W28"/>
          <cell r="X28"/>
          <cell r="Y28"/>
          <cell r="Z28"/>
          <cell r="AA28"/>
          <cell r="AB28"/>
          <cell r="AC28"/>
          <cell r="AD28"/>
          <cell r="AE28"/>
          <cell r="AF28"/>
          <cell r="AG28"/>
          <cell r="AH28"/>
        </row>
        <row r="30">
          <cell r="D30">
            <v>0</v>
          </cell>
          <cell r="M30">
            <v>0</v>
          </cell>
          <cell r="N30"/>
          <cell r="O30"/>
          <cell r="P30"/>
          <cell r="Q30">
            <v>1.7003303175320737E-4</v>
          </cell>
          <cell r="R30"/>
          <cell r="S30">
            <v>0.47081152258220021</v>
          </cell>
          <cell r="T30"/>
          <cell r="U30">
            <v>1.7402003843569559E-3</v>
          </cell>
          <cell r="V30"/>
          <cell r="W30"/>
          <cell r="X30"/>
          <cell r="Y30"/>
          <cell r="Z30"/>
          <cell r="AA30"/>
          <cell r="AB30"/>
          <cell r="AC30">
            <v>3.7040677832114982E-4</v>
          </cell>
          <cell r="AD30"/>
          <cell r="AE30"/>
          <cell r="AF30">
            <v>8.1790920700099996E-5</v>
          </cell>
          <cell r="AG30">
            <v>3.2152982030000002E-3</v>
          </cell>
          <cell r="AH30"/>
        </row>
        <row r="31">
          <cell r="D31">
            <v>0</v>
          </cell>
          <cell r="M31">
            <v>0</v>
          </cell>
          <cell r="N31"/>
          <cell r="O31"/>
          <cell r="P31"/>
          <cell r="Q31">
            <v>7.2393455475090209E-4</v>
          </cell>
          <cell r="R31"/>
          <cell r="S31"/>
          <cell r="T31"/>
          <cell r="U31">
            <v>8.2456497860484632E-3</v>
          </cell>
          <cell r="V31"/>
          <cell r="W31"/>
          <cell r="X31"/>
          <cell r="Y31"/>
          <cell r="Z31"/>
          <cell r="AA31"/>
          <cell r="AB31"/>
          <cell r="AC31">
            <v>4.2877556391883285E-4</v>
          </cell>
          <cell r="AD31"/>
          <cell r="AE31"/>
          <cell r="AF31"/>
          <cell r="AG31"/>
          <cell r="AH31"/>
        </row>
        <row r="32">
          <cell r="D32">
            <v>0</v>
          </cell>
          <cell r="M32">
            <v>0</v>
          </cell>
          <cell r="N32"/>
          <cell r="O32"/>
          <cell r="P32"/>
          <cell r="Q32">
            <v>89.318360842089874</v>
          </cell>
          <cell r="R32"/>
          <cell r="S32">
            <v>2590346.8847328946</v>
          </cell>
          <cell r="T32"/>
          <cell r="U32">
            <v>1471681.2702250027</v>
          </cell>
          <cell r="V32"/>
          <cell r="W32"/>
          <cell r="X32"/>
          <cell r="Y32"/>
          <cell r="Z32"/>
          <cell r="AA32"/>
          <cell r="AB32"/>
          <cell r="AC32">
            <v>84.599224311568477</v>
          </cell>
          <cell r="AD32"/>
          <cell r="AE32"/>
          <cell r="AF32"/>
          <cell r="AG32"/>
          <cell r="AH32"/>
        </row>
      </sheetData>
      <sheetData sheetId="5">
        <row r="4">
          <cell r="D4">
            <v>4.5641478346943822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46">
          <cell r="D46">
            <v>2.6876000000000002</v>
          </cell>
          <cell r="M46">
            <v>40.380196750000003</v>
          </cell>
          <cell r="N46">
            <v>0.14061999999999999</v>
          </cell>
          <cell r="O46">
            <v>2.4859</v>
          </cell>
          <cell r="P46">
            <v>0.71387</v>
          </cell>
          <cell r="Q46">
            <v>3.5333999999999997E-2</v>
          </cell>
          <cell r="R46">
            <v>1.4566E-3</v>
          </cell>
          <cell r="S46">
            <v>46.789000000000001</v>
          </cell>
          <cell r="T46">
            <v>0.41410999999999998</v>
          </cell>
          <cell r="U46">
            <v>40.326999999999998</v>
          </cell>
          <cell r="V46">
            <v>2.4256999999999998E-3</v>
          </cell>
          <cell r="W46">
            <v>3.2414999999999999E-2</v>
          </cell>
          <cell r="X46">
            <v>2.9548999999999998E-4</v>
          </cell>
          <cell r="Y46">
            <v>1.4875000000000001E-7</v>
          </cell>
          <cell r="Z46">
            <v>8.3315000000000004E-3</v>
          </cell>
          <cell r="AA46">
            <v>6.6281999999999999E-3</v>
          </cell>
          <cell r="AB46">
            <v>1.3127E-2</v>
          </cell>
          <cell r="AC46">
            <v>8.9937000000000003E-4</v>
          </cell>
          <cell r="AD46">
            <v>1.5989E-2</v>
          </cell>
          <cell r="AE46">
            <v>1.0525E-2</v>
          </cell>
          <cell r="AF46">
            <v>0.10639</v>
          </cell>
          <cell r="AG46">
            <v>0.42542000000000002</v>
          </cell>
          <cell r="AH46">
            <v>8.7106000000000003E-2</v>
          </cell>
        </row>
        <row r="67">
          <cell r="D67">
            <v>2.3182999999999998</v>
          </cell>
          <cell r="M67">
            <v>67.359827543199998</v>
          </cell>
          <cell r="N67">
            <v>3.815E-4</v>
          </cell>
          <cell r="O67">
            <v>1.9301999999999999</v>
          </cell>
          <cell r="P67">
            <v>1.5439000000000001</v>
          </cell>
          <cell r="Q67">
            <v>1.6306999999999999E-2</v>
          </cell>
          <cell r="R67">
            <v>1.5555000000000001E-4</v>
          </cell>
          <cell r="S67">
            <v>1.0630999999999999</v>
          </cell>
          <cell r="T67">
            <v>3.0912000000000002E-4</v>
          </cell>
          <cell r="U67">
            <v>2.0948000000000002</v>
          </cell>
          <cell r="V67">
            <v>1.8067000000000001E-3</v>
          </cell>
          <cell r="W67">
            <v>1.2439E-3</v>
          </cell>
          <cell r="X67">
            <v>-1.8767000000000001E-7</v>
          </cell>
          <cell r="Y67">
            <v>9.5567000000000007E-10</v>
          </cell>
          <cell r="Z67">
            <v>2.7970999999999998E-3</v>
          </cell>
          <cell r="AA67">
            <v>9.0612999999999996E-3</v>
          </cell>
          <cell r="AB67">
            <v>1.0168E-2</v>
          </cell>
          <cell r="AC67">
            <v>1.794E-4</v>
          </cell>
          <cell r="AD67">
            <v>1.6490999999999999E-4</v>
          </cell>
          <cell r="AE67">
            <v>1.3814E-4</v>
          </cell>
          <cell r="AF67">
            <v>5.3408999999999998E-2</v>
          </cell>
          <cell r="AG67">
            <v>8.3083000000000004E-2</v>
          </cell>
          <cell r="AH67">
            <v>0.1852</v>
          </cell>
        </row>
        <row r="91">
          <cell r="D91">
            <v>1.1845000000000001</v>
          </cell>
          <cell r="M91">
            <v>16.137803399999999</v>
          </cell>
          <cell r="N91">
            <v>4.6581999999999998E-2</v>
          </cell>
          <cell r="O91">
            <v>1.0933999999999999</v>
          </cell>
          <cell r="P91">
            <v>0.30948999999999999</v>
          </cell>
          <cell r="Q91">
            <v>1.4300999999999999E-2</v>
          </cell>
          <cell r="R91">
            <v>5.8091999999999996E-4</v>
          </cell>
          <cell r="S91">
            <v>19.337</v>
          </cell>
          <cell r="T91">
            <v>0.12024</v>
          </cell>
          <cell r="U91">
            <v>16.533999999999999</v>
          </cell>
          <cell r="V91">
            <v>1.0808E-3</v>
          </cell>
          <cell r="W91">
            <v>1.2095E-2</v>
          </cell>
          <cell r="X91">
            <v>1.2846E-4</v>
          </cell>
          <cell r="Y91">
            <v>5.3706999999999999E-8</v>
          </cell>
          <cell r="Z91">
            <v>3.9915000000000003E-3</v>
          </cell>
          <cell r="AA91">
            <v>2.9899000000000002E-3</v>
          </cell>
          <cell r="AB91">
            <v>5.8507000000000003E-3</v>
          </cell>
          <cell r="AC91">
            <v>3.7492999999999999E-4</v>
          </cell>
          <cell r="AD91">
            <v>7.1199999999999996E-3</v>
          </cell>
          <cell r="AE91">
            <v>4.3444E-3</v>
          </cell>
          <cell r="AF91">
            <v>4.5281000000000002E-2</v>
          </cell>
          <cell r="AG91">
            <v>0.17960000000000001</v>
          </cell>
          <cell r="AH91">
            <v>3.7673999999999999E-2</v>
          </cell>
        </row>
        <row r="133">
          <cell r="D133">
            <v>5.0429000000000004</v>
          </cell>
          <cell r="M133">
            <v>72.516837530000004</v>
          </cell>
          <cell r="N133">
            <v>0.36879000000000001</v>
          </cell>
          <cell r="O133">
            <v>4.6026999999999996</v>
          </cell>
          <cell r="P133">
            <v>1.3364</v>
          </cell>
          <cell r="Q133">
            <v>4.9623999999999997</v>
          </cell>
          <cell r="R133">
            <v>0.1462</v>
          </cell>
          <cell r="S133">
            <v>12489</v>
          </cell>
          <cell r="T133">
            <v>0.46650000000000003</v>
          </cell>
          <cell r="U133">
            <v>6530.1</v>
          </cell>
          <cell r="V133">
            <v>3.0044000000000001E-2</v>
          </cell>
          <cell r="W133">
            <v>47.875</v>
          </cell>
          <cell r="X133">
            <v>1.9903999999999998E-3</v>
          </cell>
          <cell r="Y133">
            <v>3.0008000000000002E-7</v>
          </cell>
          <cell r="Z133">
            <v>0.14541000000000001</v>
          </cell>
          <cell r="AA133">
            <v>9.3449000000000004E-2</v>
          </cell>
          <cell r="AB133">
            <v>0.48734</v>
          </cell>
          <cell r="AC133">
            <v>0.61521000000000003</v>
          </cell>
          <cell r="AD133">
            <v>0.43630999999999998</v>
          </cell>
          <cell r="AE133">
            <v>0.16158</v>
          </cell>
          <cell r="AF133">
            <v>2.3043</v>
          </cell>
          <cell r="AG133">
            <v>85.805999999999997</v>
          </cell>
          <cell r="AH133">
            <v>2.3824999999999998</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6">
          <cell r="P26">
            <v>81.665404808643643</v>
          </cell>
          <cell r="Y26">
            <v>1446.6424002801964</v>
          </cell>
          <cell r="Z26">
            <v>1.3692179816810384</v>
          </cell>
          <cell r="AA26">
            <v>76.707040101384948</v>
          </cell>
          <cell r="AB26">
            <v>33.561721051357537</v>
          </cell>
          <cell r="AC26">
            <v>0.35568752372530332</v>
          </cell>
          <cell r="AD26">
            <v>2.704475601813779E-3</v>
          </cell>
          <cell r="AE26">
            <v>639.67448101392915</v>
          </cell>
          <cell r="AF26">
            <v>0.62446710490474078</v>
          </cell>
          <cell r="AG26">
            <v>219.82436527476648</v>
          </cell>
          <cell r="AH26">
            <v>7.5598486052884772E-2</v>
          </cell>
          <cell r="AI26">
            <v>0.43165765893700175</v>
          </cell>
          <cell r="AJ26">
            <v>1.3488754734245786E-2</v>
          </cell>
          <cell r="AK26">
            <v>1.4781877491518088E-4</v>
          </cell>
          <cell r="AL26">
            <v>8.9622580502144666E-2</v>
          </cell>
          <cell r="AM26">
            <v>0.28199200856559198</v>
          </cell>
          <cell r="AN26">
            <v>0.34025771519464187</v>
          </cell>
          <cell r="AO26">
            <v>1.5191694739669524E-2</v>
          </cell>
          <cell r="AP26">
            <v>0.10671875893842762</v>
          </cell>
          <cell r="AQ26">
            <v>0.38963274453124486</v>
          </cell>
          <cell r="AR26">
            <v>2.5744651778326957</v>
          </cell>
          <cell r="AS26">
            <v>7.2256215288857444</v>
          </cell>
          <cell r="AT26">
            <v>4.0444655893107164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0">
          <cell r="K20">
            <v>3619.4165229724927</v>
          </cell>
          <cell r="T20">
            <v>63759.161867241099</v>
          </cell>
          <cell r="U20">
            <v>31.840377212503398</v>
          </cell>
          <cell r="V20">
            <v>3415.5341252106105</v>
          </cell>
          <cell r="W20">
            <v>1504.8676850939303</v>
          </cell>
          <cell r="X20">
            <v>14.971837215344118</v>
          </cell>
          <cell r="Y20">
            <v>9.9188951698497854E-2</v>
          </cell>
          <cell r="Z20">
            <v>28479.24452442132</v>
          </cell>
          <cell r="AA20">
            <v>23.242815202118681</v>
          </cell>
          <cell r="AB20">
            <v>9591.6896222264804</v>
          </cell>
          <cell r="AC20">
            <v>3.1379267584118589</v>
          </cell>
          <cell r="AD20">
            <v>16.202766300404043</v>
          </cell>
          <cell r="AE20">
            <v>0.56292328992403973</v>
          </cell>
          <cell r="AF20">
            <v>3.0438648131477213E-4</v>
          </cell>
          <cell r="AG20">
            <v>3.851403574106639</v>
          </cell>
          <cell r="AH20">
            <v>10.26482617192319</v>
          </cell>
          <cell r="AI20">
            <v>14.816150072128218</v>
          </cell>
          <cell r="AJ20">
            <v>0.32738281630246646</v>
          </cell>
          <cell r="AK20">
            <v>2.1808609132535546</v>
          </cell>
          <cell r="AL20">
            <v>0.49193378894652123</v>
          </cell>
          <cell r="AM20">
            <v>101.31825938616946</v>
          </cell>
          <cell r="AN20">
            <v>321.15289678402326</v>
          </cell>
          <cell r="AO20">
            <v>181.20280974080879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2">
          <cell r="P22">
            <v>3.8500270966288177</v>
          </cell>
          <cell r="Y22">
            <v>50.481588540475641</v>
          </cell>
          <cell r="Z22">
            <v>1.1414143288941561</v>
          </cell>
          <cell r="AA22">
            <v>3.5367107854779132</v>
          </cell>
          <cell r="AB22">
            <v>0.91536753821531702</v>
          </cell>
          <cell r="AC22">
            <v>8.7165002729624477E-2</v>
          </cell>
          <cell r="AD22">
            <v>2.6065481838007604E-3</v>
          </cell>
          <cell r="AE22">
            <v>235.173374582939</v>
          </cell>
          <cell r="AF22">
            <v>0.20365425206538271</v>
          </cell>
          <cell r="AG22">
            <v>101.18297225252564</v>
          </cell>
          <cell r="AH22">
            <v>7.1443014135777159E-3</v>
          </cell>
          <cell r="AI22">
            <v>1.1135693836009284</v>
          </cell>
          <cell r="AJ22">
            <v>5.7698403626534349E-4</v>
          </cell>
          <cell r="AK22">
            <v>3.5068350443499273E-7</v>
          </cell>
          <cell r="AL22">
            <v>1.9455360691902179E-2</v>
          </cell>
          <cell r="AM22">
            <v>4.8956977259526725E-2</v>
          </cell>
          <cell r="AN22">
            <v>5.9582597279202475E-2</v>
          </cell>
          <cell r="AO22">
            <v>5.0805198933465056E-3</v>
          </cell>
          <cell r="AP22">
            <v>4.3553058494069478E-2</v>
          </cell>
          <cell r="AQ22">
            <v>1.8628923628353774E-2</v>
          </cell>
          <cell r="AR22">
            <v>0.1951487691440901</v>
          </cell>
          <cell r="AS22">
            <v>1.7707323806433657</v>
          </cell>
          <cell r="AT22">
            <v>0.16145696265227133</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ory"/>
    </sheetNames>
    <sheetDataSet>
      <sheetData sheetId="0">
        <row r="37">
          <cell r="AZ37">
            <v>44.411730993196358</v>
          </cell>
          <cell r="BA37">
            <v>696.68224470958626</v>
          </cell>
          <cell r="BB37">
            <v>3.6806699140222356</v>
          </cell>
          <cell r="BC37">
            <v>37.710629473481568</v>
          </cell>
          <cell r="BD37">
            <v>14.96767734166526</v>
          </cell>
          <cell r="BE37">
            <v>2.1711415769761628</v>
          </cell>
          <cell r="BF37">
            <v>4.1372565220983183E-2</v>
          </cell>
          <cell r="BG37">
            <v>1859.5106856355687</v>
          </cell>
          <cell r="BH37">
            <v>2.0250794512725352</v>
          </cell>
          <cell r="BI37">
            <v>1528.7835608210237</v>
          </cell>
          <cell r="BJ37">
            <v>4.5267001206842225E-2</v>
          </cell>
          <cell r="BK37">
            <v>1.3527509012407135</v>
          </cell>
          <cell r="BL37">
            <v>6.3269573012995871E-3</v>
          </cell>
          <cell r="BM37">
            <v>5.2828318677713405E-6</v>
          </cell>
          <cell r="BN37">
            <v>9.0331570435414718E-2</v>
          </cell>
          <cell r="BO37">
            <v>0.13230009305618093</v>
          </cell>
          <cell r="BP37">
            <v>0.28418680101475047</v>
          </cell>
          <cell r="BQ37">
            <v>3.5106726735657727E-2</v>
          </cell>
          <cell r="BR37">
            <v>0.35671015815232626</v>
          </cell>
          <cell r="BS37">
            <v>9.0768947753529394E-2</v>
          </cell>
          <cell r="BT37">
            <v>1.7668420917082541</v>
          </cell>
          <cell r="BU37">
            <v>14.246940611958491</v>
          </cell>
          <cell r="BV37">
            <v>1.8575517807778932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S84"/>
  <sheetViews>
    <sheetView zoomScaleNormal="100" workbookViewId="0">
      <selection activeCell="B10" sqref="B10"/>
    </sheetView>
  </sheetViews>
  <sheetFormatPr defaultRowHeight="15"/>
  <cols>
    <col min="1" max="1" width="41.7109375" customWidth="1"/>
    <col min="2" max="2" width="17.140625" style="4" customWidth="1"/>
    <col min="3" max="3" width="23" style="4" customWidth="1"/>
    <col min="4" max="5" width="14.85546875" style="4" customWidth="1"/>
    <col min="6" max="6" width="14.28515625" style="29" customWidth="1"/>
    <col min="7" max="7" width="40.140625" customWidth="1"/>
    <col min="8" max="8" width="17.5703125" hidden="1" customWidth="1"/>
    <col min="9" max="16" width="9.140625" hidden="1" customWidth="1"/>
    <col min="17" max="17" width="9.5703125" hidden="1" customWidth="1"/>
    <col min="18" max="18" width="9.7109375" hidden="1" customWidth="1"/>
    <col min="19" max="19" width="22" customWidth="1"/>
    <col min="20" max="20" width="17.5703125" customWidth="1"/>
    <col min="21" max="21" width="20" style="40" customWidth="1"/>
    <col min="22" max="22" width="28.7109375" style="40" customWidth="1"/>
    <col min="23" max="43" width="18.28515625" style="40" customWidth="1"/>
    <col min="44" max="45" width="12.7109375" customWidth="1"/>
  </cols>
  <sheetData>
    <row r="1" spans="1:44" ht="15.75" thickBot="1">
      <c r="A1" s="82" t="s">
        <v>159</v>
      </c>
      <c r="B1" s="83" t="s">
        <v>160</v>
      </c>
      <c r="C1" s="84" t="s">
        <v>161</v>
      </c>
    </row>
    <row r="2" spans="1:44">
      <c r="A2" s="85" t="s">
        <v>162</v>
      </c>
      <c r="B2" s="86">
        <v>0.9</v>
      </c>
      <c r="C2" s="87" t="s">
        <v>163</v>
      </c>
    </row>
    <row r="3" spans="1:44">
      <c r="A3" s="88" t="s">
        <v>164</v>
      </c>
      <c r="B3" s="89">
        <v>0.95</v>
      </c>
      <c r="C3" s="90" t="s">
        <v>163</v>
      </c>
    </row>
    <row r="4" spans="1:44">
      <c r="A4" s="91" t="s">
        <v>165</v>
      </c>
      <c r="B4" s="89">
        <v>1</v>
      </c>
      <c r="C4" s="92" t="s">
        <v>166</v>
      </c>
    </row>
    <row r="5" spans="1:44">
      <c r="A5" s="91" t="s">
        <v>173</v>
      </c>
      <c r="B5" s="89">
        <v>1</v>
      </c>
      <c r="C5" s="92" t="s">
        <v>166</v>
      </c>
    </row>
    <row r="6" spans="1:44">
      <c r="A6" s="91" t="s">
        <v>168</v>
      </c>
      <c r="B6" s="89">
        <v>1</v>
      </c>
      <c r="C6" s="92" t="s">
        <v>166</v>
      </c>
    </row>
    <row r="7" spans="1:44">
      <c r="A7" s="91" t="s">
        <v>167</v>
      </c>
      <c r="B7" s="89">
        <v>1</v>
      </c>
      <c r="C7" s="92" t="s">
        <v>166</v>
      </c>
    </row>
    <row r="8" spans="1:44">
      <c r="A8" s="91" t="s">
        <v>169</v>
      </c>
      <c r="B8" s="89">
        <v>1</v>
      </c>
      <c r="C8" s="92" t="s">
        <v>166</v>
      </c>
    </row>
    <row r="9" spans="1:44">
      <c r="A9" s="91" t="s">
        <v>170</v>
      </c>
      <c r="B9" s="89">
        <v>1</v>
      </c>
      <c r="C9" s="92" t="s">
        <v>166</v>
      </c>
    </row>
    <row r="10" spans="1:44" ht="15.75" thickBot="1">
      <c r="A10" s="93" t="s">
        <v>171</v>
      </c>
      <c r="B10" s="94">
        <v>0.8</v>
      </c>
      <c r="C10" s="95" t="s">
        <v>172</v>
      </c>
    </row>
    <row r="12" spans="1:44" s="3" customFormat="1" ht="30.75" customHeight="1">
      <c r="A12" s="5" t="s">
        <v>147</v>
      </c>
      <c r="B12" s="6" t="s">
        <v>0</v>
      </c>
      <c r="C12" s="6" t="s">
        <v>1</v>
      </c>
      <c r="D12" s="6" t="s">
        <v>2</v>
      </c>
      <c r="E12" s="6" t="s">
        <v>3</v>
      </c>
      <c r="F12" s="26" t="s">
        <v>4</v>
      </c>
      <c r="G12" s="112" t="s">
        <v>5</v>
      </c>
      <c r="H12" s="112"/>
      <c r="S12" s="47"/>
      <c r="T12" s="47"/>
      <c r="U12" s="47"/>
      <c r="V12" s="47"/>
      <c r="W12" s="113" t="s">
        <v>44</v>
      </c>
      <c r="X12" s="113"/>
      <c r="Y12" s="113"/>
      <c r="Z12" s="113"/>
      <c r="AA12" s="113"/>
      <c r="AB12" s="113"/>
      <c r="AC12" s="113"/>
      <c r="AD12" s="113"/>
      <c r="AE12" s="113"/>
      <c r="AF12" s="113"/>
      <c r="AG12" s="113"/>
      <c r="AH12" s="113"/>
      <c r="AI12" s="113"/>
      <c r="AJ12" s="113"/>
      <c r="AK12" s="113"/>
      <c r="AL12" s="113"/>
      <c r="AM12" s="113"/>
      <c r="AN12" s="113"/>
      <c r="AO12" s="114" t="s">
        <v>45</v>
      </c>
      <c r="AP12" s="114"/>
      <c r="AQ12" s="114"/>
    </row>
    <row r="13" spans="1:44">
      <c r="A13" s="7" t="s">
        <v>6</v>
      </c>
      <c r="B13" s="2"/>
      <c r="C13" s="2"/>
      <c r="D13" s="2"/>
      <c r="E13" s="2"/>
      <c r="F13" s="27"/>
      <c r="G13" s="1"/>
      <c r="H13" s="1"/>
      <c r="S13" s="44"/>
      <c r="T13" s="44"/>
      <c r="U13" s="44" t="s">
        <v>42</v>
      </c>
      <c r="V13" s="44" t="s">
        <v>43</v>
      </c>
      <c r="W13" s="45" t="s">
        <v>46</v>
      </c>
      <c r="X13" s="45" t="s">
        <v>47</v>
      </c>
      <c r="Y13" s="45" t="s">
        <v>48</v>
      </c>
      <c r="Z13" s="45" t="s">
        <v>49</v>
      </c>
      <c r="AA13" s="45" t="s">
        <v>50</v>
      </c>
      <c r="AB13" s="45" t="s">
        <v>51</v>
      </c>
      <c r="AC13" s="45" t="s">
        <v>52</v>
      </c>
      <c r="AD13" s="45" t="s">
        <v>53</v>
      </c>
      <c r="AE13" s="45" t="s">
        <v>54</v>
      </c>
      <c r="AF13" s="45" t="s">
        <v>55</v>
      </c>
      <c r="AG13" s="45" t="s">
        <v>56</v>
      </c>
      <c r="AH13" s="45" t="s">
        <v>57</v>
      </c>
      <c r="AI13" s="45" t="s">
        <v>58</v>
      </c>
      <c r="AJ13" s="45" t="s">
        <v>59</v>
      </c>
      <c r="AK13" s="45" t="s">
        <v>60</v>
      </c>
      <c r="AL13" s="45" t="s">
        <v>61</v>
      </c>
      <c r="AM13" s="45" t="s">
        <v>62</v>
      </c>
      <c r="AN13" s="45" t="s">
        <v>63</v>
      </c>
      <c r="AO13" s="46" t="s">
        <v>64</v>
      </c>
      <c r="AP13" s="46" t="s">
        <v>65</v>
      </c>
      <c r="AQ13" s="46" t="s">
        <v>66</v>
      </c>
    </row>
    <row r="14" spans="1:44">
      <c r="A14" s="24" t="s">
        <v>7</v>
      </c>
      <c r="B14" s="2" t="s">
        <v>8</v>
      </c>
      <c r="C14" s="2">
        <v>1</v>
      </c>
      <c r="D14" s="2" t="s">
        <v>8</v>
      </c>
      <c r="E14" s="2">
        <v>1</v>
      </c>
      <c r="F14" s="27">
        <f>5.04/E14*(1-B2)</f>
        <v>0.50399999999999989</v>
      </c>
      <c r="G14" s="1" t="s">
        <v>9</v>
      </c>
      <c r="H14" s="1"/>
      <c r="R14" t="s">
        <v>7</v>
      </c>
      <c r="S14" t="s">
        <v>7</v>
      </c>
      <c r="T14" s="10">
        <f>F14</f>
        <v>0.50399999999999989</v>
      </c>
      <c r="U14" s="34">
        <f>$T$14*'[1]FTO glass'!D41</f>
        <v>0.34780676817599987</v>
      </c>
      <c r="V14" s="35">
        <f>$T$14*'[1]FTO glass'!M41</f>
        <v>8.5029036949120105</v>
      </c>
      <c r="W14" s="34">
        <f>$T$14*'[1]FTO glass'!N41</f>
        <v>0.62012667171671987</v>
      </c>
      <c r="X14" s="34">
        <f>$T$14*'[1]FTO glass'!O41</f>
        <v>0.35862291309599986</v>
      </c>
      <c r="Y14" s="34">
        <f>$T$14*'[1]FTO glass'!P41</f>
        <v>8.3657114503199972E-2</v>
      </c>
      <c r="Z14" s="34">
        <f>$T$14*'[1]FTO glass'!Q41</f>
        <v>9.6806916922641852E-3</v>
      </c>
      <c r="AA14" s="34">
        <f>$T$14*'[1]FTO glass'!R41</f>
        <v>2.0273180159735994E-4</v>
      </c>
      <c r="AB14" s="34">
        <f>$T$14*'[1]FTO glass'!S41</f>
        <v>12.488415725309689</v>
      </c>
      <c r="AC14" s="34">
        <f>$T$14*'[1]FTO glass'!T41</f>
        <v>2.1998732374079993E-2</v>
      </c>
      <c r="AD14" s="34">
        <f>$T$14*'[1]FTO glass'!U41</f>
        <v>8.8426822169151311</v>
      </c>
      <c r="AE14" s="34">
        <f>$T$14*'[1]FTO glass'!V41</f>
        <v>1.0613301240527996E-3</v>
      </c>
      <c r="AF14" s="34">
        <f>$T$14*'[1]FTO glass'!W41</f>
        <v>3.7727846160631189</v>
      </c>
      <c r="AG14" s="34">
        <f>$T$14*'[1]FTO glass'!X41</f>
        <v>2.6633363931215991E-4</v>
      </c>
      <c r="AH14" s="34">
        <f>$T$14*'[1]FTO glass'!Y41</f>
        <v>2.258871789887999E-8</v>
      </c>
      <c r="AI14" s="34">
        <f>$T$14*'[1]FTO glass'!Z41</f>
        <v>3.1256384650847993E-3</v>
      </c>
      <c r="AJ14" s="34">
        <f>$T$14*'[1]FTO glass'!AA41</f>
        <v>4.8130512783804954E-3</v>
      </c>
      <c r="AK14" s="34">
        <f>$T$14*'[1]FTO glass'!AB41</f>
        <v>6.2621029628639989E-3</v>
      </c>
      <c r="AL14" s="34">
        <f>$T$14*'[1]FTO glass'!AC41</f>
        <v>7.4279348593848395E-4</v>
      </c>
      <c r="AM14" s="34">
        <f>$T$14*'[1]FTO glass'!AD41</f>
        <v>1.4772324234023996E-2</v>
      </c>
      <c r="AN14" s="34">
        <f>$T$14*'[1]FTO glass'!AE41</f>
        <v>7.7349191552639966E-4</v>
      </c>
      <c r="AO14" s="34">
        <f>$T$14*'[1]FTO glass'!AF41</f>
        <v>5.0998414695703549E-2</v>
      </c>
      <c r="AP14" s="34">
        <f>$T$14*'[1]FTO glass'!AG41</f>
        <v>0.10265223189718113</v>
      </c>
      <c r="AQ14" s="34">
        <f>$T$14*'[1]FTO glass'!AH41</f>
        <v>0.18519365587967995</v>
      </c>
      <c r="AR14" s="10"/>
    </row>
    <row r="15" spans="1:44">
      <c r="A15" s="24" t="s">
        <v>10</v>
      </c>
      <c r="B15" s="2" t="s">
        <v>8</v>
      </c>
      <c r="C15" s="2" t="s">
        <v>8</v>
      </c>
      <c r="D15" s="2" t="s">
        <v>8</v>
      </c>
      <c r="E15" s="2">
        <v>1</v>
      </c>
      <c r="F15" s="27">
        <f>0.02577/E15*(1-B2)</f>
        <v>2.5769999999999994E-3</v>
      </c>
      <c r="G15" s="1" t="s">
        <v>11</v>
      </c>
      <c r="H15" s="1"/>
      <c r="R15" t="s">
        <v>10</v>
      </c>
      <c r="S15" t="s">
        <v>10</v>
      </c>
      <c r="T15" s="10">
        <f>F15+F19+F23</f>
        <v>5.1555381818181806E-3</v>
      </c>
      <c r="U15" s="34">
        <f>$T$15*[2]production!D54</f>
        <v>7.2156912392727255E-3</v>
      </c>
      <c r="V15" s="35">
        <f>$T$15*[2]production!M54</f>
        <v>0.21438001693484721</v>
      </c>
      <c r="W15" s="34">
        <f>$T$15*[2]production!N54</f>
        <v>5.7504872879999983E-3</v>
      </c>
      <c r="X15" s="34">
        <f>$T$15*[2]production!O54</f>
        <v>6.2830543821818163E-3</v>
      </c>
      <c r="Y15" s="34">
        <f>$T$15*[2]production!P54</f>
        <v>1.7673700441090906E-3</v>
      </c>
      <c r="Z15" s="34">
        <f>$T$15*[2]production!Q54</f>
        <v>1.759378959927272E-4</v>
      </c>
      <c r="AA15" s="34">
        <f>$T$15*[2]production!R54</f>
        <v>2.9269536919636359E-6</v>
      </c>
      <c r="AB15" s="34">
        <f>$T$15*[2]production!S54</f>
        <v>8.6190287323636344E-2</v>
      </c>
      <c r="AC15" s="34">
        <f>$T$15*[2]production!T54</f>
        <v>4.4879990980363629E-4</v>
      </c>
      <c r="AD15" s="34">
        <f>$T$15*[2]production!U54</f>
        <v>6.9249188858181807E-2</v>
      </c>
      <c r="AE15" s="34">
        <f>$T$15*[2]production!V54</f>
        <v>3.2176744900363626E-5</v>
      </c>
      <c r="AF15" s="34">
        <f>$T$15*[2]production!W54</f>
        <v>2.8078092045818179E-4</v>
      </c>
      <c r="AG15" s="34">
        <f>$T$15*[2]production!X54</f>
        <v>5.4174395214545438E-6</v>
      </c>
      <c r="AH15" s="34">
        <f>$T$15*[2]production!Y54</f>
        <v>4.5871400972727265E-10</v>
      </c>
      <c r="AI15" s="34">
        <f>$T$15*[2]production!Z54</f>
        <v>2.0192696396727271E-5</v>
      </c>
      <c r="AJ15" s="34">
        <f>$T$15*[2]production!AA54</f>
        <v>2.1193901911636357E-5</v>
      </c>
      <c r="AK15" s="34">
        <f>$T$15*[2]production!AB54</f>
        <v>6.632599870909089E-5</v>
      </c>
      <c r="AL15" s="34">
        <f>$T$15*[2]production!AC54</f>
        <v>4.2347590625454543E-5</v>
      </c>
      <c r="AM15" s="34">
        <f>$T$15*[2]production!AD54</f>
        <v>3.0819291697090903E-4</v>
      </c>
      <c r="AN15" s="34">
        <f>$T$15*[2]production!AE54</f>
        <v>1.926573063163636E-3</v>
      </c>
      <c r="AO15" s="34">
        <f>$T$15*[2]production!AF54</f>
        <v>1.7603585121818176E-3</v>
      </c>
      <c r="AP15" s="34">
        <f>$T$15*[2]production!AG54</f>
        <v>8.499935800363634E-4</v>
      </c>
      <c r="AQ15" s="34">
        <f>$T$15*[2]production!AH54</f>
        <v>2.2494644194909083E-4</v>
      </c>
      <c r="AR15" s="10"/>
    </row>
    <row r="16" spans="1:44">
      <c r="A16" s="79" t="s">
        <v>157</v>
      </c>
      <c r="B16" s="80" t="s">
        <v>8</v>
      </c>
      <c r="C16" s="80" t="s">
        <v>8</v>
      </c>
      <c r="D16" s="80" t="s">
        <v>8</v>
      </c>
      <c r="E16" s="80">
        <v>1</v>
      </c>
      <c r="F16" s="81">
        <f>0.0000147*10000*(1-B2)</f>
        <v>1.4699999999999996E-2</v>
      </c>
      <c r="G16" s="1"/>
      <c r="H16" s="1"/>
      <c r="R16" t="s">
        <v>12</v>
      </c>
      <c r="S16" t="s">
        <v>157</v>
      </c>
      <c r="T16" s="10">
        <f>F16</f>
        <v>1.4699999999999996E-2</v>
      </c>
      <c r="U16" s="34">
        <f>$T$16*[3]production!D67</f>
        <v>3.4079009999999986E-2</v>
      </c>
      <c r="V16" s="34">
        <f>$T$16*[3]production!M67</f>
        <v>0.99018946488503967</v>
      </c>
      <c r="W16" s="34">
        <f>$T$16*[3]production!N67</f>
        <v>5.6080499999999988E-6</v>
      </c>
      <c r="X16" s="34">
        <f>$T$16*[3]production!O67</f>
        <v>2.837393999999999E-2</v>
      </c>
      <c r="Y16" s="34">
        <f>$T$16*[3]production!P67</f>
        <v>2.2695329999999996E-2</v>
      </c>
      <c r="Z16" s="34">
        <f>$T$16*[3]production!Q67</f>
        <v>2.3971289999999993E-4</v>
      </c>
      <c r="AA16" s="34">
        <f>$T$16*[3]production!R67</f>
        <v>2.2865849999999996E-6</v>
      </c>
      <c r="AB16" s="34">
        <f>$T$16*[3]production!S67</f>
        <v>1.5627569999999993E-2</v>
      </c>
      <c r="AC16" s="34">
        <f>$T$16*[3]production!T67</f>
        <v>4.5440639999999993E-6</v>
      </c>
      <c r="AD16" s="34">
        <f>$T$16*[3]production!U67</f>
        <v>3.0793559999999994E-2</v>
      </c>
      <c r="AE16" s="34">
        <f>$T$16*[3]production!V67</f>
        <v>2.6558489999999992E-5</v>
      </c>
      <c r="AF16" s="34">
        <f>$T$16*[3]production!W67</f>
        <v>1.8285329999999995E-5</v>
      </c>
      <c r="AG16" s="34">
        <f>$T$16*[3]production!X67</f>
        <v>-2.7587489999999995E-9</v>
      </c>
      <c r="AH16" s="34">
        <f>$T$16*[3]production!Y67</f>
        <v>1.4048348999999998E-11</v>
      </c>
      <c r="AI16" s="34">
        <f>$T$16*[3]production!Z67</f>
        <v>4.1117369999999985E-5</v>
      </c>
      <c r="AJ16" s="34">
        <f>$T$16*[3]production!AA67</f>
        <v>1.3320110999999997E-4</v>
      </c>
      <c r="AK16" s="34">
        <f>$T$16*[3]production!AB67</f>
        <v>1.4946959999999996E-4</v>
      </c>
      <c r="AL16" s="34">
        <f>$T$16*[3]production!AC67</f>
        <v>2.6371799999999994E-6</v>
      </c>
      <c r="AM16" s="34">
        <f>$T$16*[3]production!AD67</f>
        <v>2.4241769999999992E-6</v>
      </c>
      <c r="AN16" s="34">
        <f>$T$16*[3]production!AE67</f>
        <v>2.0306579999999996E-6</v>
      </c>
      <c r="AO16" s="34">
        <f>$T$16*[3]production!AF67</f>
        <v>7.851122999999998E-4</v>
      </c>
      <c r="AP16" s="34">
        <f>$T$16*[3]production!AG67</f>
        <v>1.2213200999999997E-3</v>
      </c>
      <c r="AQ16" s="34">
        <f>$T$16*[3]production!AH67</f>
        <v>2.7224399999999991E-3</v>
      </c>
      <c r="AR16" s="10"/>
    </row>
    <row r="17" spans="1:44">
      <c r="A17" s="25" t="s">
        <v>13</v>
      </c>
      <c r="B17" s="2"/>
      <c r="C17" s="2"/>
      <c r="D17" s="2"/>
      <c r="E17" s="2"/>
      <c r="F17" s="27"/>
      <c r="G17" s="1"/>
      <c r="H17" s="1"/>
      <c r="R17" t="s">
        <v>14</v>
      </c>
      <c r="S17" t="s">
        <v>12</v>
      </c>
      <c r="T17" s="10">
        <f>F20</f>
        <v>3.2659999999999994E-3</v>
      </c>
      <c r="U17" s="34">
        <f>$T$17*[2]production!D74</f>
        <v>5.6916581999999992E-6</v>
      </c>
      <c r="V17" s="35">
        <f>$T$17*[2]production!M74</f>
        <v>7.8310930304559991E-5</v>
      </c>
      <c r="W17" s="34">
        <f>$T$17*[2]production!N74</f>
        <v>2.6201811599999996E-7</v>
      </c>
      <c r="X17" s="34">
        <f>$T$17*[2]production!O74</f>
        <v>5.2353979999999994E-6</v>
      </c>
      <c r="Y17" s="34">
        <f>$T$17*[2]production!P74</f>
        <v>1.5059199399999998E-6</v>
      </c>
      <c r="Z17" s="34">
        <f>$T$17*[2]production!Q74</f>
        <v>7.8478713999999979E-8</v>
      </c>
      <c r="AA17" s="34">
        <f>$T$17*[2]production!R74</f>
        <v>2.7811622999999994E-9</v>
      </c>
      <c r="AB17" s="34">
        <f>$T$17*[2]production!S74</f>
        <v>1.0406129199999999E-4</v>
      </c>
      <c r="AC17" s="34">
        <f>$T$17*[2]production!T74</f>
        <v>5.6795739999999984E-7</v>
      </c>
      <c r="AD17" s="34">
        <f>$T$17*[2]production!U74</f>
        <v>8.9367557999999979E-5</v>
      </c>
      <c r="AE17" s="34">
        <f>$T$17*[2]production!V74</f>
        <v>5.6067421999999991E-9</v>
      </c>
      <c r="AF17" s="34">
        <f>$T$17*[2]production!W74</f>
        <v>3.7415295999999994E-7</v>
      </c>
      <c r="AG17" s="34">
        <f>$T$17*[2]production!X74</f>
        <v>7.2221057999999982E-10</v>
      </c>
      <c r="AH17" s="34">
        <f>$T$17*[2]production!Y74</f>
        <v>2.3853884199999994E-12</v>
      </c>
      <c r="AI17" s="34">
        <f>$T$17*[2]production!Z74</f>
        <v>1.8625997999999997E-8</v>
      </c>
      <c r="AJ17" s="34">
        <f>$T$17*[2]production!AA74</f>
        <v>1.6017770399999998E-8</v>
      </c>
      <c r="AK17" s="34">
        <f>$T$17*[2]production!AB74</f>
        <v>2.8821796799999996E-8</v>
      </c>
      <c r="AL17" s="34">
        <f>$T$17*[2]production!AC74</f>
        <v>4.6543765999999991E-9</v>
      </c>
      <c r="AM17" s="34">
        <f>$T$17*[2]production!AD74</f>
        <v>4.984569199999999E-8</v>
      </c>
      <c r="AN17" s="34">
        <f>$T$17*[2]production!AE74</f>
        <v>4.2774801999999995E-6</v>
      </c>
      <c r="AO17" s="34">
        <f>$T$17*[2]production!AF74</f>
        <v>2.4529946199999996E-7</v>
      </c>
      <c r="AP17" s="34">
        <f>$T$17*[2]production!AG74</f>
        <v>9.3691741999999985E-7</v>
      </c>
      <c r="AQ17" s="34">
        <f>$T$17*[2]production!AH74</f>
        <v>1.9793919599999998E-7</v>
      </c>
      <c r="AR17" s="10"/>
    </row>
    <row r="18" spans="1:44">
      <c r="A18" s="24" t="s">
        <v>14</v>
      </c>
      <c r="B18" s="2">
        <v>30</v>
      </c>
      <c r="C18" s="2">
        <v>0.8</v>
      </c>
      <c r="D18" s="2">
        <v>4230</v>
      </c>
      <c r="E18" s="2">
        <v>0.8</v>
      </c>
      <c r="F18" s="28">
        <f>B18/1000000000*C18*D18/E18/80*190/0.0481*1*(1-B2)</f>
        <v>6.2658523908523894E-4</v>
      </c>
      <c r="G18" s="1"/>
      <c r="H18" s="1" t="s">
        <v>15</v>
      </c>
      <c r="R18" t="s">
        <v>24</v>
      </c>
      <c r="S18" t="s">
        <v>143</v>
      </c>
      <c r="T18" s="10">
        <f>F18</f>
        <v>6.2658523908523894E-4</v>
      </c>
      <c r="U18" s="34">
        <f>$T$18*'[1]BL-TiO2 ink'!D14</f>
        <v>1.1382696060619048E-3</v>
      </c>
      <c r="V18" s="35">
        <f>$T$18*'[1]BL-TiO2 ink'!M14</f>
        <v>3.0850478127392843E-2</v>
      </c>
      <c r="W18" s="34">
        <f>$T$18*'[1]BL-TiO2 ink'!N14</f>
        <v>6.465997167240643E-4</v>
      </c>
      <c r="X18" s="34">
        <f>$T$18*'[1]BL-TiO2 ink'!O14</f>
        <v>9.8479087771756414E-4</v>
      </c>
      <c r="Y18" s="34">
        <f>$T$18*'[1]BL-TiO2 ink'!P14</f>
        <v>3.5372467665277003E-4</v>
      </c>
      <c r="Z18" s="34">
        <f>$T$18*'[1]BL-TiO2 ink'!Q14</f>
        <v>2.2864622249697186E-5</v>
      </c>
      <c r="AA18" s="34">
        <f>$T$18*'[1]BL-TiO2 ink'!R14</f>
        <v>4.2458919071740487E-7</v>
      </c>
      <c r="AB18" s="34">
        <f>$T$18*'[1]BL-TiO2 ink'!S14</f>
        <v>1.3888320199636851E-2</v>
      </c>
      <c r="AC18" s="34">
        <f>$T$18*'[1]BL-TiO2 ink'!T14</f>
        <v>6.8913265818492119E-5</v>
      </c>
      <c r="AD18" s="34">
        <f>$T$18*'[1]BL-TiO2 ink'!U14</f>
        <v>1.1438640040011088E-2</v>
      </c>
      <c r="AE18" s="34">
        <f>$T$18*'[1]BL-TiO2 ink'!V14</f>
        <v>3.8159253975208464E-6</v>
      </c>
      <c r="AF18" s="34">
        <f>$T$18*'[1]BL-TiO2 ink'!W14</f>
        <v>4.3230118451272849E-5</v>
      </c>
      <c r="AG18" s="34">
        <f>$T$18*'[1]BL-TiO2 ink'!X14</f>
        <v>6.6950259316742463E-7</v>
      </c>
      <c r="AH18" s="34">
        <f>$T$18*'[1]BL-TiO2 ink'!Y14</f>
        <v>8.996424588865813E-11</v>
      </c>
      <c r="AI18" s="34">
        <f>$T$18*'[1]BL-TiO2 ink'!Z14</f>
        <v>2.86601958191203E-6</v>
      </c>
      <c r="AJ18" s="34">
        <f>$T$18*'[1]BL-TiO2 ink'!AA14</f>
        <v>3.6299825743541526E-6</v>
      </c>
      <c r="AK18" s="34">
        <f>$T$18*'[1]BL-TiO2 ink'!AB14</f>
        <v>8.8683553174177229E-6</v>
      </c>
      <c r="AL18" s="34">
        <f>$T$18*'[1]BL-TiO2 ink'!AC14</f>
        <v>4.8480218686207152E-6</v>
      </c>
      <c r="AM18" s="34">
        <f>$T$18*'[1]BL-TiO2 ink'!AD14</f>
        <v>3.7022002610745251E-5</v>
      </c>
      <c r="AN18" s="34">
        <f>$T$18*'[1]BL-TiO2 ink'!AE14</f>
        <v>2.1409541679039197E-4</v>
      </c>
      <c r="AO18" s="34">
        <f>$T$18*'[1]BL-TiO2 ink'!AF14</f>
        <v>2.0611854805588134E-4</v>
      </c>
      <c r="AP18" s="34">
        <f>$T$18*'[1]BL-TiO2 ink'!AG14</f>
        <v>1.3517494462587468E-4</v>
      </c>
      <c r="AQ18" s="34">
        <f>$T$18*'[1]BL-TiO2 ink'!AH14</f>
        <v>4.4873785176380594E-5</v>
      </c>
      <c r="AR18" s="10"/>
    </row>
    <row r="19" spans="1:44">
      <c r="A19" s="24" t="s">
        <v>10</v>
      </c>
      <c r="B19" s="2" t="s">
        <v>8</v>
      </c>
      <c r="C19" s="2" t="s">
        <v>8</v>
      </c>
      <c r="D19" s="2" t="s">
        <v>8</v>
      </c>
      <c r="E19" s="2">
        <v>1</v>
      </c>
      <c r="F19" s="27">
        <f>F15</f>
        <v>2.5769999999999994E-3</v>
      </c>
      <c r="G19" s="1" t="s">
        <v>11</v>
      </c>
      <c r="R19" t="s">
        <v>33</v>
      </c>
      <c r="S19" t="s">
        <v>144</v>
      </c>
      <c r="T19" s="10">
        <f>F22</f>
        <v>8.4599999999999983E-5</v>
      </c>
      <c r="U19" s="34">
        <f>$T$19*[2]production!D89</f>
        <v>7.2734003999999988E-4</v>
      </c>
      <c r="V19" s="35">
        <f>$T$19*[2]production!M89</f>
        <v>7.801623139805999E-3</v>
      </c>
      <c r="W19" s="34">
        <f>$T$19*[2]production!N89</f>
        <v>3.1155641999999992E-5</v>
      </c>
      <c r="X19" s="34">
        <f>$T$19*[2]production!O89</f>
        <v>6.2847647999999981E-4</v>
      </c>
      <c r="Y19" s="34">
        <f>$T$19*[2]production!P89</f>
        <v>1.5491951999999995E-4</v>
      </c>
      <c r="Z19" s="34">
        <f>$T$19*[2]production!Q89</f>
        <v>1.1152817999999999E-5</v>
      </c>
      <c r="AA19" s="34">
        <f>$T$19*[2]production!R89</f>
        <v>2.8868903999999993E-7</v>
      </c>
      <c r="AB19" s="34">
        <f>$T$19*[2]production!S89</f>
        <v>1.0272131999999998E-2</v>
      </c>
      <c r="AC19" s="34">
        <f>$T$19*[2]production!T89</f>
        <v>3.9196871999999994E-5</v>
      </c>
      <c r="AD19" s="34">
        <f>$T$19*[2]production!U89</f>
        <v>1.2871889999999999E-2</v>
      </c>
      <c r="AE19" s="34">
        <f>$T$19*[2]production!V89</f>
        <v>6.6960053999999996E-7</v>
      </c>
      <c r="AF19" s="34">
        <f>$T$19*[2]production!W89</f>
        <v>1.9474919999999993E-5</v>
      </c>
      <c r="AG19" s="34">
        <f>$T$19*[2]production!X89</f>
        <v>1.4559659999999998E-7</v>
      </c>
      <c r="AH19" s="34">
        <f>$T$19*[2]production!Y89</f>
        <v>6.4409363999999982E-11</v>
      </c>
      <c r="AI19" s="34">
        <f>$T$19*[2]production!Z89</f>
        <v>1.6728803999999997E-6</v>
      </c>
      <c r="AJ19" s="34">
        <f>$T$19*[2]production!AA89</f>
        <v>2.4624521999999995E-6</v>
      </c>
      <c r="AK19" s="34">
        <f>$T$19*[2]production!AB89</f>
        <v>3.4735067999999991E-6</v>
      </c>
      <c r="AL19" s="34">
        <f>$T$19*[2]production!AC89</f>
        <v>3.6630107999999994E-7</v>
      </c>
      <c r="AM19" s="34">
        <f>$T$19*[2]production!AD89</f>
        <v>9.5513399999999989E-6</v>
      </c>
      <c r="AN19" s="34">
        <f>$T$19*[2]production!AE89</f>
        <v>6.6850919999999995E-6</v>
      </c>
      <c r="AO19" s="34">
        <f>$T$19*[2]production!AF89</f>
        <v>2.7770795999999994E-5</v>
      </c>
      <c r="AP19" s="34">
        <f>$T$19*[2]production!AG89</f>
        <v>9.5149619999999982E-5</v>
      </c>
      <c r="AQ19" s="34">
        <f>$T$19*[2]production!AH89</f>
        <v>2.1343733999999997E-5</v>
      </c>
      <c r="AR19" s="10"/>
    </row>
    <row r="20" spans="1:44">
      <c r="A20" s="24" t="s">
        <v>12</v>
      </c>
      <c r="B20" s="2" t="s">
        <v>8</v>
      </c>
      <c r="C20" s="2" t="s">
        <v>8</v>
      </c>
      <c r="D20" s="2" t="s">
        <v>8</v>
      </c>
      <c r="E20" s="2">
        <v>1</v>
      </c>
      <c r="F20" s="27">
        <f>0.03266/E20*(1-B2)</f>
        <v>3.2659999999999994E-3</v>
      </c>
      <c r="G20" s="1"/>
      <c r="R20" t="s">
        <v>18</v>
      </c>
      <c r="S20" t="s">
        <v>33</v>
      </c>
      <c r="T20" s="10">
        <f t="shared" ref="T20:T25" si="0">F25</f>
        <v>3.0886671274746612E-4</v>
      </c>
      <c r="U20" s="34">
        <f>$T$20*[4]Sheet1!P26</f>
        <v>2.5223725128436875E-2</v>
      </c>
      <c r="V20" s="35">
        <f>$T$20*[4]Sheet1!Y26</f>
        <v>0.44681968269564831</v>
      </c>
      <c r="W20" s="34">
        <f>$T$20*[4]Sheet1!Z26</f>
        <v>4.229058570365426E-4</v>
      </c>
      <c r="X20" s="34">
        <f>$T$20*[4]Sheet1!AA26</f>
        <v>2.369225132070283E-2</v>
      </c>
      <c r="Y20" s="34">
        <f>$T$20*[4]Sheet1!AB26</f>
        <v>1.0366098455280234E-2</v>
      </c>
      <c r="Z20" s="34">
        <f>$T$20*[4]Sheet1!AC26</f>
        <v>1.098600362183208E-4</v>
      </c>
      <c r="AA20" s="34">
        <f>$T$20*[4]Sheet1!AD26</f>
        <v>8.3532248883794705E-7</v>
      </c>
      <c r="AB20" s="34">
        <f>$T$20*[4]Sheet1!AE26</f>
        <v>0.19757415417921373</v>
      </c>
      <c r="AC20" s="34">
        <f>$T$20*[4]Sheet1!AF26</f>
        <v>1.9287710191085437E-4</v>
      </c>
      <c r="AD20" s="34">
        <f>$T$20*[4]Sheet1!AG26</f>
        <v>6.7896429084215365E-2</v>
      </c>
      <c r="AE20" s="34">
        <f>$T$20*[4]Sheet1!AH26</f>
        <v>2.3349855875839686E-5</v>
      </c>
      <c r="AF20" s="34">
        <f>$T$20*[4]Sheet1!AI26</f>
        <v>1.3332468214813863E-4</v>
      </c>
      <c r="AG20" s="34">
        <f>$T$20*[4]Sheet1!AJ26</f>
        <v>4.1662273338233168E-6</v>
      </c>
      <c r="AH20" s="34">
        <f>$T$20*[4]Sheet1!AK26</f>
        <v>4.5656299090409525E-8</v>
      </c>
      <c r="AI20" s="34">
        <f>$T$20*[4]Sheet1!AL26</f>
        <v>2.7681431827642575E-5</v>
      </c>
      <c r="AJ20" s="34">
        <f>$T$20*[4]Sheet1!AM26</f>
        <v>8.7097944706709707E-5</v>
      </c>
      <c r="AK20" s="34">
        <f>$T$20*[4]Sheet1!AN26</f>
        <v>1.0509428197913258E-4</v>
      </c>
      <c r="AL20" s="34">
        <f>$T$20*[4]Sheet1!AO26</f>
        <v>4.692208815304699E-6</v>
      </c>
      <c r="AM20" s="34">
        <f>$T$20*[4]Sheet1!AP26</f>
        <v>3.2961872261801408E-5</v>
      </c>
      <c r="AN20" s="34">
        <f>$T$20*[4]Sheet1!AQ26</f>
        <v>1.2034458498213886E-4</v>
      </c>
      <c r="AO20" s="34">
        <f>$T$20*[4]Sheet1!AR26</f>
        <v>7.9516659656000553E-4</v>
      </c>
      <c r="AP20" s="34">
        <f>$T$20*[4]Sheet1!AS26</f>
        <v>2.2317539691842601E-3</v>
      </c>
      <c r="AQ20" s="34">
        <f>$T$20*[4]Sheet1!AT26</f>
        <v>1.2492007913906442E-3</v>
      </c>
      <c r="AR20" s="10"/>
    </row>
    <row r="21" spans="1:44">
      <c r="A21" s="25" t="s">
        <v>16</v>
      </c>
      <c r="B21" s="2"/>
      <c r="C21" s="2"/>
      <c r="D21" s="2"/>
      <c r="E21" s="2"/>
      <c r="F21" s="27"/>
      <c r="G21" s="1"/>
      <c r="R21" t="s">
        <v>34</v>
      </c>
      <c r="S21" t="s">
        <v>145</v>
      </c>
      <c r="T21" s="10">
        <f t="shared" si="0"/>
        <v>8.6922635061285479E-4</v>
      </c>
      <c r="U21" s="34">
        <f>$T$21*[1]PbI2!D18</f>
        <v>3.967277566008961E-3</v>
      </c>
      <c r="V21" s="35">
        <f>$T$21*[1]PbI2!M18</f>
        <v>4.7175585678547176E-2</v>
      </c>
      <c r="W21" s="34">
        <f>$T$21*[1]PbI2!N18</f>
        <v>9.0996244962543622E-4</v>
      </c>
      <c r="X21" s="34">
        <f>$T$21*[1]PbI2!O18</f>
        <v>3.3881841238293277E-3</v>
      </c>
      <c r="Y21" s="34">
        <f>$T$21*[1]PbI2!P18</f>
        <v>8.9931568226667342E-4</v>
      </c>
      <c r="Z21" s="34">
        <f>$T$21*[1]PbI2!Q18</f>
        <v>6.1943969962164068E-5</v>
      </c>
      <c r="AA21" s="34">
        <f>$T$21*[1]PbI2!R18</f>
        <v>1.7197503622127319E-6</v>
      </c>
      <c r="AB21" s="34">
        <f>$T$21*[1]PbI2!S18</f>
        <v>0.13554234394304474</v>
      </c>
      <c r="AC21" s="34">
        <f>$T$21*[1]PbI2!T18</f>
        <v>1.6654491258121396E-4</v>
      </c>
      <c r="AD21" s="34">
        <f>$T$21*[1]PbI2!U18</f>
        <v>6.7975589417673885E-2</v>
      </c>
      <c r="AE21" s="34">
        <f>$T$21*[1]PbI2!V18</f>
        <v>4.4838957675541586E-6</v>
      </c>
      <c r="AF21" s="34">
        <f>$T$21*[1]PbI2!W18</f>
        <v>5.4952592650626888E-4</v>
      </c>
      <c r="AG21" s="34">
        <f>$T$21*[1]PbI2!X18</f>
        <v>5.7639168835807367E-7</v>
      </c>
      <c r="AH21" s="34">
        <f>$T$21*[1]PbI2!Y18</f>
        <v>3.8789920029588734E-10</v>
      </c>
      <c r="AI21" s="34">
        <f>$T$21*[1]PbI2!Z18</f>
        <v>9.6025221695256079E-6</v>
      </c>
      <c r="AJ21" s="34">
        <f>$T$21*[1]PbI2!AA18</f>
        <v>1.3515971038519897E-5</v>
      </c>
      <c r="AK21" s="34">
        <f>$T$21*[1]PbI2!AB18</f>
        <v>2.7165903280021193E-5</v>
      </c>
      <c r="AL21" s="34">
        <f>$T$21*[1]PbI2!AC18</f>
        <v>4.6735032395311835E-6</v>
      </c>
      <c r="AM21" s="34">
        <f>$T$21*[1]PbI2!AD18</f>
        <v>3.4946381701267599E-5</v>
      </c>
      <c r="AN21" s="34">
        <f>$T$21*[1]PbI2!AE18</f>
        <v>1.0204546644957936E-5</v>
      </c>
      <c r="AO21" s="34">
        <f>$T$21*[1]PbI2!AF18</f>
        <v>1.6618288711964474E-4</v>
      </c>
      <c r="AP21" s="34">
        <f>$T$21*[1]PbI2!AG18</f>
        <v>1.060923905958467E-3</v>
      </c>
      <c r="AQ21" s="34">
        <f>$T$21*[1]PbI2!AH18</f>
        <v>1.3334344460989896E-4</v>
      </c>
      <c r="AR21" s="10"/>
    </row>
    <row r="22" spans="1:44">
      <c r="A22" s="24" t="s">
        <v>24</v>
      </c>
      <c r="B22" s="2">
        <v>200</v>
      </c>
      <c r="C22" s="2">
        <v>0.8</v>
      </c>
      <c r="D22" s="2">
        <v>4230</v>
      </c>
      <c r="E22" s="97">
        <f>B10</f>
        <v>0.8</v>
      </c>
      <c r="F22" s="28">
        <f>B22*C22/1000000000*D22/E22*(1-B2)</f>
        <v>8.4599999999999983E-5</v>
      </c>
      <c r="G22" s="1"/>
      <c r="R22" t="s">
        <v>35</v>
      </c>
      <c r="S22" t="s">
        <v>34</v>
      </c>
      <c r="T22" s="10">
        <f t="shared" si="0"/>
        <v>3.726681814545351E-5</v>
      </c>
      <c r="U22" s="34">
        <f>$T$22*[5]Sheet1!K20</f>
        <v>0.13488413735426555</v>
      </c>
      <c r="V22" s="35">
        <f>$T$22*[5]Sheet1!T20</f>
        <v>2.376101090413008</v>
      </c>
      <c r="W22" s="34">
        <f>$T$22*[5]Sheet1!U20</f>
        <v>1.1865895472610061E-3</v>
      </c>
      <c r="X22" s="34">
        <f>$T$22*[5]Sheet1!V20</f>
        <v>0.12728608911381445</v>
      </c>
      <c r="Y22" s="34">
        <f>$T$22*[5]Sheet1!W20</f>
        <v>5.6081630353365101E-2</v>
      </c>
      <c r="Z22" s="34">
        <f>$T$22*[5]Sheet1!X20</f>
        <v>5.5795273480756236E-4</v>
      </c>
      <c r="AA22" s="34">
        <f>$T$22*[5]Sheet1!Y20</f>
        <v>3.6964566249860915E-6</v>
      </c>
      <c r="AB22" s="34">
        <f>$T$22*[5]Sheet1!Z20</f>
        <v>1.061330826611512</v>
      </c>
      <c r="AC22" s="34">
        <f>$T$22*[5]Sheet1!AA20</f>
        <v>8.6618576732573919E-4</v>
      </c>
      <c r="AD22" s="34">
        <f>$T$22*[5]Sheet1!AB20</f>
        <v>0.35745175285914793</v>
      </c>
      <c r="AE22" s="34">
        <f>$T$22*[5]Sheet1!AC20</f>
        <v>1.1694054585948717E-4</v>
      </c>
      <c r="AF22" s="34">
        <f>$T$22*[5]Sheet1!AD20</f>
        <v>6.0382554517044004E-4</v>
      </c>
      <c r="AG22" s="34">
        <f>$T$22*[5]Sheet1!AE20</f>
        <v>2.097835987543959E-5</v>
      </c>
      <c r="AH22" s="34">
        <f>$T$22*[5]Sheet1!AF20</f>
        <v>1.1343515645092097E-8</v>
      </c>
      <c r="AI22" s="34">
        <f>$T$22*[5]Sheet1!AG20</f>
        <v>1.4352955660098179E-4</v>
      </c>
      <c r="AJ22" s="34">
        <f>$T$22*[5]Sheet1!AH20</f>
        <v>3.8253741024375321E-4</v>
      </c>
      <c r="AK22" s="34">
        <f>$T$22*[5]Sheet1!AI20</f>
        <v>5.5215077035375025E-4</v>
      </c>
      <c r="AL22" s="34">
        <f>$T$22*[5]Sheet1!AJ20</f>
        <v>1.2200515879090431E-5</v>
      </c>
      <c r="AM22" s="34">
        <f>$T$22*[5]Sheet1!AK20</f>
        <v>8.1273747054747876E-5</v>
      </c>
      <c r="AN22" s="34">
        <f>$T$22*[5]Sheet1!AL20</f>
        <v>1.8332807052273914E-5</v>
      </c>
      <c r="AO22" s="34">
        <f>$T$22*[5]Sheet1!AM20</f>
        <v>3.7758091473582655E-3</v>
      </c>
      <c r="AP22" s="34">
        <f>$T$22*[5]Sheet1!AN20</f>
        <v>1.1968346601335797E-2</v>
      </c>
      <c r="AQ22" s="34">
        <f>$T$22*[5]Sheet1!AO20</f>
        <v>6.7528521580559331E-3</v>
      </c>
      <c r="AR22" s="10"/>
    </row>
    <row r="23" spans="1:44">
      <c r="A23" s="24" t="s">
        <v>10</v>
      </c>
      <c r="B23" s="2"/>
      <c r="C23" s="2"/>
      <c r="D23" s="2"/>
      <c r="E23" s="97">
        <f>B10</f>
        <v>0.8</v>
      </c>
      <c r="F23" s="28">
        <f>F22/5.5*(1-B2)</f>
        <v>1.5381818181818176E-6</v>
      </c>
      <c r="G23" s="1" t="s">
        <v>23</v>
      </c>
      <c r="H23" s="1"/>
      <c r="R23" t="s">
        <v>36</v>
      </c>
      <c r="S23" t="s">
        <v>146</v>
      </c>
      <c r="T23" s="10">
        <f t="shared" si="0"/>
        <v>1.2211537731590568E-4</v>
      </c>
      <c r="U23" s="34">
        <f>$T$23*[6]Sheet1!P22</f>
        <v>4.7014751158128897E-4</v>
      </c>
      <c r="V23" s="35">
        <f>$T$23*[6]Sheet1!Y22</f>
        <v>6.1645782321264834E-3</v>
      </c>
      <c r="W23" s="34">
        <f>$T$23*[6]Sheet1!Z22</f>
        <v>1.3938424144669114E-4</v>
      </c>
      <c r="X23" s="34">
        <f>$T$23*[6]Sheet1!AA22</f>
        <v>4.3188677202586856E-4</v>
      </c>
      <c r="Y23" s="34">
        <f>$T$23*[6]Sheet1!AB22</f>
        <v>1.1178045231189515E-4</v>
      </c>
      <c r="Z23" s="34">
        <f>$T$23*[6]Sheet1!AC22</f>
        <v>1.0644187197070042E-5</v>
      </c>
      <c r="AA23" s="34">
        <f>$T$23*[6]Sheet1!AD22</f>
        <v>3.1829961495691855E-7</v>
      </c>
      <c r="AB23" s="34">
        <f>$T$23*[6]Sheet1!AE22</f>
        <v>2.8718285371850422E-2</v>
      </c>
      <c r="AC23" s="34">
        <f>$T$23*[6]Sheet1!AF22</f>
        <v>2.4869315832952773E-5</v>
      </c>
      <c r="AD23" s="34">
        <f>$T$23*[6]Sheet1!AG22</f>
        <v>1.2355996834561985E-2</v>
      </c>
      <c r="AE23" s="34">
        <f>$T$23*[6]Sheet1!AH22</f>
        <v>8.724290627776011E-7</v>
      </c>
      <c r="AF23" s="34">
        <f>$T$23*[6]Sheet1!AI22</f>
        <v>1.3598394544586789E-4</v>
      </c>
      <c r="AG23" s="34">
        <f>$T$23*[6]Sheet1!AJ22</f>
        <v>7.0458623293796625E-8</v>
      </c>
      <c r="AH23" s="34">
        <f>$T$23*[6]Sheet1!AK22</f>
        <v>4.2823848462543222E-11</v>
      </c>
      <c r="AI23" s="34">
        <f>$T$23*[6]Sheet1!AL22</f>
        <v>2.3757987117086746E-6</v>
      </c>
      <c r="AJ23" s="34">
        <f>$T$23*[6]Sheet1!AM22</f>
        <v>5.9783997502933203E-6</v>
      </c>
      <c r="AK23" s="34">
        <f>$T$23*[6]Sheet1!AN22</f>
        <v>7.2759513482114656E-6</v>
      </c>
      <c r="AL23" s="34">
        <f>$T$23*[6]Sheet1!AO22</f>
        <v>6.2040960373697343E-7</v>
      </c>
      <c r="AM23" s="34">
        <f>$T$23*[6]Sheet1!AP22</f>
        <v>5.3184981712650055E-6</v>
      </c>
      <c r="AN23" s="34">
        <f>$T$23*[6]Sheet1!AQ22</f>
        <v>2.2748780378656121E-6</v>
      </c>
      <c r="AO23" s="34">
        <f>$T$23*[6]Sheet1!AR22</f>
        <v>2.3830665576765137E-5</v>
      </c>
      <c r="AP23" s="34">
        <f>$T$23*[6]Sheet1!AS22</f>
        <v>2.1623365278775652E-4</v>
      </c>
      <c r="AQ23" s="34">
        <f>$T$23*[6]Sheet1!AT22</f>
        <v>1.9716377914562205E-5</v>
      </c>
      <c r="AR23" s="10"/>
    </row>
    <row r="24" spans="1:44">
      <c r="A24" s="7" t="s">
        <v>17</v>
      </c>
      <c r="B24" s="2"/>
      <c r="C24" s="2"/>
      <c r="D24" s="2"/>
      <c r="E24" s="2"/>
      <c r="F24" s="27"/>
      <c r="G24" s="1"/>
      <c r="J24" s="1" t="s">
        <v>26</v>
      </c>
      <c r="K24">
        <v>150</v>
      </c>
      <c r="L24" t="s">
        <v>27</v>
      </c>
      <c r="M24">
        <f>1.4*2.4</f>
        <v>3.36</v>
      </c>
      <c r="N24" t="s">
        <v>28</v>
      </c>
      <c r="R24" t="s">
        <v>37</v>
      </c>
      <c r="S24" t="s">
        <v>36</v>
      </c>
      <c r="T24" s="10">
        <f t="shared" si="0"/>
        <v>1.2328548703323806E-3</v>
      </c>
      <c r="U24" s="34">
        <f>$T$24*[2]production!D75</f>
        <v>3.5274443549950076E-3</v>
      </c>
      <c r="V24" s="35">
        <f>$T$24*[2]production!M75</f>
        <v>9.594394691044536E-2</v>
      </c>
      <c r="W24" s="34">
        <f>$T$24*[2]production!N75</f>
        <v>1.4356594965020573E-4</v>
      </c>
      <c r="X24" s="34">
        <f>$T$24*[2]production!O75</f>
        <v>3.1928475431867993E-3</v>
      </c>
      <c r="Y24" s="34">
        <f>$T$24*[2]production!P75</f>
        <v>2.1470167566838409E-3</v>
      </c>
      <c r="Z24" s="34">
        <f>$T$24*[2]production!Q75</f>
        <v>4.4926464329782282E-5</v>
      </c>
      <c r="AA24" s="34">
        <f>$T$24*[2]production!R75</f>
        <v>1.2119579802802468E-6</v>
      </c>
      <c r="AB24" s="34">
        <f>$T$24*[2]production!S75</f>
        <v>7.3183497957800436E-2</v>
      </c>
      <c r="AC24" s="34">
        <f>$T$24*[2]production!T75</f>
        <v>3.160053603635958E-4</v>
      </c>
      <c r="AD24" s="34">
        <f>$T$24*[2]production!U75</f>
        <v>4.7542582364627599E-2</v>
      </c>
      <c r="AE24" s="34">
        <f>$T$24*[2]production!V75</f>
        <v>1.5406987314543758E-5</v>
      </c>
      <c r="AF24" s="34">
        <f>$T$24*[2]production!W75</f>
        <v>2.0559087817662779E-4</v>
      </c>
      <c r="AG24" s="34">
        <f>$T$24*[2]production!X75</f>
        <v>1.3481268007084582E-6</v>
      </c>
      <c r="AH24" s="34">
        <f>$T$24*[2]production!Y75</f>
        <v>6.4163931726448749E-10</v>
      </c>
      <c r="AI24" s="34">
        <f>$T$24*[2]production!Z75</f>
        <v>8.8986231685720903E-6</v>
      </c>
      <c r="AJ24" s="34">
        <f>$T$24*[2]production!AA75</f>
        <v>1.0794014246221092E-5</v>
      </c>
      <c r="AK24" s="34">
        <f>$T$24*[2]production!AB75</f>
        <v>2.2672201065412481E-5</v>
      </c>
      <c r="AL24" s="34">
        <f>$T$24*[2]production!AC75</f>
        <v>2.2672201065412481E-5</v>
      </c>
      <c r="AM24" s="34">
        <f>$T$24*[2]production!AD75</f>
        <v>2.7247325489215945E-5</v>
      </c>
      <c r="AN24" s="34">
        <f>$T$24*[2]production!AE75</f>
        <v>9.5365022784820626E-6</v>
      </c>
      <c r="AO24" s="34">
        <f>$T$24*[2]production!AF75</f>
        <v>1.4206186670840022E-4</v>
      </c>
      <c r="AP24" s="34">
        <f>$T$24*[2]production!AG75</f>
        <v>6.309134798925958E-4</v>
      </c>
      <c r="AQ24" s="34">
        <f>$T$24*[2]production!AH75</f>
        <v>2.6696239362177372E-4</v>
      </c>
      <c r="AR24" s="10"/>
    </row>
    <row r="25" spans="1:44">
      <c r="A25" s="1" t="s">
        <v>33</v>
      </c>
      <c r="B25" s="19">
        <f>500/$J$31*J27</f>
        <v>287.31787232322426</v>
      </c>
      <c r="C25" s="2">
        <v>0.8</v>
      </c>
      <c r="D25" s="2">
        <f>1000/160*172</f>
        <v>1075</v>
      </c>
      <c r="E25" s="97">
        <f>B10</f>
        <v>0.8</v>
      </c>
      <c r="F25" s="28">
        <f>I27/1000/$N$27/E25</f>
        <v>3.0886671274746612E-4</v>
      </c>
      <c r="G25" s="1">
        <v>172</v>
      </c>
      <c r="J25" s="1"/>
      <c r="K25">
        <f>M25*10000/M24*K24/1000000</f>
        <v>0.4464285714285714</v>
      </c>
      <c r="L25" t="s">
        <v>30</v>
      </c>
      <c r="M25">
        <v>1</v>
      </c>
      <c r="N25" t="s">
        <v>29</v>
      </c>
      <c r="R25" t="s">
        <v>32</v>
      </c>
      <c r="S25" t="s">
        <v>37</v>
      </c>
      <c r="T25" s="10">
        <f t="shared" si="0"/>
        <v>3.5914734040403036E-4</v>
      </c>
      <c r="U25" s="34">
        <f>$T$25*[2]production!D104</f>
        <v>4.5597346337695696E-4</v>
      </c>
      <c r="V25" s="35">
        <f>$T$25*[2]production!M104</f>
        <v>2.1041036486732889E-2</v>
      </c>
      <c r="W25" s="34">
        <f>$T$25*[2]production!N104</f>
        <v>1.945106080894188E-5</v>
      </c>
      <c r="X25" s="34">
        <f>$T$25*[2]production!O104</f>
        <v>3.8845376338099918E-4</v>
      </c>
      <c r="Y25" s="34">
        <f>$T$25*[2]production!P104</f>
        <v>4.6811264348261313E-4</v>
      </c>
      <c r="Z25" s="34">
        <f>$T$25*[2]production!Q104</f>
        <v>8.1673696681280549E-6</v>
      </c>
      <c r="AA25" s="34">
        <f>$T$25*[2]production!R104</f>
        <v>1.8166749919657066E-7</v>
      </c>
      <c r="AB25" s="34">
        <f>$T$25*[2]production!S104</f>
        <v>1.2076329321085521E-2</v>
      </c>
      <c r="AC25" s="34">
        <f>$T$25*[2]production!T104</f>
        <v>6.6517678916230472E-5</v>
      </c>
      <c r="AD25" s="34">
        <f>$T$25*[2]production!U104</f>
        <v>7.0565269442583881E-3</v>
      </c>
      <c r="AE25" s="34">
        <f>$T$25*[2]production!V104</f>
        <v>3.5715048119138396E-7</v>
      </c>
      <c r="AF25" s="34">
        <f>$T$25*[2]production!W104</f>
        <v>3.9125511263615064E-5</v>
      </c>
      <c r="AG25" s="34">
        <f>$T$25*[2]production!X104</f>
        <v>2.0405674439735794E-7</v>
      </c>
      <c r="AH25" s="34">
        <f>$T$25*[2]production!Y104</f>
        <v>1.1358752934958269E-10</v>
      </c>
      <c r="AI25" s="34">
        <f>$T$25*[2]production!Z104</f>
        <v>6.1794891389917463E-7</v>
      </c>
      <c r="AJ25" s="34">
        <f>$T$25*[2]production!AA104</f>
        <v>1.4154714980003644E-6</v>
      </c>
      <c r="AK25" s="34">
        <f>$T$25*[2]production!AB104</f>
        <v>1.8456940970703523E-6</v>
      </c>
      <c r="AL25" s="34">
        <f>$T$25*[2]production!AC104</f>
        <v>3.4988133902160637E-7</v>
      </c>
      <c r="AM25" s="34">
        <f>$T$25*[2]production!AD104</f>
        <v>3.4392667611770755E-6</v>
      </c>
      <c r="AN25" s="34">
        <f>$T$25*[2]production!AE104</f>
        <v>1.3801673144386482E-6</v>
      </c>
      <c r="AO25" s="34">
        <f>$T$25*[2]production!AF104</f>
        <v>1.7857883206909604E-5</v>
      </c>
      <c r="AP25" s="34">
        <f>$T$25*[2]production!AG104</f>
        <v>9.7091892004825577E-5</v>
      </c>
      <c r="AQ25" s="34">
        <f>$T$25*[2]production!AH104</f>
        <v>5.7944831900786261E-5</v>
      </c>
      <c r="AR25" s="10"/>
    </row>
    <row r="26" spans="1:44">
      <c r="A26" s="1" t="s">
        <v>18</v>
      </c>
      <c r="B26" s="19">
        <f t="shared" ref="B26:B28" si="1">500/$J$31*J28</f>
        <v>141.10817380078808</v>
      </c>
      <c r="C26" s="2">
        <v>0.8</v>
      </c>
      <c r="D26" s="2">
        <v>6160</v>
      </c>
      <c r="E26" s="97">
        <f>B10</f>
        <v>0.8</v>
      </c>
      <c r="F26" s="28">
        <f>I28/1000/$N$27/E26</f>
        <v>8.6922635061285479E-4</v>
      </c>
      <c r="G26" s="1">
        <v>461</v>
      </c>
      <c r="H26" s="1" t="s">
        <v>90</v>
      </c>
      <c r="I26" t="s">
        <v>91</v>
      </c>
      <c r="R26" t="s">
        <v>31</v>
      </c>
      <c r="S26" t="s">
        <v>32</v>
      </c>
      <c r="T26" s="10">
        <f>F31+F38</f>
        <v>5.617000040799674E-3</v>
      </c>
      <c r="U26" s="34">
        <f>$T$26*[2]production!D34</f>
        <v>1.8214246032301103E-2</v>
      </c>
      <c r="V26" s="35">
        <f>$T$26*[2]production!M34</f>
        <v>0.44095397902701583</v>
      </c>
      <c r="W26" s="34">
        <f>$T$26*[2]production!N34</f>
        <v>6.4342735467360268E-4</v>
      </c>
      <c r="X26" s="34">
        <f>$T$26*[2]production!O34</f>
        <v>1.5495618012554061E-2</v>
      </c>
      <c r="Y26" s="34">
        <f>$T$26*[2]production!P34</f>
        <v>9.7387546707384757E-3</v>
      </c>
      <c r="Z26" s="34">
        <f>$T$26*[2]production!Q34</f>
        <v>5.6681147411709505E-4</v>
      </c>
      <c r="AA26" s="34">
        <f>$T$26*[2]production!R34</f>
        <v>7.4425250540595684E-6</v>
      </c>
      <c r="AB26" s="34">
        <f>$T$26*[2]production!S34</f>
        <v>0.28309680205630355</v>
      </c>
      <c r="AC26" s="34">
        <f>$T$26*[2]production!T34</f>
        <v>8.7175840633210938E-4</v>
      </c>
      <c r="AD26" s="34">
        <f>$T$26*[2]production!U34</f>
        <v>0.23054976667462262</v>
      </c>
      <c r="AE26" s="34">
        <f>$T$26*[2]production!V34</f>
        <v>1.5340027111423911E-5</v>
      </c>
      <c r="AF26" s="34">
        <f>$T$26*[2]production!W34</f>
        <v>7.4458952540840486E-4</v>
      </c>
      <c r="AG26" s="34">
        <f>$T$26*[2]production!X34</f>
        <v>1.4258754603569974E-6</v>
      </c>
      <c r="AH26" s="34">
        <f>$T$26*[2]production!Y34</f>
        <v>3.9946419190155037E-9</v>
      </c>
      <c r="AI26" s="34">
        <f>$T$26*[2]production!Z34</f>
        <v>4.6437986137307219E-5</v>
      </c>
      <c r="AJ26" s="34">
        <f>$T$26*[2]production!AA34</f>
        <v>1.2327068289538965E-4</v>
      </c>
      <c r="AK26" s="34">
        <f>$T$26*[2]production!AB34</f>
        <v>8.3047345603223184E-5</v>
      </c>
      <c r="AL26" s="34">
        <f>$T$26*[2]production!AC34</f>
        <v>1.069645317769482E-5</v>
      </c>
      <c r="AM26" s="34">
        <f>$T$26*[2]production!AD34</f>
        <v>1.5179942610261119E-4</v>
      </c>
      <c r="AN26" s="34">
        <f>$T$26*[2]production!AE34</f>
        <v>4.7566441445503875E-5</v>
      </c>
      <c r="AO26" s="34">
        <f>$T$26*[2]production!AF34</f>
        <v>6.9263227503100783E-4</v>
      </c>
      <c r="AP26" s="34">
        <f>$T$26*[2]production!AG34</f>
        <v>2.5856174587809062E-3</v>
      </c>
      <c r="AQ26" s="34">
        <f>$T$26*[2]production!AH34</f>
        <v>1.2023188587331703E-3</v>
      </c>
      <c r="AR26" s="10"/>
    </row>
    <row r="27" spans="1:44">
      <c r="A27" s="1" t="s">
        <v>34</v>
      </c>
      <c r="B27" s="19">
        <f t="shared" si="1"/>
        <v>53.238311636362162</v>
      </c>
      <c r="C27" s="2">
        <v>0.8</v>
      </c>
      <c r="D27" s="2">
        <f>1000/160*112</f>
        <v>700</v>
      </c>
      <c r="E27" s="97">
        <f>B10</f>
        <v>0.8</v>
      </c>
      <c r="F27" s="28">
        <f>I29/1000/$N$27/E27</f>
        <v>3.726681814545351E-5</v>
      </c>
      <c r="G27" s="1">
        <v>112</v>
      </c>
      <c r="H27" s="1">
        <v>1</v>
      </c>
      <c r="I27">
        <f>G25*H27</f>
        <v>172</v>
      </c>
      <c r="J27">
        <f>I27/1000/D25/C25*1000000000</f>
        <v>199999.99999999997</v>
      </c>
      <c r="N27">
        <f>J31/500</f>
        <v>696.09314026593427</v>
      </c>
      <c r="P27" s="10">
        <f>F25*1000/G25</f>
        <v>1.7957367020201519E-3</v>
      </c>
      <c r="Q27" s="10">
        <f>P27/1.1</f>
        <v>1.6324879109274107E-3</v>
      </c>
      <c r="R27" t="s">
        <v>136</v>
      </c>
      <c r="S27" t="s">
        <v>31</v>
      </c>
      <c r="T27" s="10">
        <f>F33</f>
        <v>3.6400000000000001E-4</v>
      </c>
      <c r="U27" s="34">
        <f>$T$27*'[1]spiro-OMeTAD'!D33</f>
        <v>4.4243052345403516E-2</v>
      </c>
      <c r="V27" s="35">
        <f>$T$27*'[1]spiro-OMeTAD'!M33</f>
        <v>0.71271985219058731</v>
      </c>
      <c r="W27" s="34">
        <f>$T$27*'[1]spiro-OMeTAD'!N33</f>
        <v>1.0835222206311581E-2</v>
      </c>
      <c r="X27" s="34">
        <f>$T$27*'[1]spiro-OMeTAD'!O33</f>
        <v>3.9994499361403514E-2</v>
      </c>
      <c r="Y27" s="34">
        <f>$T$27*'[1]spiro-OMeTAD'!P33</f>
        <v>1.2909413348912283E-2</v>
      </c>
      <c r="Z27" s="34">
        <f>$T$27*'[1]spiro-OMeTAD'!Q33</f>
        <v>2.7016639431691231E-3</v>
      </c>
      <c r="AA27" s="34">
        <f>$T$27*'[1]spiro-OMeTAD'!R33</f>
        <v>4.6563338831031579E-5</v>
      </c>
      <c r="AB27" s="34">
        <f>$T$27*'[1]spiro-OMeTAD'!S33</f>
        <v>2.383514053038597</v>
      </c>
      <c r="AC27" s="34">
        <f>$T$27*'[1]spiro-OMeTAD'!T33</f>
        <v>4.069311200842105E-3</v>
      </c>
      <c r="AD27" s="34">
        <f>$T$27*'[1]spiro-OMeTAD'!U33</f>
        <v>2.0157357888519303</v>
      </c>
      <c r="AE27" s="34">
        <f>$T$27*'[1]spiro-OMeTAD'!V33</f>
        <v>4.477746918119299E-5</v>
      </c>
      <c r="AF27" s="34">
        <f>$T$27*'[1]spiro-OMeTAD'!W33</f>
        <v>1.8383050587929834E-3</v>
      </c>
      <c r="AG27" s="34">
        <f>$T$27*'[1]spiro-OMeTAD'!X33</f>
        <v>3.4890658929122809E-6</v>
      </c>
      <c r="AH27" s="34">
        <f>$T$27*'[1]spiro-OMeTAD'!Y33</f>
        <v>3.7633961771649133E-9</v>
      </c>
      <c r="AI27" s="34">
        <f>$T$27*'[1]spiro-OMeTAD'!Z33</f>
        <v>2.2573141458582453E-4</v>
      </c>
      <c r="AJ27" s="34">
        <f>$T$27*'[1]spiro-OMeTAD'!AA33</f>
        <v>1.5931200983578949E-4</v>
      </c>
      <c r="AK27" s="34">
        <f>$T$27*'[1]spiro-OMeTAD'!AB33</f>
        <v>2.1791259500491235E-4</v>
      </c>
      <c r="AL27" s="34">
        <f>$T$27*'[1]spiro-OMeTAD'!AC33</f>
        <v>4.5170222873122812E-5</v>
      </c>
      <c r="AM27" s="34">
        <f>$T$27*'[1]spiro-OMeTAD'!AD33</f>
        <v>5.9147958773754375E-4</v>
      </c>
      <c r="AN27" s="34">
        <f>$T$27*'[1]spiro-OMeTAD'!AE33</f>
        <v>1.3138715765614035E-4</v>
      </c>
      <c r="AO27" s="34">
        <f>$T$27*'[1]spiro-OMeTAD'!AF33</f>
        <v>2.3219698880140353E-3</v>
      </c>
      <c r="AP27" s="34">
        <f>$T$27*'[1]spiro-OMeTAD'!AG33</f>
        <v>1.8195225899887722E-2</v>
      </c>
      <c r="AQ27" s="34">
        <f>$T$27*'[1]spiro-OMeTAD'!AH33</f>
        <v>1.6332759249824561E-3</v>
      </c>
      <c r="AR27" s="10"/>
    </row>
    <row r="28" spans="1:44">
      <c r="A28" s="1" t="s">
        <v>35</v>
      </c>
      <c r="B28" s="19">
        <f t="shared" si="1"/>
        <v>18.335642239625479</v>
      </c>
      <c r="C28" s="2">
        <v>0.8</v>
      </c>
      <c r="D28" s="2">
        <v>6660</v>
      </c>
      <c r="E28" s="97">
        <f>B10</f>
        <v>0.8</v>
      </c>
      <c r="F28" s="28">
        <f>I30/1000/$N$27/E28</f>
        <v>1.2211537731590568E-4</v>
      </c>
      <c r="G28" s="1">
        <v>367</v>
      </c>
      <c r="H28" s="1">
        <v>1.05</v>
      </c>
      <c r="I28">
        <f>G26*H28</f>
        <v>484.05</v>
      </c>
      <c r="J28">
        <f>I28/1000/D26/C26*1000000000</f>
        <v>98224.431818181809</v>
      </c>
      <c r="P28" s="10">
        <f>F26*1000/G26</f>
        <v>1.8855235371211601E-3</v>
      </c>
      <c r="Q28" s="10"/>
      <c r="R28" t="s">
        <v>25</v>
      </c>
      <c r="S28" t="s">
        <v>136</v>
      </c>
      <c r="T28" s="10">
        <f>F34</f>
        <v>4.2622603019175846E-5</v>
      </c>
      <c r="U28" s="34">
        <f>$T$28*[7]inventory!AZ37</f>
        <v>1.8929435795174367E-3</v>
      </c>
      <c r="V28" s="35">
        <f>$T$28*[7]inventory!BA37</f>
        <v>2.9694410746765015E-2</v>
      </c>
      <c r="W28" s="34">
        <f>$T$28*[7]inventory!BB37</f>
        <v>1.5687973258999384E-4</v>
      </c>
      <c r="X28" s="34">
        <f>$T$28*[7]inventory!BC37</f>
        <v>1.6073251896514371E-3</v>
      </c>
      <c r="Y28" s="34">
        <f>$T$28*[7]inventory!BD37</f>
        <v>6.3796136945291155E-4</v>
      </c>
      <c r="Z28" s="34">
        <f>$T$28*[7]inventory!BE37</f>
        <v>9.2539705533882405E-5</v>
      </c>
      <c r="AA28" s="34">
        <f>$T$28*[7]inventory!BF37</f>
        <v>1.7634064232989275E-6</v>
      </c>
      <c r="AB28" s="34">
        <f>$T$28*[7]inventory!BG37</f>
        <v>7.9257185763760341E-2</v>
      </c>
      <c r="AC28" s="34">
        <f>$T$28*[7]inventory!BH37</f>
        <v>8.6314157533879727E-5</v>
      </c>
      <c r="AD28" s="34">
        <f>$T$28*[7]inventory!BI37</f>
        <v>6.5160734815116569E-2</v>
      </c>
      <c r="AE28" s="34">
        <f>$T$28*[7]inventory!BJ37</f>
        <v>1.92939742230779E-6</v>
      </c>
      <c r="AF28" s="34">
        <f>$T$28*[7]inventory!BK37</f>
        <v>5.7657764647415285E-5</v>
      </c>
      <c r="AG28" s="34">
        <f>$T$28*[7]inventory!BL37</f>
        <v>2.6967138937256846E-7</v>
      </c>
      <c r="AH28" s="34">
        <f>$T$28*[7]inventory!BM37</f>
        <v>2.2516804551706911E-10</v>
      </c>
      <c r="AI28" s="34">
        <f>$T$28*[7]inventory!BN37</f>
        <v>3.8501666667674025E-6</v>
      </c>
      <c r="AJ28" s="34">
        <f>$T$28*[7]inventory!BO37</f>
        <v>5.638974345733623E-6</v>
      </c>
      <c r="AK28" s="34">
        <f>$T$28*[7]inventory!BP37</f>
        <v>1.2112781202941229E-5</v>
      </c>
      <c r="AL28" s="34">
        <f>$T$28*[7]inventory!BQ37</f>
        <v>1.4963400769566264E-6</v>
      </c>
      <c r="AM28" s="34">
        <f>$T$28*[7]inventory!BR37</f>
        <v>1.5203915463834035E-5</v>
      </c>
      <c r="AN28" s="34">
        <f>$T$28*[7]inventory!BS37</f>
        <v>3.8688088265669968E-6</v>
      </c>
      <c r="AO28" s="34">
        <f>$T$28*[7]inventory!BT37</f>
        <v>7.5307409072451195E-5</v>
      </c>
      <c r="AP28" s="34">
        <f>$T$28*[7]inventory!BU37</f>
        <v>6.0724169394128097E-4</v>
      </c>
      <c r="AQ28" s="34">
        <f>$T$28*[7]inventory!BV37</f>
        <v>7.9173692139659303E-5</v>
      </c>
    </row>
    <row r="29" spans="1:44">
      <c r="A29" s="1" t="s">
        <v>36</v>
      </c>
      <c r="B29" s="2"/>
      <c r="C29" s="2"/>
      <c r="D29" s="2">
        <v>944</v>
      </c>
      <c r="E29" s="97">
        <f>B10</f>
        <v>0.8</v>
      </c>
      <c r="F29" s="28">
        <f>Q27*0.8/1000*D29</f>
        <v>1.2328548703323806E-3</v>
      </c>
      <c r="H29" s="1">
        <f>H30</f>
        <v>0.18529411764705883</v>
      </c>
      <c r="I29">
        <f>G27*H29</f>
        <v>20.752941176470589</v>
      </c>
      <c r="J29">
        <f>I29/1000/D27/C27*1000000000</f>
        <v>37058.823529411769</v>
      </c>
      <c r="R29" t="s">
        <v>40</v>
      </c>
      <c r="S29" t="s">
        <v>25</v>
      </c>
      <c r="T29" s="10">
        <f>F35</f>
        <v>1.9706685866513067E-4</v>
      </c>
      <c r="U29" s="34">
        <f>$T$29*[2]production!D71</f>
        <v>8.0393424992440069E-4</v>
      </c>
      <c r="V29" s="35">
        <f>$T$29*[2]production!M71</f>
        <v>2.1761021881914613E-2</v>
      </c>
      <c r="W29" s="34">
        <f>$T$29*[2]production!N71</f>
        <v>1.211823233989488E-5</v>
      </c>
      <c r="X29" s="34">
        <f>$T$29*[2]production!O71</f>
        <v>7.2467395936928497E-4</v>
      </c>
      <c r="Y29" s="34">
        <f>$T$29*[2]production!P71</f>
        <v>4.9993891374757002E-4</v>
      </c>
      <c r="Z29" s="34">
        <f>$T$29*[2]production!Q71</f>
        <v>3.4573409684210528E-6</v>
      </c>
      <c r="AA29" s="34">
        <f>$T$29*[2]production!R71</f>
        <v>8.4454972949528396E-8</v>
      </c>
      <c r="AB29" s="34">
        <f>$T$29*[2]production!S71</f>
        <v>5.6508921722226218E-3</v>
      </c>
      <c r="AC29" s="34">
        <f>$T$29*[2]production!T71</f>
        <v>1.740376255615235E-5</v>
      </c>
      <c r="AD29" s="34">
        <f>$T$29*[2]production!U71</f>
        <v>4.421786174728202E-3</v>
      </c>
      <c r="AE29" s="34">
        <f>$T$29*[2]production!V71</f>
        <v>3.313679228454172E-6</v>
      </c>
      <c r="AF29" s="34">
        <f>$T$29*[2]production!W71</f>
        <v>2.1241836695514436E-5</v>
      </c>
      <c r="AG29" s="34">
        <f>$T$29*[2]production!X71</f>
        <v>8.1851719746562025E-8</v>
      </c>
      <c r="AH29" s="34">
        <f>$T$29*[2]production!Y71</f>
        <v>3.9267542257613938E-11</v>
      </c>
      <c r="AI29" s="34">
        <f>$T$29*[2]production!Z71</f>
        <v>1.229913971614947E-6</v>
      </c>
      <c r="AJ29" s="34">
        <f>$T$29*[2]production!AA71</f>
        <v>1.857946343494852E-6</v>
      </c>
      <c r="AK29" s="34">
        <f>$T$29*[2]production!AB71</f>
        <v>5.2112360105407155E-6</v>
      </c>
      <c r="AL29" s="34">
        <f>$T$29*[2]production!AC71</f>
        <v>4.8508007260421914E-7</v>
      </c>
      <c r="AM29" s="34">
        <f>$T$29*[2]production!AD71</f>
        <v>1.9367336735891712E-6</v>
      </c>
      <c r="AN29" s="34">
        <f>$T$29*[2]production!AE71</f>
        <v>1.8651786972078622E-6</v>
      </c>
      <c r="AO29" s="34">
        <f>$T$29*[2]production!AF71</f>
        <v>2.415842620375837E-5</v>
      </c>
      <c r="AP29" s="34">
        <f>$T$29*[2]production!AG71</f>
        <v>6.6713043663906688E-5</v>
      </c>
      <c r="AQ29" s="34">
        <f>$T$29*[2]production!AH71</f>
        <v>6.0929131362085101E-5</v>
      </c>
    </row>
    <row r="30" spans="1:44">
      <c r="A30" s="1" t="s">
        <v>37</v>
      </c>
      <c r="B30" s="2"/>
      <c r="C30" s="2"/>
      <c r="D30" s="2">
        <v>1100</v>
      </c>
      <c r="E30" s="97">
        <f>B10</f>
        <v>0.8</v>
      </c>
      <c r="F30" s="28">
        <f>Q27*0.2/1000*D30</f>
        <v>3.5914734040403036E-4</v>
      </c>
      <c r="H30" s="1">
        <f>H28/0.85*0.15</f>
        <v>0.18529411764705883</v>
      </c>
      <c r="I30">
        <f>G28*H30</f>
        <v>68.002941176470586</v>
      </c>
      <c r="J30">
        <f>I30/1000/D28/C28*1000000000</f>
        <v>12763.314785373608</v>
      </c>
      <c r="R30" t="s">
        <v>38</v>
      </c>
      <c r="S30" t="s">
        <v>40</v>
      </c>
      <c r="T30" s="10">
        <f>F36</f>
        <v>1.3392705018359853E-5</v>
      </c>
      <c r="U30" s="36"/>
      <c r="V30" s="37"/>
      <c r="W30" s="36"/>
      <c r="X30" s="36"/>
      <c r="Y30" s="36"/>
      <c r="Z30" s="36"/>
      <c r="AA30" s="36"/>
      <c r="AB30" s="36"/>
      <c r="AC30" s="36"/>
      <c r="AD30" s="36"/>
      <c r="AE30" s="36"/>
      <c r="AF30" s="36"/>
      <c r="AG30" s="36"/>
      <c r="AH30" s="36"/>
      <c r="AI30" s="36"/>
      <c r="AJ30" s="36"/>
      <c r="AK30" s="36"/>
      <c r="AL30" s="36"/>
      <c r="AM30" s="36"/>
      <c r="AN30" s="36"/>
      <c r="AO30" s="36"/>
      <c r="AP30" s="36"/>
      <c r="AQ30" s="36"/>
    </row>
    <row r="31" spans="1:44">
      <c r="A31" s="1" t="s">
        <v>32</v>
      </c>
      <c r="B31" s="2"/>
      <c r="C31" s="2"/>
      <c r="D31" s="2"/>
      <c r="E31" s="2">
        <v>1</v>
      </c>
      <c r="F31" s="28">
        <f>110/1000000*1000*1.11/1000</f>
        <v>1.2210000000000001E-4</v>
      </c>
      <c r="H31" s="1" t="s">
        <v>27</v>
      </c>
      <c r="J31">
        <f>SUM(J27:J30)</f>
        <v>348046.57013296714</v>
      </c>
      <c r="R31" t="s">
        <v>148</v>
      </c>
      <c r="S31" t="s">
        <v>38</v>
      </c>
      <c r="T31" s="10">
        <f>F37</f>
        <v>1.3365973072215423E-4</v>
      </c>
      <c r="U31" s="34">
        <f>$T$31*[2]production!D72</f>
        <v>1.4818854345165239E-3</v>
      </c>
      <c r="V31" s="35">
        <f>$T$31*[2]production!M72</f>
        <v>2.4300028863157897E-2</v>
      </c>
      <c r="W31" s="34">
        <f>$T$31*[2]production!N72</f>
        <v>8.2478746634026922E-5</v>
      </c>
      <c r="X31" s="34">
        <f>$T$31*[2]production!O72</f>
        <v>1.3587848225214199E-3</v>
      </c>
      <c r="Y31" s="34">
        <f>$T$31*[2]production!P72</f>
        <v>4.985507955936353E-4</v>
      </c>
      <c r="Z31" s="34">
        <f>$T$31*[2]production!Q72</f>
        <v>1.9317840881272949E-5</v>
      </c>
      <c r="AA31" s="34">
        <f>$T$31*[2]production!R72</f>
        <v>6.3664802937576512E-7</v>
      </c>
      <c r="AB31" s="34">
        <f>$T$31*[2]production!S72</f>
        <v>2.8770257037943697E-2</v>
      </c>
      <c r="AC31" s="34">
        <f>$T$31*[2]production!T72</f>
        <v>1.2024163035495717E-4</v>
      </c>
      <c r="AD31" s="34">
        <f>$T$31*[2]production!U72</f>
        <v>2.2710124847001224E-2</v>
      </c>
      <c r="AE31" s="34">
        <f>$T$31*[2]production!V72</f>
        <v>1.6698110159118728E-6</v>
      </c>
      <c r="AF31" s="34">
        <f>$T$31*[2]production!W72</f>
        <v>9.0231011015911881E-5</v>
      </c>
      <c r="AG31" s="34">
        <f>$T$31*[2]production!X72</f>
        <v>1.9978119951040394E-7</v>
      </c>
      <c r="AH31" s="34">
        <f>$T$31*[2]production!Y72</f>
        <v>3.7504920440636477E-10</v>
      </c>
      <c r="AI31" s="34">
        <f>$T$31*[2]production!Z72</f>
        <v>3.8408460220318239E-6</v>
      </c>
      <c r="AJ31" s="34">
        <f>$T$31*[2]production!AA72</f>
        <v>4.2419588739290092E-6</v>
      </c>
      <c r="AK31" s="34">
        <f>$T$31*[2]production!AB72</f>
        <v>7.5150183598531208E-6</v>
      </c>
      <c r="AL31" s="34">
        <f>$T$31*[2]production!AC72</f>
        <v>1.384982129742962E-6</v>
      </c>
      <c r="AM31" s="34">
        <f>$T$31*[2]production!AD72</f>
        <v>1.213603623011016E-5</v>
      </c>
      <c r="AN31" s="34">
        <f>$T$31*[2]production!AE72</f>
        <v>4.3589111383108944E-6</v>
      </c>
      <c r="AO31" s="34">
        <f>$T$31*[2]production!AF72</f>
        <v>6.1364518971848234E-5</v>
      </c>
      <c r="AP31" s="34">
        <f>$T$31*[2]production!AG72</f>
        <v>2.5220254589963283E-4</v>
      </c>
      <c r="AQ31" s="34">
        <f>$T$31*[2]production!AH72</f>
        <v>6.3964200734394126E-5</v>
      </c>
      <c r="AR31" s="10"/>
    </row>
    <row r="32" spans="1:44">
      <c r="A32" s="7" t="s">
        <v>19</v>
      </c>
      <c r="B32" s="2"/>
      <c r="C32" s="2"/>
      <c r="D32" s="2"/>
      <c r="E32" s="2"/>
      <c r="F32" s="27"/>
      <c r="G32" s="1"/>
      <c r="H32" s="1"/>
      <c r="S32" s="42" t="s">
        <v>148</v>
      </c>
      <c r="T32" s="43">
        <f>F40</f>
        <v>6.0211200000000002E-4</v>
      </c>
      <c r="U32" s="43">
        <f>$T$32*[3]production!D133</f>
        <v>3.0363906048000004E-3</v>
      </c>
      <c r="V32" s="43">
        <f>$T$32*[3]production!M133</f>
        <v>4.3663258078863364E-2</v>
      </c>
      <c r="W32" s="43">
        <f>$T$32*[3]production!N133</f>
        <v>2.2205288448000002E-4</v>
      </c>
      <c r="X32" s="43">
        <f>$T$32*[3]production!O133</f>
        <v>2.7713409024E-3</v>
      </c>
      <c r="Y32" s="43">
        <f>$T$32*[3]production!P133</f>
        <v>8.0466247680000002E-4</v>
      </c>
      <c r="Z32" s="43">
        <f>$T$32*[3]production!Q133</f>
        <v>2.9879205887999999E-3</v>
      </c>
      <c r="AA32" s="43">
        <f>$T$32*[3]production!R133</f>
        <v>8.8028774399999995E-5</v>
      </c>
      <c r="AB32" s="43">
        <f>$T$32*[3]production!S133</f>
        <v>7.5197767680000007</v>
      </c>
      <c r="AC32" s="43">
        <f>$T$32*[3]production!T133</f>
        <v>2.8088524800000002E-4</v>
      </c>
      <c r="AD32" s="43">
        <f>$T$32*[3]production!U133</f>
        <v>3.9318515712000002</v>
      </c>
      <c r="AE32" s="43">
        <f>$T$32*[3]production!V133</f>
        <v>1.8089852928000003E-5</v>
      </c>
      <c r="AF32" s="43">
        <f>$T$32*[3]production!W133</f>
        <v>2.8826112000000001E-2</v>
      </c>
      <c r="AG32" s="43">
        <f>$T$32*[3]production!X133</f>
        <v>1.1984437248E-6</v>
      </c>
      <c r="AH32" s="43">
        <f>$T$32*[3]production!Y133</f>
        <v>1.8068176896000002E-10</v>
      </c>
      <c r="AI32" s="43">
        <f>$T$32*[3]production!Z133</f>
        <v>8.7553105920000005E-5</v>
      </c>
      <c r="AJ32" s="43">
        <f>$T$32*[3]production!AA133</f>
        <v>5.6266764288000007E-5</v>
      </c>
      <c r="AK32" s="43">
        <f>$T$32*[3]production!AB133</f>
        <v>2.9343326208000002E-4</v>
      </c>
      <c r="AL32" s="43">
        <f>$T$32*[3]production!AC133</f>
        <v>3.7042532352000003E-4</v>
      </c>
      <c r="AM32" s="43">
        <f>$T$32*[3]production!AD133</f>
        <v>2.6270748672000001E-4</v>
      </c>
      <c r="AN32" s="43">
        <f>$T$32*[3]production!AE133</f>
        <v>9.728925696E-5</v>
      </c>
      <c r="AO32" s="43">
        <f>$T$32*[3]production!AF133</f>
        <v>1.3874466816E-3</v>
      </c>
      <c r="AP32" s="43">
        <f>$T$32*[3]production!AG133</f>
        <v>5.1664822271999998E-2</v>
      </c>
      <c r="AQ32" s="43">
        <f>$T$32*[3]production!AH133</f>
        <v>1.4345318400000001E-3</v>
      </c>
    </row>
    <row r="33" spans="1:45">
      <c r="A33" s="1" t="s">
        <v>31</v>
      </c>
      <c r="B33" s="2">
        <v>200</v>
      </c>
      <c r="C33" s="2">
        <v>0.8</v>
      </c>
      <c r="D33" s="2">
        <v>1820</v>
      </c>
      <c r="E33" s="97">
        <f>B10</f>
        <v>0.8</v>
      </c>
      <c r="F33" s="28">
        <f>B33/1000000000*C33*D33/E33</f>
        <v>3.6400000000000001E-4</v>
      </c>
      <c r="G33" s="9">
        <f>F33*1000/1225.5</f>
        <v>2.9702162382700938E-4</v>
      </c>
      <c r="H33" s="1" t="s">
        <v>39</v>
      </c>
      <c r="S33" s="42" t="s">
        <v>149</v>
      </c>
      <c r="T33" s="43">
        <f t="shared" ref="T33:T34" si="2">F41</f>
        <v>8.6496969696969697E-2</v>
      </c>
      <c r="U33" s="43">
        <f>$T$33*[3]production!D46</f>
        <v>0.23246925575757577</v>
      </c>
      <c r="V33" s="43">
        <f>$T$33*[3]production!M46</f>
        <v>3.4927646546424245</v>
      </c>
      <c r="W33" s="43">
        <f>$T$33*[3]production!N46</f>
        <v>1.2163203878787878E-2</v>
      </c>
      <c r="X33" s="43">
        <f>$T$33*[3]production!O46</f>
        <v>0.21502281696969697</v>
      </c>
      <c r="Y33" s="43">
        <f>$T$33*[3]production!P46</f>
        <v>6.1747591757575757E-2</v>
      </c>
      <c r="Z33" s="43">
        <f>$T$33*[3]production!Q46</f>
        <v>3.0562839272727268E-3</v>
      </c>
      <c r="AA33" s="43">
        <f>$T$33*[3]production!R46</f>
        <v>1.2599148606060606E-4</v>
      </c>
      <c r="AB33" s="43">
        <f>$T$33*[3]production!S46</f>
        <v>4.0471067151515152</v>
      </c>
      <c r="AC33" s="43">
        <f>$T$33*[3]production!T46</f>
        <v>3.5819260121212122E-2</v>
      </c>
      <c r="AD33" s="43">
        <f>$T$33*[3]production!U46</f>
        <v>3.488163296969697</v>
      </c>
      <c r="AE33" s="43">
        <f>$T$33*[3]production!V46</f>
        <v>2.0981569939393938E-4</v>
      </c>
      <c r="AF33" s="43">
        <f>$T$33*[3]production!W46</f>
        <v>2.8037992727272727E-3</v>
      </c>
      <c r="AG33" s="43">
        <f>$T$33*[3]production!X46</f>
        <v>2.5558989575757575E-5</v>
      </c>
      <c r="AH33" s="43">
        <f>$T$33*[3]production!Y46</f>
        <v>1.2866424242424243E-8</v>
      </c>
      <c r="AI33" s="43">
        <f>$T$33*[3]production!Z46</f>
        <v>7.2064950303030303E-4</v>
      </c>
      <c r="AJ33" s="43">
        <f>$T$33*[3]production!AA46</f>
        <v>5.7331921454545451E-4</v>
      </c>
      <c r="AK33" s="43">
        <f>$T$33*[3]production!AB46</f>
        <v>1.1354457212121212E-3</v>
      </c>
      <c r="AL33" s="43">
        <f>$T$33*[3]production!AC46</f>
        <v>7.7792779636363637E-5</v>
      </c>
      <c r="AM33" s="43">
        <f>$T$33*[3]production!AD46</f>
        <v>1.3830000484848484E-3</v>
      </c>
      <c r="AN33" s="43">
        <f>$T$33*[3]production!AE46</f>
        <v>9.1038060606060602E-4</v>
      </c>
      <c r="AO33" s="43">
        <f>$T$33*[3]production!AF46</f>
        <v>9.2024126060606063E-3</v>
      </c>
      <c r="AP33" s="43">
        <f>$T$33*[3]production!AG46</f>
        <v>3.6797540848484848E-2</v>
      </c>
      <c r="AQ33" s="43">
        <f>$T$33*[3]production!AH46</f>
        <v>7.534405042424243E-3</v>
      </c>
      <c r="AR33" s="10"/>
      <c r="AS33" s="10"/>
    </row>
    <row r="34" spans="1:45">
      <c r="A34" s="1" t="s">
        <v>132</v>
      </c>
      <c r="B34" s="2" t="s">
        <v>8</v>
      </c>
      <c r="C34" s="2" t="s">
        <v>8</v>
      </c>
      <c r="D34" s="2" t="s">
        <v>8</v>
      </c>
      <c r="E34" s="97">
        <f>B10</f>
        <v>0.8</v>
      </c>
      <c r="F34" s="28">
        <f>G33/0.06*0.03*287/1000</f>
        <v>4.2622603019175846E-5</v>
      </c>
      <c r="S34" s="42" t="s">
        <v>150</v>
      </c>
      <c r="T34" s="43">
        <f t="shared" si="2"/>
        <v>8.6496969696969701E-5</v>
      </c>
      <c r="U34" s="43">
        <f>$T$34*[3]production!D91</f>
        <v>1.0245566060606062E-4</v>
      </c>
      <c r="V34" s="43">
        <f>$T$34*[3]production!M91</f>
        <v>1.3958710916654544E-3</v>
      </c>
      <c r="W34" s="43">
        <f>$T$34*[3]production!N91</f>
        <v>4.0292018424242424E-6</v>
      </c>
      <c r="X34" s="43">
        <f>$T$34*[3]production!O91</f>
        <v>9.4575786666666658E-5</v>
      </c>
      <c r="Y34" s="43">
        <f>$T$34*[3]production!P91</f>
        <v>2.6769947151515151E-5</v>
      </c>
      <c r="Z34" s="43">
        <f>$T$34*[3]production!Q91</f>
        <v>1.2369931636363636E-6</v>
      </c>
      <c r="AA34" s="43">
        <f>$T$34*[3]production!R91</f>
        <v>5.0247819636363637E-8</v>
      </c>
      <c r="AB34" s="43">
        <f>$T$34*[3]production!S91</f>
        <v>1.6725919030303031E-3</v>
      </c>
      <c r="AC34" s="43">
        <f>$T$34*[3]production!T91</f>
        <v>1.0400395636363637E-5</v>
      </c>
      <c r="AD34" s="43">
        <f>$T$34*[3]production!U91</f>
        <v>1.430140896969697E-3</v>
      </c>
      <c r="AE34" s="43">
        <f>$T$34*[3]production!V91</f>
        <v>9.3485924848484851E-8</v>
      </c>
      <c r="AF34" s="43">
        <f>$T$34*[3]production!W91</f>
        <v>1.0461808484848485E-6</v>
      </c>
      <c r="AG34" s="43">
        <f>$T$34*[3]production!X91</f>
        <v>1.1111400727272729E-8</v>
      </c>
      <c r="AH34" s="43">
        <f>$T$34*[3]production!Y91</f>
        <v>4.6454927515151515E-12</v>
      </c>
      <c r="AI34" s="43">
        <f>$T$34*[3]production!Z91</f>
        <v>3.4525265454545459E-7</v>
      </c>
      <c r="AJ34" s="43">
        <f>$T$34*[3]production!AA91</f>
        <v>2.5861728969696971E-7</v>
      </c>
      <c r="AK34" s="43">
        <f>$T$34*[3]production!AB91</f>
        <v>5.0606782060606061E-7</v>
      </c>
      <c r="AL34" s="43">
        <f>$T$34*[3]production!AC91</f>
        <v>3.2430308848484847E-8</v>
      </c>
      <c r="AM34" s="43">
        <f>$T$34*[3]production!AD91</f>
        <v>6.1585842424242428E-7</v>
      </c>
      <c r="AN34" s="43">
        <f>$T$34*[3]production!AE91</f>
        <v>3.7577743515151514E-7</v>
      </c>
      <c r="AO34" s="43">
        <f>$T$34*[3]production!AF91</f>
        <v>3.9166692848484848E-6</v>
      </c>
      <c r="AP34" s="43">
        <f>$T$34*[3]production!AG91</f>
        <v>1.5534855757575758E-5</v>
      </c>
      <c r="AQ34" s="43">
        <f>$T$34*[3]production!AH91</f>
        <v>3.2586868363636362E-6</v>
      </c>
      <c r="AR34" s="10"/>
      <c r="AS34" s="10"/>
    </row>
    <row r="35" spans="1:45">
      <c r="A35" s="1" t="s">
        <v>25</v>
      </c>
      <c r="F35" s="28">
        <f>F34*1000000/170*1*0.786/1000</f>
        <v>1.9706685866513067E-4</v>
      </c>
      <c r="S35" s="11" t="s">
        <v>21</v>
      </c>
      <c r="T35" s="10"/>
      <c r="U35" s="38">
        <f>SUM(U36:U56)</f>
        <v>0</v>
      </c>
      <c r="V35" s="38">
        <f t="shared" ref="V35:AQ35" si="3">SUM(V36:V56)</f>
        <v>0</v>
      </c>
      <c r="W35" s="38">
        <f t="shared" si="3"/>
        <v>0</v>
      </c>
      <c r="X35" s="38">
        <f t="shared" si="3"/>
        <v>0</v>
      </c>
      <c r="Y35" s="38">
        <f t="shared" si="3"/>
        <v>0</v>
      </c>
      <c r="Z35" s="38">
        <f t="shared" si="3"/>
        <v>5.1218828594516728E-2</v>
      </c>
      <c r="AA35" s="38">
        <f t="shared" si="3"/>
        <v>0</v>
      </c>
      <c r="AB35" s="38">
        <f t="shared" si="3"/>
        <v>1485.4086213028279</v>
      </c>
      <c r="AC35" s="38">
        <f t="shared" si="3"/>
        <v>0</v>
      </c>
      <c r="AD35" s="38">
        <f t="shared" si="3"/>
        <v>843.92090872381664</v>
      </c>
      <c r="AE35" s="38">
        <f t="shared" si="3"/>
        <v>0</v>
      </c>
      <c r="AF35" s="38">
        <f t="shared" si="3"/>
        <v>0</v>
      </c>
      <c r="AG35" s="38">
        <f t="shared" si="3"/>
        <v>0</v>
      </c>
      <c r="AH35" s="38">
        <f t="shared" si="3"/>
        <v>0</v>
      </c>
      <c r="AI35" s="38">
        <f t="shared" si="3"/>
        <v>0</v>
      </c>
      <c r="AJ35" s="38">
        <f t="shared" si="3"/>
        <v>3.9951740687111466E-4</v>
      </c>
      <c r="AK35" s="38">
        <f t="shared" si="3"/>
        <v>0</v>
      </c>
      <c r="AL35" s="38">
        <f t="shared" si="3"/>
        <v>4.8512718291280732E-2</v>
      </c>
      <c r="AM35" s="38">
        <f t="shared" si="3"/>
        <v>0</v>
      </c>
      <c r="AN35" s="38">
        <f t="shared" si="3"/>
        <v>0</v>
      </c>
      <c r="AO35" s="38">
        <f t="shared" si="3"/>
        <v>2.0897433509291047E-8</v>
      </c>
      <c r="AP35" s="38">
        <f t="shared" si="3"/>
        <v>8.6035411347331888E-7</v>
      </c>
      <c r="AQ35" s="38">
        <f t="shared" si="3"/>
        <v>0</v>
      </c>
      <c r="AR35" s="10"/>
      <c r="AS35" s="10"/>
    </row>
    <row r="36" spans="1:45">
      <c r="A36" s="1" t="s">
        <v>40</v>
      </c>
      <c r="B36" s="2" t="s">
        <v>8</v>
      </c>
      <c r="C36" s="2" t="s">
        <v>8</v>
      </c>
      <c r="D36" s="2" t="s">
        <v>8</v>
      </c>
      <c r="E36" s="97">
        <f>B10</f>
        <v>0.8</v>
      </c>
      <c r="F36" s="28">
        <f>G33*0.03*1503/1000</f>
        <v>1.3392705018359853E-5</v>
      </c>
      <c r="S36" t="str">
        <f t="shared" ref="S36:S54" si="4">A44</f>
        <v>Ethanol</v>
      </c>
      <c r="T36" s="10">
        <f t="shared" ref="T36:T56" si="5">F44</f>
        <v>5.7047757890757889E-4</v>
      </c>
      <c r="U36" s="34">
        <f>$T$36*'[2]direct emissions'!D15</f>
        <v>0</v>
      </c>
      <c r="V36" s="34">
        <f>$T$36*'[2]direct emissions'!M15</f>
        <v>0</v>
      </c>
      <c r="W36" s="34">
        <f>$T$36*'[2]direct emissions'!N15</f>
        <v>0</v>
      </c>
      <c r="X36" s="34">
        <f>$T$36*'[2]direct emissions'!O15</f>
        <v>0</v>
      </c>
      <c r="Y36" s="34">
        <f>$T$36*'[2]direct emissions'!P15</f>
        <v>0</v>
      </c>
      <c r="Z36" s="34">
        <f>$T$36*'[2]direct emissions'!Q15</f>
        <v>5.9965869920115675E-9</v>
      </c>
      <c r="AA36" s="34">
        <f>$T$36*'[2]direct emissions'!R15</f>
        <v>0</v>
      </c>
      <c r="AB36" s="34">
        <f>$T$36*'[2]direct emissions'!S15</f>
        <v>8.1960238002316211E-6</v>
      </c>
      <c r="AC36" s="34">
        <f>$T$36*'[2]direct emissions'!T15</f>
        <v>0</v>
      </c>
      <c r="AD36" s="34">
        <f>$T$36*'[2]direct emissions'!U15</f>
        <v>1.0193187880505685E-8</v>
      </c>
      <c r="AE36" s="34">
        <f>$T$36*'[2]direct emissions'!V15</f>
        <v>0</v>
      </c>
      <c r="AF36" s="34">
        <f>$T$36*'[2]direct emissions'!W15</f>
        <v>0</v>
      </c>
      <c r="AG36" s="34">
        <f>$T$36*'[2]direct emissions'!X15</f>
        <v>0</v>
      </c>
      <c r="AH36" s="34">
        <f>$T$36*'[2]direct emissions'!Y15</f>
        <v>0</v>
      </c>
      <c r="AI36" s="34">
        <f>$T$36*'[2]direct emissions'!Z15</f>
        <v>0</v>
      </c>
      <c r="AJ36" s="34">
        <f>$T$36*'[2]direct emissions'!AA15</f>
        <v>3.8449417902723648E-4</v>
      </c>
      <c r="AK36" s="34">
        <f>$T$36*'[2]direct emissions'!AB15</f>
        <v>0</v>
      </c>
      <c r="AL36" s="34">
        <f>$T$36*'[2]direct emissions'!AC15</f>
        <v>2.1210297642342791E-8</v>
      </c>
      <c r="AM36" s="34">
        <f>$T$36*'[2]direct emissions'!AD15</f>
        <v>0</v>
      </c>
      <c r="AN36" s="34">
        <f>$T$36*'[2]direct emissions'!AE15</f>
        <v>0</v>
      </c>
      <c r="AO36" s="34">
        <f>$T$36*'[2]direct emissions'!AF15</f>
        <v>4.6559289991385371E-9</v>
      </c>
      <c r="AP36" s="34">
        <f>$T$36*'[2]direct emissions'!AG15</f>
        <v>2.0226819163187816E-7</v>
      </c>
      <c r="AQ36" s="34">
        <f>$T$36*'[2]direct emissions'!AH15</f>
        <v>0</v>
      </c>
    </row>
    <row r="37" spans="1:45">
      <c r="A37" s="1" t="s">
        <v>38</v>
      </c>
      <c r="B37" s="2" t="s">
        <v>8</v>
      </c>
      <c r="C37" s="2" t="s">
        <v>8</v>
      </c>
      <c r="D37" s="2" t="s">
        <v>8</v>
      </c>
      <c r="E37" s="97">
        <f>B10</f>
        <v>0.8</v>
      </c>
      <c r="F37" s="28">
        <f>G33/0.06*0.2*135/1000</f>
        <v>1.3365973072215423E-4</v>
      </c>
      <c r="G37" s="1"/>
      <c r="H37" s="3"/>
      <c r="R37" s="10"/>
      <c r="S37" t="str">
        <f t="shared" si="4"/>
        <v>Titanium tetrachloride</v>
      </c>
      <c r="T37" s="10">
        <f t="shared" si="5"/>
        <v>6.0277499999999966E-6</v>
      </c>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10"/>
      <c r="AS37" s="10"/>
    </row>
    <row r="38" spans="1:45">
      <c r="A38" s="1" t="s">
        <v>32</v>
      </c>
      <c r="B38" s="2" t="s">
        <v>8</v>
      </c>
      <c r="C38" s="2" t="s">
        <v>8</v>
      </c>
      <c r="D38" s="2" t="s">
        <v>8</v>
      </c>
      <c r="E38" s="97">
        <f>B10</f>
        <v>0.8</v>
      </c>
      <c r="F38" s="28">
        <f>G33/0.06*1000*1.11/1000</f>
        <v>5.494900040799674E-3</v>
      </c>
      <c r="G38" s="1"/>
      <c r="H38" s="3"/>
      <c r="S38" t="str">
        <f t="shared" si="4"/>
        <v>Isopropanol</v>
      </c>
      <c r="T38" s="10">
        <f t="shared" si="5"/>
        <v>3.809638253638253E-5</v>
      </c>
      <c r="U38" s="34">
        <f>$T$38*'[2]direct emissions'!D24</f>
        <v>0</v>
      </c>
      <c r="V38" s="34">
        <f>$T$38*'[2]direct emissions'!M24</f>
        <v>0</v>
      </c>
      <c r="W38" s="34">
        <f>$T$38*'[2]direct emissions'!N24</f>
        <v>0</v>
      </c>
      <c r="X38" s="34">
        <f>$T$38*'[2]direct emissions'!O24</f>
        <v>0</v>
      </c>
      <c r="Y38" s="34">
        <f>$T$38*'[2]direct emissions'!P24</f>
        <v>0</v>
      </c>
      <c r="Z38" s="34">
        <f>$T$38*'[2]direct emissions'!Q24</f>
        <v>0</v>
      </c>
      <c r="AA38" s="34">
        <f>$T$38*'[2]direct emissions'!R24</f>
        <v>0</v>
      </c>
      <c r="AB38" s="34">
        <f>$T$38*'[2]direct emissions'!S24</f>
        <v>0</v>
      </c>
      <c r="AC38" s="34">
        <f>$T$38*'[2]direct emissions'!T24</f>
        <v>0</v>
      </c>
      <c r="AD38" s="34">
        <f>$T$38*'[2]direct emissions'!U24</f>
        <v>0</v>
      </c>
      <c r="AE38" s="34">
        <f>$T$38*'[2]direct emissions'!V24</f>
        <v>0</v>
      </c>
      <c r="AF38" s="34">
        <f>$T$38*'[2]direct emissions'!W24</f>
        <v>0</v>
      </c>
      <c r="AG38" s="34">
        <f>$T$38*'[2]direct emissions'!X24</f>
        <v>0</v>
      </c>
      <c r="AH38" s="34">
        <f>$T$38*'[2]direct emissions'!Y24</f>
        <v>0</v>
      </c>
      <c r="AI38" s="34">
        <f>$T$38*'[2]direct emissions'!Z24</f>
        <v>0</v>
      </c>
      <c r="AJ38" s="34">
        <f>$T$38*'[2]direct emissions'!AA24</f>
        <v>1.2098175535202562E-5</v>
      </c>
      <c r="AK38" s="34">
        <f>$T$38*'[2]direct emissions'!AB24</f>
        <v>0</v>
      </c>
      <c r="AL38" s="34">
        <f>$T$38*'[2]direct emissions'!AC24</f>
        <v>0</v>
      </c>
      <c r="AM38" s="34">
        <f>$T$38*'[2]direct emissions'!AD24</f>
        <v>0</v>
      </c>
      <c r="AN38" s="34">
        <f>$T$38*'[2]direct emissions'!AE24</f>
        <v>0</v>
      </c>
      <c r="AO38" s="34">
        <f>$T$38*'[2]direct emissions'!AF24</f>
        <v>0</v>
      </c>
      <c r="AP38" s="34">
        <f>$T$38*'[2]direct emissions'!AG24</f>
        <v>4.6032082524091934E-9</v>
      </c>
      <c r="AQ38" s="34">
        <f>$T$38*'[2]direct emissions'!AH24</f>
        <v>0</v>
      </c>
    </row>
    <row r="39" spans="1:45">
      <c r="A39" s="7" t="s">
        <v>20</v>
      </c>
      <c r="B39" s="2"/>
      <c r="C39" s="2"/>
      <c r="D39" s="2"/>
      <c r="E39" s="2"/>
      <c r="F39" s="27"/>
      <c r="G39" s="1"/>
      <c r="H39" s="3"/>
      <c r="S39" t="str">
        <f t="shared" si="4"/>
        <v>acetone</v>
      </c>
      <c r="T39" s="10">
        <f t="shared" si="5"/>
        <v>1.8421606029106024E-5</v>
      </c>
      <c r="U39" s="34">
        <f>$T$39*'[2]direct emissions'!D25</f>
        <v>0</v>
      </c>
      <c r="V39" s="34">
        <f>$T$39*'[2]direct emissions'!M25</f>
        <v>0</v>
      </c>
      <c r="W39" s="34">
        <f>$T$39*'[2]direct emissions'!N25</f>
        <v>0</v>
      </c>
      <c r="X39" s="34">
        <f>$T$39*'[2]direct emissions'!O25</f>
        <v>0</v>
      </c>
      <c r="Y39" s="34">
        <f>$T$39*'[2]direct emissions'!P25</f>
        <v>0</v>
      </c>
      <c r="Z39" s="34">
        <f>$T$39*'[2]direct emissions'!Q25</f>
        <v>3.3684699278143809E-10</v>
      </c>
      <c r="AA39" s="34">
        <f>$T$39*'[2]direct emissions'!R25</f>
        <v>0</v>
      </c>
      <c r="AB39" s="34">
        <f>$T$39*'[2]direct emissions'!S25</f>
        <v>2.7442252254564223E-6</v>
      </c>
      <c r="AC39" s="34">
        <f>$T$39*'[2]direct emissions'!T25</f>
        <v>0</v>
      </c>
      <c r="AD39" s="34">
        <f>$T$39*'[2]direct emissions'!U25</f>
        <v>1.373653384392672E-9</v>
      </c>
      <c r="AE39" s="34">
        <f>$T$39*'[2]direct emissions'!V25</f>
        <v>0</v>
      </c>
      <c r="AF39" s="34">
        <f>$T$39*'[2]direct emissions'!W25</f>
        <v>0</v>
      </c>
      <c r="AG39" s="34">
        <f>$T$39*'[2]direct emissions'!X25</f>
        <v>0</v>
      </c>
      <c r="AH39" s="34">
        <f>$T$39*'[2]direct emissions'!Y25</f>
        <v>0</v>
      </c>
      <c r="AI39" s="34">
        <f>$T$39*'[2]direct emissions'!Z25</f>
        <v>0</v>
      </c>
      <c r="AJ39" s="34">
        <f>$T$39*'[2]direct emissions'!AA25</f>
        <v>2.9250523086756188E-6</v>
      </c>
      <c r="AK39" s="34">
        <f>$T$39*'[2]direct emissions'!AB25</f>
        <v>0</v>
      </c>
      <c r="AL39" s="34">
        <f>$T$39*'[2]direct emissions'!AC25</f>
        <v>5.5904645823629728E-10</v>
      </c>
      <c r="AM39" s="34">
        <f>$T$39*'[2]direct emissions'!AD25</f>
        <v>0</v>
      </c>
      <c r="AN39" s="34">
        <f>$T$39*'[2]direct emissions'!AE25</f>
        <v>0</v>
      </c>
      <c r="AO39" s="34">
        <f>$T$39*'[2]direct emissions'!AF25</f>
        <v>1.2322470045499526E-10</v>
      </c>
      <c r="AP39" s="34">
        <f>$T$39*'[2]direct emissions'!AG25</f>
        <v>1.9853997052181854E-8</v>
      </c>
      <c r="AQ39" s="34">
        <f>$T$39*'[2]direct emissions'!AH25</f>
        <v>0</v>
      </c>
    </row>
    <row r="40" spans="1:45">
      <c r="A40" s="32" t="s">
        <v>148</v>
      </c>
      <c r="B40" s="30">
        <v>80</v>
      </c>
      <c r="C40" s="30">
        <v>0.8</v>
      </c>
      <c r="D40" s="30">
        <v>8960</v>
      </c>
      <c r="E40" s="30">
        <v>0.5</v>
      </c>
      <c r="F40" s="31">
        <f>$B$40*$C$40*$D$40/$E$40/1000000000*(1-E40*B3)</f>
        <v>6.0211200000000002E-4</v>
      </c>
      <c r="G40" s="96">
        <f>$B$40*$C$40*$D$40/$E$40/1000000000</f>
        <v>1.1468800000000001E-3</v>
      </c>
      <c r="H40" s="1"/>
      <c r="R40" s="10"/>
      <c r="S40" t="str">
        <f t="shared" si="4"/>
        <v>acetic anhydride</v>
      </c>
      <c r="T40" s="10">
        <f t="shared" si="5"/>
        <v>3.2457115384615373E-5</v>
      </c>
      <c r="U40" s="34">
        <f>$T$40*'[2]direct emissions'!D26</f>
        <v>0</v>
      </c>
      <c r="V40" s="34">
        <f>$T$40*'[2]direct emissions'!M26</f>
        <v>0</v>
      </c>
      <c r="W40" s="34">
        <f>$T$40*'[2]direct emissions'!N26</f>
        <v>0</v>
      </c>
      <c r="X40" s="34">
        <f>$T$40*'[2]direct emissions'!O26</f>
        <v>0</v>
      </c>
      <c r="Y40" s="34">
        <f>$T$40*'[2]direct emissions'!P26</f>
        <v>0</v>
      </c>
      <c r="Z40" s="34">
        <f>$T$40*'[2]direct emissions'!Q26</f>
        <v>1.7929093466744875E-10</v>
      </c>
      <c r="AA40" s="34">
        <f>$T$40*'[2]direct emissions'!R26</f>
        <v>0</v>
      </c>
      <c r="AB40" s="34">
        <f>$T$40*'[2]direct emissions'!S26</f>
        <v>0</v>
      </c>
      <c r="AC40" s="34">
        <f>$T$40*'[2]direct emissions'!T26</f>
        <v>0</v>
      </c>
      <c r="AD40" s="34">
        <f>$T$40*'[2]direct emissions'!U26</f>
        <v>1.0433146581352995E-11</v>
      </c>
      <c r="AE40" s="34">
        <f>$T$40*'[2]direct emissions'!V26</f>
        <v>0</v>
      </c>
      <c r="AF40" s="34">
        <f>$T$40*'[2]direct emissions'!W26</f>
        <v>0</v>
      </c>
      <c r="AG40" s="34">
        <f>$T$40*'[2]direct emissions'!X26</f>
        <v>0</v>
      </c>
      <c r="AH40" s="34">
        <f>$T$40*'[2]direct emissions'!Y26</f>
        <v>0</v>
      </c>
      <c r="AI40" s="34">
        <f>$T$40*'[2]direct emissions'!Z26</f>
        <v>0</v>
      </c>
      <c r="AJ40" s="34">
        <f>$T$40*'[2]direct emissions'!AA26</f>
        <v>0</v>
      </c>
      <c r="AK40" s="34">
        <f>$T$40*'[2]direct emissions'!AB26</f>
        <v>0</v>
      </c>
      <c r="AL40" s="34">
        <f>$T$40*'[2]direct emissions'!AC26</f>
        <v>4.2207920775144749E-9</v>
      </c>
      <c r="AM40" s="34">
        <f>$T$40*'[2]direct emissions'!AD26</f>
        <v>0</v>
      </c>
      <c r="AN40" s="34">
        <f>$T$40*'[2]direct emissions'!AE26</f>
        <v>0</v>
      </c>
      <c r="AO40" s="34">
        <f>$T$40*'[2]direct emissions'!AF26</f>
        <v>0</v>
      </c>
      <c r="AP40" s="34">
        <f>$T$40*'[2]direct emissions'!AG26</f>
        <v>0</v>
      </c>
      <c r="AQ40" s="34">
        <f>$T$40*'[2]direct emissions'!AH26</f>
        <v>0</v>
      </c>
    </row>
    <row r="41" spans="1:45">
      <c r="A41" s="30" t="s">
        <v>149</v>
      </c>
      <c r="B41" s="33"/>
      <c r="C41" s="30"/>
      <c r="D41" s="30"/>
      <c r="E41" s="30"/>
      <c r="F41" s="31">
        <f>20/10*10000/1000*1.784/1000*'energy consumption'!D20/60</f>
        <v>8.6496969696969697E-2</v>
      </c>
      <c r="G41" s="1"/>
      <c r="H41" s="1"/>
      <c r="S41" t="str">
        <f t="shared" si="4"/>
        <v>TiO2</v>
      </c>
      <c r="T41" s="10">
        <f t="shared" si="5"/>
        <v>5.9219999999999985E-5</v>
      </c>
      <c r="U41" s="36"/>
      <c r="V41" s="36"/>
      <c r="W41" s="36"/>
      <c r="X41" s="36"/>
      <c r="Y41" s="36"/>
      <c r="Z41" s="36"/>
      <c r="AA41" s="36"/>
      <c r="AB41" s="36"/>
      <c r="AC41" s="36"/>
      <c r="AD41" s="36"/>
      <c r="AE41" s="36"/>
      <c r="AF41" s="36"/>
      <c r="AG41" s="36"/>
      <c r="AH41" s="36"/>
      <c r="AI41" s="36"/>
      <c r="AJ41" s="36"/>
      <c r="AK41" s="36"/>
      <c r="AL41" s="36"/>
      <c r="AM41" s="36"/>
      <c r="AN41" s="36"/>
      <c r="AO41" s="36"/>
      <c r="AP41" s="36"/>
      <c r="AQ41" s="36"/>
    </row>
    <row r="42" spans="1:45">
      <c r="A42" s="30" t="s">
        <v>150</v>
      </c>
      <c r="B42" s="33"/>
      <c r="C42" s="30"/>
      <c r="D42" s="30"/>
      <c r="E42" s="30"/>
      <c r="F42" s="31">
        <f>F41*0.1/100</f>
        <v>8.6496969696969701E-5</v>
      </c>
      <c r="G42" s="1"/>
      <c r="H42" s="1"/>
      <c r="S42" t="str">
        <f t="shared" si="4"/>
        <v>FAI</v>
      </c>
      <c r="T42" s="10">
        <f t="shared" si="5"/>
        <v>2.1620669892322627E-4</v>
      </c>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10"/>
      <c r="AS42" s="10"/>
    </row>
    <row r="43" spans="1:45">
      <c r="A43" s="7" t="s">
        <v>21</v>
      </c>
      <c r="B43" s="2"/>
      <c r="C43" s="2"/>
      <c r="D43" s="2"/>
      <c r="E43" s="2"/>
      <c r="F43" s="27"/>
      <c r="G43" s="1"/>
      <c r="H43" s="1"/>
      <c r="S43" t="str">
        <f t="shared" si="4"/>
        <v>PbI2</v>
      </c>
      <c r="T43" s="10">
        <f t="shared" si="5"/>
        <v>6.0845844542899835E-4</v>
      </c>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10"/>
      <c r="AS43" s="10"/>
    </row>
    <row r="44" spans="1:45">
      <c r="A44" s="1" t="s">
        <v>10</v>
      </c>
      <c r="B44" s="2"/>
      <c r="C44" s="2"/>
      <c r="D44" s="2"/>
      <c r="E44" s="2"/>
      <c r="F44" s="27">
        <f>F23+F18/1*0.908</f>
        <v>5.7047757890757889E-4</v>
      </c>
      <c r="G44" s="1" t="s">
        <v>89</v>
      </c>
      <c r="H44" s="1"/>
      <c r="S44" t="str">
        <f t="shared" si="4"/>
        <v>MABr</v>
      </c>
      <c r="T44" s="10">
        <f t="shared" si="5"/>
        <v>2.6086772701817455E-5</v>
      </c>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10"/>
      <c r="AS44" s="10"/>
    </row>
    <row r="45" spans="1:45">
      <c r="A45" s="1" t="s">
        <v>133</v>
      </c>
      <c r="F45" s="27">
        <f>F18/1*0.0481*(1-E18)</f>
        <v>6.0277499999999966E-6</v>
      </c>
      <c r="G45" s="1" t="s">
        <v>89</v>
      </c>
      <c r="H45" s="1"/>
      <c r="S45" t="str">
        <f t="shared" si="4"/>
        <v>PbBr2</v>
      </c>
      <c r="T45" s="10">
        <f t="shared" si="5"/>
        <v>8.5480764121133977E-5</v>
      </c>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10"/>
      <c r="AS45" s="10"/>
    </row>
    <row r="46" spans="1:45">
      <c r="A46" s="1" t="s">
        <v>41</v>
      </c>
      <c r="B46" s="2"/>
      <c r="C46" s="2"/>
      <c r="D46" s="2"/>
      <c r="E46" s="2"/>
      <c r="F46" s="27">
        <f>F18/1*0.0608</f>
        <v>3.809638253638253E-5</v>
      </c>
      <c r="G46" s="1" t="s">
        <v>89</v>
      </c>
      <c r="H46" s="1"/>
      <c r="S46" t="str">
        <f t="shared" si="4"/>
        <v>DMF</v>
      </c>
      <c r="T46" s="10">
        <f t="shared" si="5"/>
        <v>1.2328548703323806E-3</v>
      </c>
      <c r="U46" s="34">
        <f>$T$46*'[2]direct emissions'!D28</f>
        <v>0</v>
      </c>
      <c r="V46" s="34">
        <f>$T$46*'[2]direct emissions'!M28</f>
        <v>0</v>
      </c>
      <c r="W46" s="34">
        <f>$T$46*'[2]direct emissions'!N28</f>
        <v>0</v>
      </c>
      <c r="X46" s="34">
        <f>$T$46*'[2]direct emissions'!O28</f>
        <v>0</v>
      </c>
      <c r="Y46" s="34">
        <f>$T$46*'[2]direct emissions'!P28</f>
        <v>0</v>
      </c>
      <c r="Z46" s="34">
        <f>$T$46*'[2]direct emissions'!Q28</f>
        <v>0</v>
      </c>
      <c r="AA46" s="34">
        <f>$T$46*'[2]direct emissions'!R28</f>
        <v>0</v>
      </c>
      <c r="AB46" s="34">
        <f>$T$46*'[2]direct emissions'!S28</f>
        <v>0</v>
      </c>
      <c r="AC46" s="34">
        <f>$T$46*'[2]direct emissions'!T28</f>
        <v>0</v>
      </c>
      <c r="AD46" s="34">
        <f>$T$46*'[2]direct emissions'!U28</f>
        <v>0</v>
      </c>
      <c r="AE46" s="34">
        <f>$T$46*'[2]direct emissions'!V28</f>
        <v>0</v>
      </c>
      <c r="AF46" s="34">
        <f>$T$46*'[2]direct emissions'!W28</f>
        <v>0</v>
      </c>
      <c r="AG46" s="34">
        <f>$T$46*'[2]direct emissions'!X28</f>
        <v>0</v>
      </c>
      <c r="AH46" s="34">
        <f>$T$46*'[2]direct emissions'!Y28</f>
        <v>0</v>
      </c>
      <c r="AI46" s="34">
        <f>$T$46*'[2]direct emissions'!Z28</f>
        <v>0</v>
      </c>
      <c r="AJ46" s="34">
        <f>$T$46*'[2]direct emissions'!AA28</f>
        <v>0</v>
      </c>
      <c r="AK46" s="34">
        <f>$T$46*'[2]direct emissions'!AB28</f>
        <v>0</v>
      </c>
      <c r="AL46" s="34">
        <f>$T$46*'[2]direct emissions'!AC28</f>
        <v>0</v>
      </c>
      <c r="AM46" s="34">
        <f>$T$46*'[2]direct emissions'!AD28</f>
        <v>0</v>
      </c>
      <c r="AN46" s="34">
        <f>$T$46*'[2]direct emissions'!AE28</f>
        <v>0</v>
      </c>
      <c r="AO46" s="34">
        <f>$T$46*'[2]direct emissions'!AF28</f>
        <v>0</v>
      </c>
      <c r="AP46" s="34">
        <f>$T$46*'[2]direct emissions'!AG28</f>
        <v>0</v>
      </c>
      <c r="AQ46" s="34">
        <f>$T$46*'[2]direct emissions'!AH28</f>
        <v>0</v>
      </c>
    </row>
    <row r="47" spans="1:45">
      <c r="A47" s="1" t="s">
        <v>134</v>
      </c>
      <c r="B47" s="2"/>
      <c r="C47" s="2"/>
      <c r="D47" s="2"/>
      <c r="E47" s="2"/>
      <c r="F47" s="27">
        <f>F18/1*0.0294</f>
        <v>1.8421606029106024E-5</v>
      </c>
      <c r="G47" s="1" t="s">
        <v>89</v>
      </c>
      <c r="H47" s="1"/>
      <c r="S47" t="str">
        <f t="shared" si="4"/>
        <v>DMSO</v>
      </c>
      <c r="T47" s="10">
        <f t="shared" si="5"/>
        <v>3.5914734040403036E-4</v>
      </c>
      <c r="U47" s="39"/>
      <c r="V47" s="39"/>
      <c r="W47" s="39"/>
      <c r="X47" s="39"/>
      <c r="Y47" s="39"/>
      <c r="Z47" s="39"/>
      <c r="AA47" s="39"/>
      <c r="AB47" s="39"/>
      <c r="AC47" s="39"/>
      <c r="AD47" s="39"/>
      <c r="AE47" s="39"/>
      <c r="AF47" s="39"/>
      <c r="AG47" s="39"/>
      <c r="AH47" s="39"/>
      <c r="AI47" s="39"/>
      <c r="AJ47" s="39"/>
      <c r="AK47" s="39"/>
      <c r="AL47" s="39"/>
      <c r="AM47" s="39"/>
      <c r="AN47" s="39"/>
      <c r="AO47" s="39"/>
      <c r="AP47" s="39"/>
      <c r="AQ47" s="39"/>
    </row>
    <row r="48" spans="1:45">
      <c r="A48" s="1" t="s">
        <v>135</v>
      </c>
      <c r="B48" s="2"/>
      <c r="C48" s="2"/>
      <c r="D48" s="2"/>
      <c r="E48" s="2"/>
      <c r="F48" s="27">
        <f>F18/1*0.0518</f>
        <v>3.2457115384615373E-5</v>
      </c>
      <c r="G48" s="1" t="s">
        <v>89</v>
      </c>
      <c r="H48" s="1"/>
      <c r="S48" t="str">
        <f t="shared" si="4"/>
        <v>Chlorobenzene</v>
      </c>
      <c r="T48" s="10">
        <f t="shared" si="5"/>
        <v>5.617000040799674E-3</v>
      </c>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10"/>
      <c r="AS48" s="10"/>
    </row>
    <row r="49" spans="1:45">
      <c r="A49" s="1" t="s">
        <v>24</v>
      </c>
      <c r="B49" s="2"/>
      <c r="C49" s="2"/>
      <c r="D49" s="2"/>
      <c r="E49" s="2"/>
      <c r="F49" s="27">
        <f>F22*0.7</f>
        <v>5.9219999999999985E-5</v>
      </c>
      <c r="G49" s="1" t="s">
        <v>89</v>
      </c>
      <c r="H49" s="1"/>
      <c r="S49" t="str">
        <f t="shared" si="4"/>
        <v>spiro-OMeTAD</v>
      </c>
      <c r="T49" s="10">
        <f t="shared" si="5"/>
        <v>2.5480000000000001E-4</v>
      </c>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10"/>
      <c r="AS49" s="10"/>
    </row>
    <row r="50" spans="1:45">
      <c r="A50" s="1" t="s">
        <v>33</v>
      </c>
      <c r="B50" s="2"/>
      <c r="C50" s="2"/>
      <c r="D50" s="2"/>
      <c r="E50" s="2"/>
      <c r="F50" s="27">
        <f>F25*0.7</f>
        <v>2.1620669892322627E-4</v>
      </c>
      <c r="G50" s="1" t="s">
        <v>89</v>
      </c>
      <c r="H50" s="1"/>
      <c r="S50" t="str">
        <f t="shared" si="4"/>
        <v>bis(trifluoromethanesulfonyl)imide</v>
      </c>
      <c r="T50" s="10">
        <f t="shared" si="5"/>
        <v>2.9835822113423089E-5</v>
      </c>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10"/>
      <c r="AS50" s="10"/>
    </row>
    <row r="51" spans="1:45">
      <c r="A51" s="1" t="s">
        <v>18</v>
      </c>
      <c r="B51" s="2"/>
      <c r="C51" s="2"/>
      <c r="D51" s="2"/>
      <c r="E51" s="2"/>
      <c r="F51" s="27">
        <f>F26*0.7</f>
        <v>6.0845844542899835E-4</v>
      </c>
      <c r="G51" s="1" t="s">
        <v>89</v>
      </c>
      <c r="H51" s="1"/>
      <c r="S51" t="str">
        <f t="shared" si="4"/>
        <v>Acetonitrile</v>
      </c>
      <c r="T51" s="10">
        <f t="shared" si="5"/>
        <v>1.9706685866513067E-4</v>
      </c>
      <c r="U51" s="34">
        <f>$T$51*'[2]direct emissions'!D30</f>
        <v>0</v>
      </c>
      <c r="V51" s="34">
        <f>$T$51*'[2]direct emissions'!M30</f>
        <v>0</v>
      </c>
      <c r="W51" s="34">
        <f>$T$51*'[2]direct emissions'!N30</f>
        <v>0</v>
      </c>
      <c r="X51" s="34">
        <f>$T$51*'[2]direct emissions'!O30</f>
        <v>0</v>
      </c>
      <c r="Y51" s="34">
        <f>$T$51*'[2]direct emissions'!P30</f>
        <v>0</v>
      </c>
      <c r="Z51" s="34">
        <f>$T$51*'[2]direct emissions'!Q30</f>
        <v>3.3507875436912989E-8</v>
      </c>
      <c r="AA51" s="34">
        <f>$T$51*'[2]direct emissions'!R30</f>
        <v>0</v>
      </c>
      <c r="AB51" s="34">
        <f>$T$51*'[2]direct emissions'!S30</f>
        <v>9.2781347778621431E-5</v>
      </c>
      <c r="AC51" s="34">
        <f>$T$51*'[2]direct emissions'!T30</f>
        <v>0</v>
      </c>
      <c r="AD51" s="34">
        <f>$T$51*'[2]direct emissions'!U30</f>
        <v>3.4293582319307832E-7</v>
      </c>
      <c r="AE51" s="34">
        <f>$T$51*'[2]direct emissions'!V30</f>
        <v>0</v>
      </c>
      <c r="AF51" s="34">
        <f>$T$51*'[2]direct emissions'!W30</f>
        <v>0</v>
      </c>
      <c r="AG51" s="34">
        <f>$T$51*'[2]direct emissions'!X30</f>
        <v>0</v>
      </c>
      <c r="AH51" s="34">
        <f>$T$51*'[2]direct emissions'!Y30</f>
        <v>0</v>
      </c>
      <c r="AI51" s="34">
        <f>$T$51*'[2]direct emissions'!Z30</f>
        <v>0</v>
      </c>
      <c r="AJ51" s="34">
        <f>$T$51*'[2]direct emissions'!AA30</f>
        <v>0</v>
      </c>
      <c r="AK51" s="34">
        <f>$T$51*'[2]direct emissions'!AB30</f>
        <v>0</v>
      </c>
      <c r="AL51" s="34">
        <f>$T$51*'[2]direct emissions'!AC30</f>
        <v>7.2994900232020424E-8</v>
      </c>
      <c r="AM51" s="34">
        <f>$T$51*'[2]direct emissions'!AD30</f>
        <v>0</v>
      </c>
      <c r="AN51" s="34">
        <f>$T$51*'[2]direct emissions'!AE30</f>
        <v>0</v>
      </c>
      <c r="AO51" s="34">
        <f>$T$51*'[2]direct emissions'!AF30</f>
        <v>1.6118279809697517E-8</v>
      </c>
      <c r="AP51" s="34">
        <f>$T$51*'[2]direct emissions'!AG30</f>
        <v>6.3362871653684963E-7</v>
      </c>
      <c r="AQ51" s="34">
        <f>$T$51*'[2]direct emissions'!AH30</f>
        <v>0</v>
      </c>
    </row>
    <row r="52" spans="1:45">
      <c r="A52" s="1" t="s">
        <v>34</v>
      </c>
      <c r="B52" s="2"/>
      <c r="C52" s="2"/>
      <c r="D52" s="2"/>
      <c r="E52" s="2"/>
      <c r="F52" s="27">
        <f>F27*0.7</f>
        <v>2.6086772701817455E-5</v>
      </c>
      <c r="G52" s="1" t="s">
        <v>89</v>
      </c>
      <c r="H52" s="1"/>
      <c r="S52" t="str">
        <f t="shared" si="4"/>
        <v>FK209</v>
      </c>
      <c r="T52" s="10">
        <f t="shared" si="5"/>
        <v>9.3748935128518966E-6</v>
      </c>
      <c r="U52" s="39"/>
      <c r="V52" s="39"/>
      <c r="W52" s="39"/>
      <c r="X52" s="39"/>
      <c r="Y52" s="39"/>
      <c r="Z52" s="39"/>
      <c r="AA52" s="39"/>
      <c r="AB52" s="39"/>
      <c r="AC52" s="39"/>
      <c r="AD52" s="39"/>
      <c r="AE52" s="39"/>
      <c r="AF52" s="39"/>
      <c r="AG52" s="39"/>
      <c r="AH52" s="39"/>
      <c r="AI52" s="39"/>
      <c r="AJ52" s="39"/>
      <c r="AK52" s="39"/>
      <c r="AL52" s="39"/>
      <c r="AM52" s="39"/>
      <c r="AN52" s="39"/>
      <c r="AO52" s="39"/>
      <c r="AP52" s="39"/>
      <c r="AQ52" s="39"/>
    </row>
    <row r="53" spans="1:45">
      <c r="A53" s="1" t="s">
        <v>35</v>
      </c>
      <c r="B53" s="2"/>
      <c r="C53" s="2"/>
      <c r="D53" s="2"/>
      <c r="E53" s="2"/>
      <c r="F53" s="27">
        <f>F28*0.7</f>
        <v>8.5480764121133977E-5</v>
      </c>
      <c r="G53" s="1" t="s">
        <v>89</v>
      </c>
      <c r="H53" s="1"/>
      <c r="S53" t="str">
        <f t="shared" si="4"/>
        <v>4-tert-Butylpyridine</v>
      </c>
      <c r="T53" s="10">
        <f t="shared" si="5"/>
        <v>9.3561811505507954E-5</v>
      </c>
      <c r="U53" s="34">
        <f>$T$53*'[2]direct emissions'!D31</f>
        <v>0</v>
      </c>
      <c r="V53" s="34">
        <f>$T$53*'[2]direct emissions'!M31</f>
        <v>0</v>
      </c>
      <c r="W53" s="34">
        <f>$T$53*'[2]direct emissions'!N31</f>
        <v>0</v>
      </c>
      <c r="X53" s="34">
        <f>$T$53*'[2]direct emissions'!O31</f>
        <v>0</v>
      </c>
      <c r="Y53" s="34">
        <f>$T$53*'[2]direct emissions'!P31</f>
        <v>0</v>
      </c>
      <c r="Z53" s="34">
        <f>$T$53*'[2]direct emissions'!Q31</f>
        <v>6.773262835392773E-8</v>
      </c>
      <c r="AA53" s="34">
        <f>$T$53*'[2]direct emissions'!R31</f>
        <v>0</v>
      </c>
      <c r="AB53" s="34">
        <f>$T$53*'[2]direct emissions'!S31</f>
        <v>0</v>
      </c>
      <c r="AC53" s="34">
        <f>$T$53*'[2]direct emissions'!T31</f>
        <v>0</v>
      </c>
      <c r="AD53" s="34">
        <f>$T$53*'[2]direct emissions'!U31</f>
        <v>7.714779310226983E-7</v>
      </c>
      <c r="AE53" s="34">
        <f>$T$53*'[2]direct emissions'!V31</f>
        <v>0</v>
      </c>
      <c r="AF53" s="34">
        <f>$T$53*'[2]direct emissions'!W31</f>
        <v>0</v>
      </c>
      <c r="AG53" s="34">
        <f>$T$53*'[2]direct emissions'!X31</f>
        <v>0</v>
      </c>
      <c r="AH53" s="34">
        <f>$T$53*'[2]direct emissions'!Y31</f>
        <v>0</v>
      </c>
      <c r="AI53" s="34">
        <f>$T$53*'[2]direct emissions'!Z31</f>
        <v>0</v>
      </c>
      <c r="AJ53" s="34">
        <f>$T$53*'[2]direct emissions'!AA31</f>
        <v>0</v>
      </c>
      <c r="AK53" s="34">
        <f>$T$53*'[2]direct emissions'!AB31</f>
        <v>0</v>
      </c>
      <c r="AL53" s="34">
        <f>$T$53*'[2]direct emissions'!AC31</f>
        <v>4.0117018489541719E-8</v>
      </c>
      <c r="AM53" s="34">
        <f>$T$53*'[2]direct emissions'!AD31</f>
        <v>0</v>
      </c>
      <c r="AN53" s="34">
        <f>$T$53*'[2]direct emissions'!AE31</f>
        <v>0</v>
      </c>
      <c r="AO53" s="34">
        <f>$T$53*'[2]direct emissions'!AF31</f>
        <v>0</v>
      </c>
      <c r="AP53" s="34">
        <f>$T$53*'[2]direct emissions'!AG31</f>
        <v>0</v>
      </c>
      <c r="AQ53" s="34">
        <f>$T$53*'[2]direct emissions'!AH31</f>
        <v>0</v>
      </c>
      <c r="AR53" s="10"/>
    </row>
    <row r="54" spans="1:45">
      <c r="A54" s="1" t="s">
        <v>36</v>
      </c>
      <c r="B54" s="2"/>
      <c r="C54" s="2"/>
      <c r="D54" s="2"/>
      <c r="E54" s="2"/>
      <c r="F54" s="27">
        <f>F29</f>
        <v>1.2328548703323806E-3</v>
      </c>
      <c r="G54" s="1" t="s">
        <v>89</v>
      </c>
      <c r="H54" s="1"/>
      <c r="S54" s="42" t="str">
        <f t="shared" si="4"/>
        <v>Cu</v>
      </c>
      <c r="T54" s="43">
        <f t="shared" si="5"/>
        <v>5.7344000000000004E-4</v>
      </c>
      <c r="U54" s="43">
        <f>$T$54*'[2]direct emissions'!D32</f>
        <v>0</v>
      </c>
      <c r="V54" s="43">
        <f>$T$54*'[2]direct emissions'!M32</f>
        <v>0</v>
      </c>
      <c r="W54" s="43">
        <f>$T$54*'[2]direct emissions'!N32</f>
        <v>0</v>
      </c>
      <c r="X54" s="43">
        <f>$T$54*'[2]direct emissions'!O32</f>
        <v>0</v>
      </c>
      <c r="Y54" s="43">
        <f>$T$54*'[2]direct emissions'!P32</f>
        <v>0</v>
      </c>
      <c r="Z54" s="43">
        <f>$T$54*'[2]direct emissions'!Q32</f>
        <v>5.1218720841288021E-2</v>
      </c>
      <c r="AA54" s="43">
        <f>$T$54*'[2]direct emissions'!R32</f>
        <v>0</v>
      </c>
      <c r="AB54" s="43">
        <f>$T$54*'[2]direct emissions'!S32</f>
        <v>1485.4085175812311</v>
      </c>
      <c r="AC54" s="43">
        <f>$T$54*'[2]direct emissions'!T32</f>
        <v>0</v>
      </c>
      <c r="AD54" s="43">
        <f>$T$54*'[2]direct emissions'!U32</f>
        <v>843.92090759782559</v>
      </c>
      <c r="AE54" s="43">
        <f>$T$54*'[2]direct emissions'!V32</f>
        <v>0</v>
      </c>
      <c r="AF54" s="43">
        <f>$T$54*'[2]direct emissions'!W32</f>
        <v>0</v>
      </c>
      <c r="AG54" s="43">
        <f>$T$54*'[2]direct emissions'!X32</f>
        <v>0</v>
      </c>
      <c r="AH54" s="43">
        <f>$T$54*'[2]direct emissions'!Y32</f>
        <v>0</v>
      </c>
      <c r="AI54" s="43">
        <f>$T$54*'[2]direct emissions'!Z32</f>
        <v>0</v>
      </c>
      <c r="AJ54" s="43">
        <f>$T$54*'[2]direct emissions'!AA32</f>
        <v>0</v>
      </c>
      <c r="AK54" s="43">
        <f>$T$54*'[2]direct emissions'!AB32</f>
        <v>0</v>
      </c>
      <c r="AL54" s="43">
        <f>$T$54*'[2]direct emissions'!AC32</f>
        <v>4.851257918922583E-2</v>
      </c>
      <c r="AM54" s="43">
        <f>$T$54*'[2]direct emissions'!AD32</f>
        <v>0</v>
      </c>
      <c r="AN54" s="43">
        <f>$T$54*'[2]direct emissions'!AE32</f>
        <v>0</v>
      </c>
      <c r="AO54" s="43">
        <f>$T$54*'[2]direct emissions'!AF32</f>
        <v>0</v>
      </c>
      <c r="AP54" s="43">
        <f>$T$54*'[2]direct emissions'!AG32</f>
        <v>0</v>
      </c>
      <c r="AQ54" s="43">
        <f>$T$54*'[2]direct emissions'!AH32</f>
        <v>0</v>
      </c>
    </row>
    <row r="55" spans="1:45">
      <c r="A55" s="1" t="s">
        <v>37</v>
      </c>
      <c r="B55" s="2"/>
      <c r="C55" s="2"/>
      <c r="D55" s="2"/>
      <c r="E55" s="2"/>
      <c r="F55" s="27">
        <f>F30</f>
        <v>3.5914734040403036E-4</v>
      </c>
      <c r="G55" s="1" t="s">
        <v>89</v>
      </c>
      <c r="H55" s="1"/>
      <c r="S55" s="42" t="s">
        <v>149</v>
      </c>
      <c r="T55" s="43">
        <f t="shared" si="5"/>
        <v>8.6496969696969697E-2</v>
      </c>
      <c r="U55" s="43"/>
      <c r="V55" s="43"/>
      <c r="W55" s="43"/>
      <c r="X55" s="43"/>
      <c r="Y55" s="43"/>
      <c r="Z55" s="43"/>
      <c r="AA55" s="43"/>
      <c r="AB55" s="43"/>
      <c r="AC55" s="43"/>
      <c r="AD55" s="43"/>
      <c r="AE55" s="43"/>
      <c r="AF55" s="43"/>
      <c r="AG55" s="43"/>
      <c r="AH55" s="43"/>
      <c r="AI55" s="43"/>
      <c r="AJ55" s="43"/>
      <c r="AK55" s="43"/>
      <c r="AL55" s="43"/>
      <c r="AM55" s="43"/>
      <c r="AN55" s="43"/>
      <c r="AO55" s="43"/>
      <c r="AP55" s="43"/>
      <c r="AQ55" s="43"/>
    </row>
    <row r="56" spans="1:45">
      <c r="A56" s="1" t="s">
        <v>32</v>
      </c>
      <c r="B56" s="2"/>
      <c r="C56" s="2"/>
      <c r="D56" s="2"/>
      <c r="E56" s="2"/>
      <c r="F56" s="27">
        <f>F31+F38</f>
        <v>5.617000040799674E-3</v>
      </c>
      <c r="G56" s="1" t="s">
        <v>89</v>
      </c>
      <c r="H56" s="1"/>
      <c r="S56" s="42" t="s">
        <v>150</v>
      </c>
      <c r="T56" s="43">
        <f t="shared" si="5"/>
        <v>8.6496969696969701E-5</v>
      </c>
      <c r="U56" s="43"/>
      <c r="V56" s="43"/>
      <c r="W56" s="43"/>
      <c r="X56" s="43"/>
      <c r="Y56" s="43"/>
      <c r="Z56" s="43"/>
      <c r="AA56" s="43"/>
      <c r="AB56" s="43"/>
      <c r="AC56" s="43"/>
      <c r="AD56" s="43"/>
      <c r="AE56" s="43"/>
      <c r="AF56" s="43"/>
      <c r="AG56" s="43"/>
      <c r="AH56" s="43"/>
      <c r="AI56" s="43"/>
      <c r="AJ56" s="43"/>
      <c r="AK56" s="43"/>
      <c r="AL56" s="43"/>
      <c r="AM56" s="43"/>
      <c r="AN56" s="43"/>
      <c r="AO56" s="43"/>
      <c r="AP56" s="43"/>
      <c r="AQ56" s="43"/>
    </row>
    <row r="57" spans="1:45">
      <c r="A57" s="1" t="s">
        <v>31</v>
      </c>
      <c r="B57" s="2"/>
      <c r="C57" s="2"/>
      <c r="D57" s="2"/>
      <c r="E57" s="2"/>
      <c r="F57" s="27">
        <f>F33*0.7</f>
        <v>2.5480000000000001E-4</v>
      </c>
      <c r="G57" s="1" t="s">
        <v>89</v>
      </c>
      <c r="H57" s="1"/>
    </row>
    <row r="58" spans="1:45">
      <c r="A58" s="1" t="s">
        <v>132</v>
      </c>
      <c r="B58" s="2"/>
      <c r="C58" s="2"/>
      <c r="D58" s="2"/>
      <c r="E58" s="2"/>
      <c r="F58" s="27">
        <f>F34*0.7</f>
        <v>2.9835822113423089E-5</v>
      </c>
      <c r="G58" s="1" t="s">
        <v>89</v>
      </c>
      <c r="H58" s="1"/>
      <c r="S58" s="11" t="s">
        <v>92</v>
      </c>
      <c r="T58" s="10">
        <f>F67</f>
        <v>2.3119999999999995E-2</v>
      </c>
      <c r="U58" s="34">
        <f>$T$58/1000*[2]production!D3</f>
        <v>5.7228935999999982E-5</v>
      </c>
      <c r="V58" s="34">
        <f>$T$58/1000*[2]production!M3</f>
        <v>4.7824445274400002E-4</v>
      </c>
      <c r="W58" s="34">
        <f>$T$58/1000*[2]production!N3</f>
        <v>2.0548593599999995E-6</v>
      </c>
      <c r="X58" s="34">
        <f>$T$58/1000*[2]production!O3</f>
        <v>5.236448799999999E-5</v>
      </c>
      <c r="Y58" s="34">
        <f>$T$58/1000*[2]production!P3</f>
        <v>9.0484743999999985E-6</v>
      </c>
      <c r="Z58" s="34">
        <f>$T$58/1000*[2]production!Q3</f>
        <v>8.0011383999999978E-7</v>
      </c>
      <c r="AA58" s="34">
        <f>$T$58/1000*[2]production!R3</f>
        <v>3.2515967999999993E-7</v>
      </c>
      <c r="AB58" s="34">
        <f>$T$58/1000*[2]production!S3</f>
        <v>7.3870711999999986E-4</v>
      </c>
      <c r="AC58" s="34">
        <f>$T$58/1000*[2]production!T3</f>
        <v>3.6682191999999992E-6</v>
      </c>
      <c r="AD58" s="34">
        <f>$T$58/1000*[2]production!U3</f>
        <v>7.1845399999999988E-4</v>
      </c>
      <c r="AE58" s="34">
        <f>$T$58/1000*[2]production!V3</f>
        <v>3.0136919999999994E-6</v>
      </c>
      <c r="AF58" s="34">
        <f>$T$58/1000*[2]production!W3</f>
        <v>4.0381391999999994E-6</v>
      </c>
      <c r="AG58" s="34">
        <f>$T$58/1000*[2]production!X3</f>
        <v>4.1995167999999994E-9</v>
      </c>
      <c r="AH58" s="34">
        <f>$T$58/1000*[2]production!Y3</f>
        <v>4.2432135999999993E-12</v>
      </c>
      <c r="AI58" s="34">
        <f>$T$58/1000*[2]production!Z3</f>
        <v>1.1692246399999998E-7</v>
      </c>
      <c r="AJ58" s="34">
        <f>$T$58/1000*[2]production!AA3</f>
        <v>1.3747383199999998E-7</v>
      </c>
      <c r="AK58" s="34">
        <f>$T$58/1000*[2]production!AB3</f>
        <v>2.3975439999999999E-7</v>
      </c>
      <c r="AL58" s="34">
        <f>$T$58/1000*[2]production!AC3</f>
        <v>3.194027999999999E-8</v>
      </c>
      <c r="AM58" s="34">
        <f>$T$58/1000*[2]production!AD3</f>
        <v>5.4010631999999987E-7</v>
      </c>
      <c r="AN58" s="34">
        <f>$T$58/1000*[2]production!AE3</f>
        <v>2.4620487999999999E-7</v>
      </c>
      <c r="AO58" s="34">
        <f>$T$58/1000*[2]production!AF3</f>
        <v>2.3455239999999996E-6</v>
      </c>
      <c r="AP58" s="34">
        <f>$T$58/1000*[2]production!AG3</f>
        <v>7.0992271999999984E-6</v>
      </c>
      <c r="AQ58" s="34">
        <f>$T$58/1000*[2]production!AH3</f>
        <v>1.2723629599999998E-6</v>
      </c>
    </row>
    <row r="59" spans="1:45">
      <c r="A59" s="1" t="s">
        <v>25</v>
      </c>
      <c r="B59" s="2"/>
      <c r="C59" s="2"/>
      <c r="D59" s="2"/>
      <c r="E59" s="2"/>
      <c r="F59" s="27">
        <f>F35</f>
        <v>1.9706685866513067E-4</v>
      </c>
      <c r="G59" s="1" t="s">
        <v>89</v>
      </c>
      <c r="H59" s="1"/>
      <c r="S59" s="11" t="s">
        <v>79</v>
      </c>
      <c r="U59" s="38">
        <f t="shared" ref="U59:AQ59" si="6">SUM(U14:U35)+U58</f>
        <v>0.86180286869884393</v>
      </c>
      <c r="V59" s="38">
        <f t="shared" si="6"/>
        <v>17.507180830321044</v>
      </c>
      <c r="W59" s="38">
        <f t="shared" si="6"/>
        <v>0.65350411063440828</v>
      </c>
      <c r="X59" s="38">
        <f t="shared" si="6"/>
        <v>0.8304001223631029</v>
      </c>
      <c r="Y59" s="38">
        <f t="shared" si="6"/>
        <v>0.26557661076166433</v>
      </c>
      <c r="Z59" s="38">
        <f t="shared" si="6"/>
        <v>7.1572793691666525E-2</v>
      </c>
      <c r="AA59" s="38">
        <f t="shared" si="6"/>
        <v>4.8751089552376926E-4</v>
      </c>
      <c r="AB59" s="38">
        <f t="shared" si="6"/>
        <v>1513.8811288085808</v>
      </c>
      <c r="AC59" s="38">
        <f t="shared" si="6"/>
        <v>6.5472997721700399E-2</v>
      </c>
      <c r="AD59" s="38">
        <f t="shared" si="6"/>
        <v>863.20905412912248</v>
      </c>
      <c r="AE59" s="38">
        <f t="shared" si="6"/>
        <v>1.5840104702003566E-3</v>
      </c>
      <c r="AF59" s="38">
        <f t="shared" si="6"/>
        <v>3.8092011587830359</v>
      </c>
      <c r="AG59" s="38">
        <f t="shared" si="6"/>
        <v>3.3214675243436613E-4</v>
      </c>
      <c r="AH59" s="38">
        <f t="shared" si="6"/>
        <v>1.0285752149288726E-7</v>
      </c>
      <c r="AI59" s="38">
        <f t="shared" si="6"/>
        <v>4.4739670503061626E-3</v>
      </c>
      <c r="AJ59" s="38">
        <f t="shared" si="6"/>
        <v>6.7987150034409874E-3</v>
      </c>
      <c r="AK59" s="38">
        <f t="shared" si="6"/>
        <v>8.9618978293051037E-3</v>
      </c>
      <c r="AL59" s="38">
        <f t="shared" si="6"/>
        <v>4.9858439797187321E-2</v>
      </c>
      <c r="AM59" s="38">
        <f t="shared" si="6"/>
        <v>1.7734170806893903E-2</v>
      </c>
      <c r="AN59" s="38">
        <f t="shared" si="6"/>
        <v>4.2865654550900715E-3</v>
      </c>
      <c r="AO59" s="38">
        <f t="shared" si="6"/>
        <v>7.2470504093605281E-2</v>
      </c>
      <c r="AP59" s="38">
        <f t="shared" si="6"/>
        <v>0.23135292876015642</v>
      </c>
      <c r="AQ59" s="38">
        <f t="shared" si="6"/>
        <v>0.20870060751766745</v>
      </c>
    </row>
    <row r="60" spans="1:45">
      <c r="A60" s="1" t="s">
        <v>40</v>
      </c>
      <c r="B60" s="2"/>
      <c r="C60" s="2"/>
      <c r="D60" s="2"/>
      <c r="E60" s="2"/>
      <c r="F60" s="27">
        <f>F36*0.7</f>
        <v>9.3748935128518966E-6</v>
      </c>
      <c r="G60" s="1" t="s">
        <v>89</v>
      </c>
      <c r="H60" s="1"/>
    </row>
    <row r="61" spans="1:45">
      <c r="A61" s="1" t="s">
        <v>38</v>
      </c>
      <c r="B61" s="2"/>
      <c r="C61" s="2"/>
      <c r="D61" s="2"/>
      <c r="E61" s="2"/>
      <c r="F61" s="27">
        <f>F37*0.7</f>
        <v>9.3561811505507954E-5</v>
      </c>
      <c r="G61" s="1" t="s">
        <v>89</v>
      </c>
      <c r="H61" s="1"/>
    </row>
    <row r="62" spans="1:45">
      <c r="A62" s="32" t="str">
        <f>A40</f>
        <v>Cu</v>
      </c>
      <c r="B62" s="30"/>
      <c r="C62" s="30"/>
      <c r="D62" s="30"/>
      <c r="E62" s="30"/>
      <c r="F62" s="31">
        <f>G40*(1-E40)</f>
        <v>5.7344000000000004E-4</v>
      </c>
      <c r="G62" s="1" t="s">
        <v>89</v>
      </c>
      <c r="H62" s="1"/>
    </row>
    <row r="63" spans="1:45">
      <c r="A63" s="32" t="str">
        <f>A41</f>
        <v>Ar</v>
      </c>
      <c r="B63" s="30"/>
      <c r="C63" s="30"/>
      <c r="D63" s="30"/>
      <c r="E63" s="30"/>
      <c r="F63" s="31">
        <f>F41</f>
        <v>8.6496969696969697E-2</v>
      </c>
      <c r="G63" s="1" t="s">
        <v>89</v>
      </c>
      <c r="H63" s="1"/>
    </row>
    <row r="64" spans="1:45">
      <c r="A64" s="32" t="str">
        <f>A42</f>
        <v>O₂</v>
      </c>
      <c r="B64" s="30"/>
      <c r="C64" s="30"/>
      <c r="D64" s="30"/>
      <c r="E64" s="30"/>
      <c r="F64" s="31">
        <f>F42</f>
        <v>8.6496969696969701E-5</v>
      </c>
      <c r="G64" s="1" t="s">
        <v>89</v>
      </c>
      <c r="H64" s="1"/>
    </row>
    <row r="65" spans="1:8">
      <c r="A65" s="7" t="s">
        <v>22</v>
      </c>
      <c r="B65" s="2"/>
      <c r="C65" s="2"/>
      <c r="D65" s="2"/>
      <c r="E65" s="2"/>
      <c r="F65" s="27">
        <f>SUM(F14:F42)-SUM(F44:F64)-F67</f>
        <v>0.50458404007731994</v>
      </c>
      <c r="H65" s="1"/>
    </row>
    <row r="66" spans="1:8">
      <c r="A66" s="1"/>
      <c r="B66" s="2"/>
      <c r="C66" s="2"/>
      <c r="D66" s="2"/>
      <c r="E66" s="2"/>
      <c r="F66" s="27"/>
      <c r="H66" s="1"/>
    </row>
    <row r="67" spans="1:8">
      <c r="A67" s="1" t="s">
        <v>88</v>
      </c>
      <c r="B67" s="2"/>
      <c r="C67" s="2"/>
      <c r="D67" s="2"/>
      <c r="E67" s="2"/>
      <c r="F67" s="27">
        <f>F15+F19+F20+F16</f>
        <v>2.3119999999999995E-2</v>
      </c>
      <c r="G67" s="1"/>
      <c r="H67" s="1"/>
    </row>
    <row r="68" spans="1:8">
      <c r="A68" s="1"/>
      <c r="B68" s="2"/>
      <c r="C68" s="2"/>
      <c r="D68" s="2"/>
      <c r="E68" s="2"/>
      <c r="F68" s="27"/>
      <c r="G68" s="1"/>
      <c r="H68" s="1"/>
    </row>
    <row r="69" spans="1:8">
      <c r="B69" s="2"/>
      <c r="C69" s="2"/>
      <c r="D69" s="2"/>
      <c r="E69" s="2"/>
      <c r="F69" s="27"/>
      <c r="G69" s="1"/>
    </row>
    <row r="70" spans="1:8">
      <c r="G70" s="1"/>
    </row>
    <row r="71" spans="1:8">
      <c r="G71" s="1"/>
    </row>
    <row r="72" spans="1:8">
      <c r="A72" s="10">
        <f>F14/F65</f>
        <v>0.99884253160835101</v>
      </c>
    </row>
    <row r="84" spans="23:23">
      <c r="W84" s="41">
        <f>SUM(V14:V32)</f>
        <v>14.01254206013421</v>
      </c>
    </row>
  </sheetData>
  <mergeCells count="3">
    <mergeCell ref="G12:H12"/>
    <mergeCell ref="W12:AN12"/>
    <mergeCell ref="AO12:AQ12"/>
  </mergeCells>
  <phoneticPr fontId="7" type="noConversion"/>
  <dataValidations count="4">
    <dataValidation type="list" allowBlank="1" showInputMessage="1" showErrorMessage="1" sqref="B10" xr:uid="{CC96CDDE-EE32-4482-8AF6-382F85FBF081}">
      <formula1>"60%,70%,80%,90%"</formula1>
    </dataValidation>
    <dataValidation type="list" allowBlank="1" showInputMessage="1" showErrorMessage="1" sqref="B4:B9" xr:uid="{7500839F-B4DE-4BF2-B255-91FDF60AAB68}">
      <formula1>"80%,100%,120%"</formula1>
    </dataValidation>
    <dataValidation type="list" allowBlank="1" showInputMessage="1" showErrorMessage="1" sqref="B3" xr:uid="{B62002BB-11A8-4BAF-8036-3EA650EE89FD}">
      <formula1>"90%,95%,100%,0%"</formula1>
    </dataValidation>
    <dataValidation type="list" allowBlank="1" showInputMessage="1" showErrorMessage="1" sqref="B2" xr:uid="{31850025-7CB0-4197-BD39-B34D9BB0D1B5}">
      <formula1>"70%,80%,90%,100%,0%"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deal_recycling.ideal_recycling">
                <anchor moveWithCells="1">
                  <from>
                    <xdr:col>3</xdr:col>
                    <xdr:colOff>19050</xdr:colOff>
                    <xdr:row>7</xdr:row>
                    <xdr:rowOff>161925</xdr:rowOff>
                  </from>
                  <to>
                    <xdr:col>5</xdr:col>
                    <xdr:colOff>247650</xdr:colOff>
                    <xdr:row>10</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no_recycling.no_recycling">
                <anchor moveWithCells="1">
                  <from>
                    <xdr:col>3</xdr:col>
                    <xdr:colOff>19050</xdr:colOff>
                    <xdr:row>1</xdr:row>
                    <xdr:rowOff>161925</xdr:rowOff>
                  </from>
                  <to>
                    <xdr:col>5</xdr:col>
                    <xdr:colOff>247650</xdr:colOff>
                    <xdr:row>4</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norminal_recycling.norminal_recycling">
                <anchor moveWithCells="1">
                  <from>
                    <xdr:col>3</xdr:col>
                    <xdr:colOff>19050</xdr:colOff>
                    <xdr:row>4</xdr:row>
                    <xdr:rowOff>180975</xdr:rowOff>
                  </from>
                  <to>
                    <xdr:col>5</xdr:col>
                    <xdr:colOff>247650</xdr:colOff>
                    <xdr:row>7</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50AD-F8E9-4F39-BB99-1484679EE06F}">
  <sheetPr codeName="Sheet7"/>
  <dimension ref="A1:H25"/>
  <sheetViews>
    <sheetView tabSelected="1" workbookViewId="0">
      <pane xSplit="1" topLeftCell="I1" activePane="topRight" state="frozen"/>
      <selection pane="topRight" activeCell="A25" sqref="A25"/>
    </sheetView>
  </sheetViews>
  <sheetFormatPr defaultRowHeight="15"/>
  <cols>
    <col min="1" max="1" width="59" customWidth="1"/>
  </cols>
  <sheetData>
    <row r="1" spans="1:8">
      <c r="C1" s="110">
        <f>results!G37</f>
        <v>39.57300159942956</v>
      </c>
    </row>
    <row r="2" spans="1:8" ht="15.75" thickBot="1">
      <c r="C2" s="111">
        <f>results!H37</f>
        <v>690.21144782042711</v>
      </c>
    </row>
    <row r="3" spans="1:8" ht="15.75" thickBot="1"/>
    <row r="4" spans="1:8" ht="16.5" thickTop="1" thickBot="1">
      <c r="A4" s="21" t="s">
        <v>130</v>
      </c>
      <c r="H4">
        <v>0</v>
      </c>
    </row>
    <row r="5" spans="1:8" ht="15.75" thickTop="1">
      <c r="A5" t="s">
        <v>179</v>
      </c>
      <c r="B5" s="101">
        <v>0.9</v>
      </c>
      <c r="C5">
        <v>39.573146189458356</v>
      </c>
      <c r="D5" s="104">
        <v>0.95</v>
      </c>
      <c r="E5" s="22">
        <v>39.57300159942956</v>
      </c>
      <c r="F5" s="107">
        <v>1</v>
      </c>
      <c r="G5">
        <v>39.572857009400749</v>
      </c>
      <c r="H5">
        <f t="shared" ref="H5:H13" si="0">ABS(G5-C5)</f>
        <v>2.8918005760658616E-4</v>
      </c>
    </row>
    <row r="6" spans="1:8">
      <c r="A6" t="s">
        <v>180</v>
      </c>
      <c r="B6" s="101">
        <v>0.7</v>
      </c>
      <c r="C6">
        <v>39.60664421746236</v>
      </c>
      <c r="D6" s="104">
        <v>0.8</v>
      </c>
      <c r="E6" s="22">
        <v>39.57300159942956</v>
      </c>
      <c r="F6" s="107">
        <v>0.9</v>
      </c>
      <c r="G6">
        <v>39.546835118737377</v>
      </c>
      <c r="H6">
        <f t="shared" si="0"/>
        <v>5.9809098724983301E-2</v>
      </c>
    </row>
    <row r="7" spans="1:8">
      <c r="A7" t="s">
        <v>183</v>
      </c>
      <c r="B7" s="99">
        <f>D7*0.8</f>
        <v>0.2472</v>
      </c>
      <c r="C7">
        <v>39.529092304161992</v>
      </c>
      <c r="D7" s="102">
        <v>0.309</v>
      </c>
      <c r="E7" s="22">
        <v>39.57300159942956</v>
      </c>
      <c r="F7" s="105">
        <f>D7*1.2</f>
        <v>0.37079999999999996</v>
      </c>
      <c r="G7">
        <v>39.616910894697114</v>
      </c>
      <c r="H7">
        <f t="shared" si="0"/>
        <v>8.7818590535121643E-2</v>
      </c>
    </row>
    <row r="8" spans="1:8">
      <c r="A8" t="s">
        <v>182</v>
      </c>
      <c r="B8" s="99">
        <f>D8*0.8</f>
        <v>0.32000000000000006</v>
      </c>
      <c r="C8">
        <v>39.516207999384122</v>
      </c>
      <c r="D8" s="103">
        <v>0.4</v>
      </c>
      <c r="E8" s="22">
        <v>39.57300159942956</v>
      </c>
      <c r="F8" s="105">
        <f>D8*1.2</f>
        <v>0.48</v>
      </c>
      <c r="G8">
        <v>39.629795199474984</v>
      </c>
      <c r="H8">
        <f t="shared" si="0"/>
        <v>0.11358720009086198</v>
      </c>
    </row>
    <row r="9" spans="1:8">
      <c r="A9" t="s">
        <v>181</v>
      </c>
      <c r="B9" s="99">
        <f>D9*0.8</f>
        <v>1.92</v>
      </c>
      <c r="C9" s="22">
        <v>39.232239999156945</v>
      </c>
      <c r="D9" s="103">
        <v>2.4</v>
      </c>
      <c r="E9" s="22">
        <v>39.57300159942956</v>
      </c>
      <c r="F9" s="105">
        <f>D9*1.2</f>
        <v>2.88</v>
      </c>
      <c r="G9">
        <v>39.91376319970216</v>
      </c>
      <c r="H9">
        <f t="shared" si="0"/>
        <v>0.68152320054521454</v>
      </c>
    </row>
    <row r="10" spans="1:8">
      <c r="A10" t="s">
        <v>177</v>
      </c>
      <c r="B10" s="98">
        <f>D10*0.8</f>
        <v>5.6448</v>
      </c>
      <c r="C10">
        <v>38.571225598628132</v>
      </c>
      <c r="D10" s="102">
        <v>7.056</v>
      </c>
      <c r="E10" s="22">
        <v>39.57300159942956</v>
      </c>
      <c r="F10" s="105">
        <f>D10*1.2</f>
        <v>8.4672000000000001</v>
      </c>
      <c r="G10">
        <v>40.574777600230973</v>
      </c>
      <c r="H10">
        <f t="shared" si="0"/>
        <v>2.0035520016028414</v>
      </c>
    </row>
    <row r="11" spans="1:8">
      <c r="A11" t="s">
        <v>186</v>
      </c>
      <c r="B11" s="98">
        <f>D11*0.8</f>
        <v>9.2880000000000003</v>
      </c>
      <c r="C11">
        <v>37.924271704779201</v>
      </c>
      <c r="D11" s="102">
        <v>11.61</v>
      </c>
      <c r="E11" s="22">
        <v>39.57300159942956</v>
      </c>
      <c r="F11" s="106">
        <f>D11*1.2</f>
        <v>13.931999999999999</v>
      </c>
      <c r="G11">
        <v>41.221731494079904</v>
      </c>
      <c r="H11">
        <f t="shared" si="0"/>
        <v>3.2974597893007029</v>
      </c>
    </row>
    <row r="12" spans="1:8">
      <c r="A12" t="s">
        <v>178</v>
      </c>
      <c r="B12" s="101">
        <v>0.8</v>
      </c>
      <c r="C12">
        <v>42.169731674347844</v>
      </c>
      <c r="D12" s="104">
        <v>0.9</v>
      </c>
      <c r="E12" s="22">
        <v>39.57300159942956</v>
      </c>
      <c r="F12" s="107">
        <v>1</v>
      </c>
      <c r="G12">
        <v>36.976279901961469</v>
      </c>
      <c r="H12">
        <f t="shared" si="0"/>
        <v>5.1934517723863749</v>
      </c>
    </row>
    <row r="13" spans="1:8">
      <c r="A13" t="s">
        <v>176</v>
      </c>
      <c r="B13" s="100">
        <f>D13*0.8</f>
        <v>17.28</v>
      </c>
      <c r="C13" s="108">
        <v>36.506147196976066</v>
      </c>
      <c r="D13" s="109">
        <v>21.6</v>
      </c>
      <c r="E13" s="22">
        <v>39.57300159942956</v>
      </c>
      <c r="F13" s="106">
        <f>D13*1.2</f>
        <v>25.92</v>
      </c>
      <c r="G13">
        <v>42.639856001883032</v>
      </c>
      <c r="H13">
        <f t="shared" si="0"/>
        <v>6.1337088049069663</v>
      </c>
    </row>
    <row r="15" spans="1:8" ht="15.75" thickBot="1"/>
    <row r="16" spans="1:8" ht="16.5" thickTop="1" thickBot="1">
      <c r="A16" s="21" t="s">
        <v>131</v>
      </c>
      <c r="H16">
        <v>0</v>
      </c>
    </row>
    <row r="17" spans="1:8" ht="15.75" thickTop="1">
      <c r="A17" t="s">
        <v>179</v>
      </c>
      <c r="B17" s="99">
        <v>0.9</v>
      </c>
      <c r="C17">
        <v>690.2135270231928</v>
      </c>
      <c r="D17" s="103">
        <v>0.95</v>
      </c>
      <c r="E17">
        <v>690.21144782042711</v>
      </c>
      <c r="F17" s="105">
        <v>1</v>
      </c>
      <c r="G17">
        <v>690.20936861766143</v>
      </c>
      <c r="H17">
        <f t="shared" ref="H17:H25" si="1">ABS(G17-C17)</f>
        <v>4.1584055313705903E-3</v>
      </c>
    </row>
    <row r="18" spans="1:8">
      <c r="A18" t="s">
        <v>180</v>
      </c>
      <c r="B18" s="99">
        <v>0.7</v>
      </c>
      <c r="C18">
        <v>690.81444146675699</v>
      </c>
      <c r="D18" s="103">
        <v>0.8</v>
      </c>
      <c r="E18">
        <v>690.21144782042711</v>
      </c>
      <c r="F18" s="105">
        <v>0.9</v>
      </c>
      <c r="G18">
        <v>689.7424527621705</v>
      </c>
      <c r="H18">
        <f t="shared" si="1"/>
        <v>1.071988704586488</v>
      </c>
    </row>
    <row r="19" spans="1:8">
      <c r="A19" t="s">
        <v>183</v>
      </c>
      <c r="B19" s="99">
        <f>D19*0.8</f>
        <v>0.2472</v>
      </c>
      <c r="C19">
        <v>689.43882911355593</v>
      </c>
      <c r="D19" s="103">
        <v>0.309</v>
      </c>
      <c r="E19">
        <v>690.21144782042711</v>
      </c>
      <c r="F19" s="105">
        <f>D19*1.2</f>
        <v>0.37079999999999996</v>
      </c>
      <c r="G19">
        <v>690.9840665272983</v>
      </c>
      <c r="H19">
        <f t="shared" si="1"/>
        <v>1.5452374137423703</v>
      </c>
    </row>
    <row r="20" spans="1:8">
      <c r="A20" t="s">
        <v>182</v>
      </c>
      <c r="B20" s="99">
        <f>D20*0.8</f>
        <v>0.32000000000000006</v>
      </c>
      <c r="C20">
        <v>689.21211960169171</v>
      </c>
      <c r="D20" s="103">
        <v>0.4</v>
      </c>
      <c r="E20">
        <v>690.21144782042711</v>
      </c>
      <c r="F20" s="105">
        <f>D20*1.2</f>
        <v>0.48</v>
      </c>
      <c r="G20">
        <v>691.21077603916262</v>
      </c>
      <c r="H20">
        <f t="shared" si="1"/>
        <v>1.9986564374709133</v>
      </c>
    </row>
    <row r="21" spans="1:8">
      <c r="A21" t="s">
        <v>181</v>
      </c>
      <c r="B21" s="99">
        <f>D21*0.8</f>
        <v>1.92</v>
      </c>
      <c r="C21">
        <v>684.21547850801437</v>
      </c>
      <c r="D21" s="103">
        <v>2.4</v>
      </c>
      <c r="E21">
        <v>690.21144782042711</v>
      </c>
      <c r="F21" s="105">
        <f>D21*1.2</f>
        <v>2.88</v>
      </c>
      <c r="G21">
        <v>696.20741713283985</v>
      </c>
      <c r="H21">
        <f t="shared" si="1"/>
        <v>11.99193862482548</v>
      </c>
    </row>
    <row r="22" spans="1:8">
      <c r="A22" t="s">
        <v>177</v>
      </c>
      <c r="B22" s="99">
        <f>D22*0.8</f>
        <v>5.6448</v>
      </c>
      <c r="C22">
        <v>672.58440840662104</v>
      </c>
      <c r="D22" s="103">
        <v>7.056</v>
      </c>
      <c r="E22">
        <v>690.21144782042711</v>
      </c>
      <c r="F22" s="105">
        <f>D22*1.2</f>
        <v>8.4672000000000001</v>
      </c>
      <c r="G22">
        <v>707.83848723423318</v>
      </c>
      <c r="H22">
        <f t="shared" si="1"/>
        <v>35.254078827612148</v>
      </c>
    </row>
    <row r="23" spans="1:8">
      <c r="A23" t="s">
        <v>186</v>
      </c>
      <c r="B23" s="99">
        <f>D23*0.8</f>
        <v>9.2880000000000003</v>
      </c>
      <c r="C23">
        <v>661.20074401790805</v>
      </c>
      <c r="D23" s="103">
        <v>11.61</v>
      </c>
      <c r="E23">
        <v>690.21144782042711</v>
      </c>
      <c r="F23" s="105">
        <f>D23*1.2</f>
        <v>13.931999999999999</v>
      </c>
      <c r="G23">
        <v>719.22215162294606</v>
      </c>
      <c r="H23">
        <f t="shared" si="1"/>
        <v>58.021407605038007</v>
      </c>
    </row>
    <row r="24" spans="1:8">
      <c r="A24" t="s">
        <v>178</v>
      </c>
      <c r="B24" s="99">
        <v>0.8</v>
      </c>
      <c r="C24">
        <v>738.76921554947342</v>
      </c>
      <c r="D24" s="103">
        <v>0.9</v>
      </c>
      <c r="E24">
        <v>690.21144782042711</v>
      </c>
      <c r="F24" s="105">
        <v>1</v>
      </c>
      <c r="G24">
        <v>641.65387966021854</v>
      </c>
      <c r="H24">
        <f t="shared" si="1"/>
        <v>97.115335889254879</v>
      </c>
    </row>
    <row r="25" spans="1:8">
      <c r="A25" t="s">
        <v>176</v>
      </c>
      <c r="B25" s="99">
        <f>D25*0.8</f>
        <v>17.28</v>
      </c>
      <c r="C25">
        <v>636.24772400871211</v>
      </c>
      <c r="D25" s="103">
        <v>21.6</v>
      </c>
      <c r="E25">
        <v>690.21144782042711</v>
      </c>
      <c r="F25" s="105">
        <f>D25*1.2</f>
        <v>25.92</v>
      </c>
      <c r="G25">
        <v>744.17517163214211</v>
      </c>
      <c r="H25">
        <f t="shared" si="1"/>
        <v>107.92744762343</v>
      </c>
    </row>
  </sheetData>
  <sortState xmlns:xlrd2="http://schemas.microsoft.com/office/spreadsheetml/2017/richdata2" ref="A16:H25">
    <sortCondition ref="H17"/>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L32"/>
  <sheetViews>
    <sheetView zoomScale="85" zoomScaleNormal="85" workbookViewId="0">
      <selection activeCell="P13" sqref="P13:Q13"/>
    </sheetView>
  </sheetViews>
  <sheetFormatPr defaultRowHeight="15"/>
  <cols>
    <col min="2" max="2" width="34.28515625" customWidth="1"/>
    <col min="3" max="7" width="26.85546875" customWidth="1"/>
    <col min="8" max="8" width="14.42578125" hidden="1" customWidth="1"/>
    <col min="9" max="12" width="15.140625" hidden="1" customWidth="1"/>
    <col min="14" max="14" width="26" customWidth="1"/>
    <col min="15" max="15" width="31.85546875" customWidth="1"/>
    <col min="16" max="16" width="28.5703125" customWidth="1"/>
    <col min="17" max="17" width="29.7109375" customWidth="1"/>
    <col min="18" max="38" width="14" customWidth="1"/>
  </cols>
  <sheetData>
    <row r="1" spans="1:38">
      <c r="N1" s="42"/>
      <c r="O1" s="42"/>
      <c r="P1" s="47"/>
      <c r="Q1" s="47"/>
      <c r="R1" s="113" t="s">
        <v>44</v>
      </c>
      <c r="S1" s="113"/>
      <c r="T1" s="113"/>
      <c r="U1" s="113"/>
      <c r="V1" s="113"/>
      <c r="W1" s="113"/>
      <c r="X1" s="113"/>
      <c r="Y1" s="113"/>
      <c r="Z1" s="113"/>
      <c r="AA1" s="113"/>
      <c r="AB1" s="113"/>
      <c r="AC1" s="113"/>
      <c r="AD1" s="113"/>
      <c r="AE1" s="113"/>
      <c r="AF1" s="113"/>
      <c r="AG1" s="113"/>
      <c r="AH1" s="113"/>
      <c r="AI1" s="113"/>
      <c r="AJ1" s="114" t="s">
        <v>45</v>
      </c>
      <c r="AK1" s="114"/>
      <c r="AL1" s="114"/>
    </row>
    <row r="2" spans="1:38">
      <c r="N2" s="66"/>
      <c r="O2" s="66" t="s">
        <v>86</v>
      </c>
      <c r="P2" s="44" t="s">
        <v>42</v>
      </c>
      <c r="Q2" s="44" t="s">
        <v>43</v>
      </c>
      <c r="R2" s="45" t="s">
        <v>46</v>
      </c>
      <c r="S2" s="45" t="s">
        <v>47</v>
      </c>
      <c r="T2" s="45" t="s">
        <v>48</v>
      </c>
      <c r="U2" s="45" t="s">
        <v>49</v>
      </c>
      <c r="V2" s="45" t="s">
        <v>50</v>
      </c>
      <c r="W2" s="45" t="s">
        <v>51</v>
      </c>
      <c r="X2" s="45" t="s">
        <v>52</v>
      </c>
      <c r="Y2" s="45" t="s">
        <v>53</v>
      </c>
      <c r="Z2" s="45" t="s">
        <v>54</v>
      </c>
      <c r="AA2" s="45" t="s">
        <v>55</v>
      </c>
      <c r="AB2" s="45" t="s">
        <v>56</v>
      </c>
      <c r="AC2" s="45" t="s">
        <v>57</v>
      </c>
      <c r="AD2" s="45" t="s">
        <v>58</v>
      </c>
      <c r="AE2" s="45" t="s">
        <v>59</v>
      </c>
      <c r="AF2" s="45" t="s">
        <v>60</v>
      </c>
      <c r="AG2" s="45" t="s">
        <v>61</v>
      </c>
      <c r="AH2" s="45" t="s">
        <v>62</v>
      </c>
      <c r="AI2" s="45" t="s">
        <v>63</v>
      </c>
      <c r="AJ2" s="46" t="s">
        <v>64</v>
      </c>
      <c r="AK2" s="46" t="s">
        <v>65</v>
      </c>
      <c r="AL2" s="46" t="s">
        <v>66</v>
      </c>
    </row>
    <row r="3" spans="1:38">
      <c r="N3" t="s">
        <v>71</v>
      </c>
      <c r="O3">
        <f>$F$7</f>
        <v>0.40000000031999988</v>
      </c>
      <c r="P3">
        <f>$O3*[2]production!$D$7</f>
        <v>0.28396800022717433</v>
      </c>
      <c r="Q3">
        <f>$O3*[2]production!M$7</f>
        <v>4.9966410936773125</v>
      </c>
      <c r="R3">
        <f>$O3*[2]production!N$7</f>
        <v>3.2510800026008628E-4</v>
      </c>
      <c r="S3">
        <f>$O3*[2]production!O$7</f>
        <v>0.26799600021439673</v>
      </c>
      <c r="T3">
        <f>$O3*[2]production!P$7</f>
        <v>0.11836000009468796</v>
      </c>
      <c r="U3">
        <f>$O3*[2]production!Q$7</f>
        <v>1.0204000008163198E-3</v>
      </c>
      <c r="V3">
        <f>$O3*[2]production!R$7</f>
        <v>4.9796000039836787E-6</v>
      </c>
      <c r="W3">
        <f>$O3*[2]production!S$7</f>
        <v>2.0874000016699195</v>
      </c>
      <c r="X3">
        <f>$O3*[2]production!T$7</f>
        <v>1.6892000013513596E-3</v>
      </c>
      <c r="Y3">
        <f>$O3*[2]production!U$7</f>
        <v>0.62776000050220782</v>
      </c>
      <c r="Z3">
        <f>$O3*[2]production!V$7</f>
        <v>2.4590000019671993E-4</v>
      </c>
      <c r="AA3">
        <f>$O3*[2]production!W$7</f>
        <v>1.1996000009596797E-3</v>
      </c>
      <c r="AB3">
        <f>$O3*[2]production!X$7</f>
        <v>4.4140000035311985E-5</v>
      </c>
      <c r="AC3">
        <f>$O3*[2]production!Y$7</f>
        <v>2.3717600018974073E-8</v>
      </c>
      <c r="AD3">
        <f>$O3*[2]production!Z$7</f>
        <v>2.9944800023955827E-4</v>
      </c>
      <c r="AE3">
        <f>$O3*[2]production!AA$7</f>
        <v>8.0544000064435169E-4</v>
      </c>
      <c r="AF3">
        <f>$O3*[2]production!AB$7</f>
        <v>1.1600000009279997E-3</v>
      </c>
      <c r="AG3">
        <f>$O3*[2]production!AC$7</f>
        <v>2.0761200016608954E-5</v>
      </c>
      <c r="AH3">
        <f>$O3*[2]production!AD$7</f>
        <v>1.2804400010243516E-4</v>
      </c>
      <c r="AI3">
        <f>$O3*[2]production!AE$7</f>
        <v>3.2074400025659507E-5</v>
      </c>
      <c r="AJ3">
        <f>$O3*[2]production!AF$7</f>
        <v>7.8456000062764771E-3</v>
      </c>
      <c r="AK3">
        <f>$O3*[2]production!AG$7</f>
        <v>2.4192800019354234E-2</v>
      </c>
      <c r="AL3">
        <f>$O3*[2]production!AH$7</f>
        <v>1.4248400011398715E-2</v>
      </c>
    </row>
    <row r="4" spans="1:38">
      <c r="B4" s="115" t="s">
        <v>67</v>
      </c>
      <c r="C4" s="115"/>
      <c r="D4" s="115"/>
      <c r="E4" s="115"/>
      <c r="F4" s="115"/>
      <c r="N4" t="s">
        <v>72</v>
      </c>
      <c r="O4">
        <f>$F$9</f>
        <v>2.8677679603663537E-6</v>
      </c>
      <c r="P4">
        <f>$O4*[2]production!$D$7</f>
        <v>2.0358858304232818E-6</v>
      </c>
      <c r="Q4">
        <f>$O4*[2]production!M$7</f>
        <v>3.5823018066085824E-5</v>
      </c>
      <c r="R4">
        <f>$O4*[2]production!N$7</f>
        <v>2.3308357651469613E-9</v>
      </c>
      <c r="S4">
        <f>$O4*[2]production!O$7</f>
        <v>1.9213758557658534E-6</v>
      </c>
      <c r="T4">
        <f>$O4*[2]production!P$7</f>
        <v>8.4857253947240407E-7</v>
      </c>
      <c r="U4">
        <f>$O4*[2]production!Q$7</f>
        <v>7.3156760668945677E-9</v>
      </c>
      <c r="V4">
        <f>$O4*[2]production!R$7</f>
        <v>3.5700843338600741E-11</v>
      </c>
      <c r="W4">
        <f>$O4*[2]production!S$7</f>
        <v>1.4965447101171817E-5</v>
      </c>
      <c r="X4">
        <f>$O4*[2]production!T$7</f>
        <v>1.2110584096627113E-8</v>
      </c>
      <c r="Y4">
        <f>$O4*[2]production!U$7</f>
        <v>4.5006750369989555E-6</v>
      </c>
      <c r="Z4">
        <f>$O4*[2]production!V$7</f>
        <v>1.7629603536352158E-9</v>
      </c>
      <c r="AA4">
        <f>$O4*[2]production!W$7</f>
        <v>8.6004361131386946E-9</v>
      </c>
      <c r="AB4">
        <f>$O4*[2]production!X$7</f>
        <v>3.1645819442642716E-10</v>
      </c>
      <c r="AC4">
        <f>$O4*[2]production!Y$7</f>
        <v>1.7004143344196258E-13</v>
      </c>
      <c r="AD4">
        <f>$O4*[2]production!Z$7</f>
        <v>2.1468684504894597E-9</v>
      </c>
      <c r="AE4">
        <f>$O4*[2]production!AA$7</f>
        <v>5.7745375649936894E-9</v>
      </c>
      <c r="AF4">
        <f>$O4*[2]production!AB$7</f>
        <v>8.3165270850624258E-9</v>
      </c>
      <c r="AG4">
        <f>$O4*[2]production!AC$7</f>
        <v>1.4884576044689486E-10</v>
      </c>
      <c r="AH4">
        <f>$O4*[2]production!AD$7</f>
        <v>9.1800120179287355E-10</v>
      </c>
      <c r="AI4">
        <f>$O4*[2]production!AE$7</f>
        <v>2.2995484166993644E-10</v>
      </c>
      <c r="AJ4">
        <f>$O4*[2]production!AF$7</f>
        <v>5.6248400774625663E-8</v>
      </c>
      <c r="AK4">
        <f>$O4*[2]production!AG$7</f>
        <v>1.7344834177887782E-7</v>
      </c>
      <c r="AL4">
        <f>$O4*[2]production!AH$7</f>
        <v>1.0215276251620988E-7</v>
      </c>
    </row>
    <row r="5" spans="1:38" ht="15.75" thickBot="1">
      <c r="A5" s="1" t="s">
        <v>151</v>
      </c>
      <c r="C5" t="s">
        <v>68</v>
      </c>
      <c r="D5" t="s">
        <v>69</v>
      </c>
      <c r="E5" t="s">
        <v>70</v>
      </c>
      <c r="N5" t="s">
        <v>137</v>
      </c>
      <c r="O5">
        <f>F11</f>
        <v>0.30925523486844259</v>
      </c>
      <c r="P5">
        <f>$O5*[2]production!$D$7</f>
        <v>0.21954647633780475</v>
      </c>
      <c r="Q5">
        <f>$O5*[2]production!M$7</f>
        <v>3.8630935343557486</v>
      </c>
      <c r="R5">
        <f>$O5*[2]production!N$7</f>
        <v>2.5135337724402405E-4</v>
      </c>
      <c r="S5">
        <f>$O5*[2]production!O$7</f>
        <v>0.20719791480950783</v>
      </c>
      <c r="T5">
        <f>$O5*[2]production!P$7</f>
        <v>9.1508623997572161E-2</v>
      </c>
      <c r="U5">
        <f>$O5*[2]production!Q$7</f>
        <v>7.8891010414939699E-4</v>
      </c>
      <c r="V5">
        <f>$O5*[2]production!R$7</f>
        <v>3.8499184188772422E-6</v>
      </c>
      <c r="W5">
        <f>$O5*[2]production!S$7</f>
        <v>1.6138484431609674</v>
      </c>
      <c r="X5">
        <f>$O5*[2]production!T$7</f>
        <v>1.305984856849433E-3</v>
      </c>
      <c r="Y5">
        <f>$O5*[2]production!U$7</f>
        <v>0.48534516560253377</v>
      </c>
      <c r="Z5">
        <f>$O5*[2]production!V$7</f>
        <v>1.9011465563537505E-4</v>
      </c>
      <c r="AA5">
        <f>$O5*[2]production!W$7</f>
        <v>9.2745644937045925E-4</v>
      </c>
      <c r="AB5">
        <f>$O5*[2]production!X$7</f>
        <v>3.4126315167732642E-5</v>
      </c>
      <c r="AC5">
        <f>$O5*[2]production!Y$7</f>
        <v>1.8336979896289436E-8</v>
      </c>
      <c r="AD5">
        <f>$O5*[2]production!Z$7</f>
        <v>2.3151465392721348E-4</v>
      </c>
      <c r="AE5">
        <f>$O5*[2]production!AA$7</f>
        <v>6.2271634093109601E-4</v>
      </c>
      <c r="AF5">
        <f>$O5*[2]production!AB$7</f>
        <v>8.9684018111848348E-4</v>
      </c>
      <c r="AG5">
        <f>$O5*[2]production!AC$7</f>
        <v>1.6051274455376776E-5</v>
      </c>
      <c r="AH5">
        <f>$O5*[2]production!AD$7</f>
        <v>9.8995693233737162E-5</v>
      </c>
      <c r="AI5">
        <f>$O5*[2]production!AE$7</f>
        <v>2.4797940263160934E-5</v>
      </c>
      <c r="AJ5">
        <f>$O5*[2]production!AF$7</f>
        <v>6.0657321767096329E-3</v>
      </c>
      <c r="AK5">
        <f>$O5*[2]production!AG$7</f>
        <v>1.8704375115313143E-2</v>
      </c>
      <c r="AL5">
        <f>$O5*[2]production!AH$7</f>
        <v>1.1015980721248793E-2</v>
      </c>
    </row>
    <row r="6" spans="1:38">
      <c r="B6" s="49" t="s">
        <v>6</v>
      </c>
      <c r="C6" s="50"/>
      <c r="D6" s="50"/>
      <c r="E6" s="50"/>
      <c r="F6" s="51"/>
      <c r="N6" t="s">
        <v>138</v>
      </c>
      <c r="O6">
        <f>F12</f>
        <v>2.4000000019199996</v>
      </c>
      <c r="P6">
        <f>$O6*[2]production!$D$7</f>
        <v>1.7038080013630461</v>
      </c>
      <c r="Q6">
        <f>$O6*[2]production!M$7</f>
        <v>29.979846562063877</v>
      </c>
      <c r="R6">
        <f>$O6*[2]production!N$7</f>
        <v>1.9506480015605181E-3</v>
      </c>
      <c r="S6">
        <f>$O6*[2]production!O$7</f>
        <v>1.6079760012863804</v>
      </c>
      <c r="T6">
        <f>$O6*[2]production!P$7</f>
        <v>0.71016000056812789</v>
      </c>
      <c r="U6">
        <f>$O6*[2]production!Q$7</f>
        <v>6.1224000048979189E-3</v>
      </c>
      <c r="V6">
        <f>$O6*[2]production!R$7</f>
        <v>2.9877600023902077E-5</v>
      </c>
      <c r="W6">
        <f>$O6*[2]production!S$7</f>
        <v>12.524400010019518</v>
      </c>
      <c r="X6">
        <f>$O6*[2]production!T$7</f>
        <v>1.0135200008108159E-2</v>
      </c>
      <c r="Y6">
        <f>$O6*[2]production!U$7</f>
        <v>3.7665600030132471</v>
      </c>
      <c r="Z6">
        <f>$O6*[2]production!V$7</f>
        <v>1.4754000011803197E-3</v>
      </c>
      <c r="AA6">
        <f>$O6*[2]production!W$7</f>
        <v>7.1976000057580791E-3</v>
      </c>
      <c r="AB6">
        <f>$O6*[2]production!X$7</f>
        <v>2.6484000021187193E-4</v>
      </c>
      <c r="AC6">
        <f>$O6*[2]production!Y$7</f>
        <v>1.4230560011384447E-7</v>
      </c>
      <c r="AD6">
        <f>$O6*[2]production!Z$7</f>
        <v>1.7966880014373501E-3</v>
      </c>
      <c r="AE6">
        <f>$O6*[2]production!AA$7</f>
        <v>4.8326400038661114E-3</v>
      </c>
      <c r="AF6">
        <f>$O6*[2]production!AB$7</f>
        <v>6.9600000055679984E-3</v>
      </c>
      <c r="AG6">
        <f>$O6*[2]production!AC$7</f>
        <v>1.2456720009965374E-4</v>
      </c>
      <c r="AH6">
        <f>$O6*[2]production!AD$7</f>
        <v>7.6826400061461117E-4</v>
      </c>
      <c r="AI6">
        <f>$O6*[2]production!AE$7</f>
        <v>1.9244640015395707E-4</v>
      </c>
      <c r="AJ6">
        <f>$O6*[2]production!AF$7</f>
        <v>4.7073600037658869E-2</v>
      </c>
      <c r="AK6">
        <f>$O6*[2]production!AG$7</f>
        <v>0.14515680011612542</v>
      </c>
      <c r="AL6">
        <f>$O6*[2]production!AH$7</f>
        <v>8.54904000683923E-2</v>
      </c>
    </row>
    <row r="7" spans="1:38" ht="15.75" thickBot="1">
      <c r="B7" s="52" t="s">
        <v>71</v>
      </c>
      <c r="C7" s="53">
        <f>120/100*10000</f>
        <v>12000</v>
      </c>
      <c r="D7" s="54">
        <f>20*60</f>
        <v>1200</v>
      </c>
      <c r="E7" s="55">
        <f>C7*D7/1000000*'material inventory'!B8*(1-'material inventory'!B2)</f>
        <v>1.4399999999999997</v>
      </c>
      <c r="F7" s="56">
        <f>E7*0.277777778</f>
        <v>0.40000000031999988</v>
      </c>
      <c r="N7" t="s">
        <v>139</v>
      </c>
      <c r="O7">
        <f>F14</f>
        <v>0.11913493700245109</v>
      </c>
      <c r="P7">
        <f>$O7*[2]production!$D$7</f>
        <v>8.4576274476780081E-2</v>
      </c>
      <c r="Q7">
        <f>$O7*[2]production!M$7</f>
        <v>1.4881863036072136</v>
      </c>
      <c r="R7">
        <f>$O7*[2]production!N$7</f>
        <v>9.6829302747482171E-5</v>
      </c>
      <c r="S7">
        <f>$O7*[2]production!O$7</f>
        <v>7.9819216442272203E-2</v>
      </c>
      <c r="T7">
        <f>$O7*[2]production!P$7</f>
        <v>3.525202785902528E-2</v>
      </c>
      <c r="U7">
        <f>$O7*[2]production!Q$7</f>
        <v>3.039132242932527E-4</v>
      </c>
      <c r="V7">
        <f>$O7*[2]production!R$7</f>
        <v>1.4831108307435136E-6</v>
      </c>
      <c r="W7">
        <f>$O7*[2]production!S$7</f>
        <v>0.62170566874729094</v>
      </c>
      <c r="X7">
        <f>$O7*[2]production!T$7</f>
        <v>5.0310683896135093E-4</v>
      </c>
      <c r="Y7">
        <f>$O7*[2]production!U$7</f>
        <v>0.18697037013164672</v>
      </c>
      <c r="Z7">
        <f>$O7*[2]production!V$7</f>
        <v>7.3238202522256797E-5</v>
      </c>
      <c r="AA7">
        <f>$O7*[2]production!W$7</f>
        <v>3.5728567607035079E-4</v>
      </c>
      <c r="AB7">
        <f>$O7*[2]production!X$7</f>
        <v>1.3146540298220478E-5</v>
      </c>
      <c r="AC7">
        <f>$O7*[2]production!Y$7</f>
        <v>7.0639869546233354E-9</v>
      </c>
      <c r="AD7">
        <f>$O7*[2]production!Z$7</f>
        <v>8.9186796538774931E-5</v>
      </c>
      <c r="AE7">
        <f>$O7*[2]production!AA$7</f>
        <v>2.398901091481355E-4</v>
      </c>
      <c r="AF7">
        <f>$O7*[2]production!AB$7</f>
        <v>3.4549131730710812E-4</v>
      </c>
      <c r="AG7">
        <f>$O7*[2]production!AC$7</f>
        <v>6.1834606352382193E-6</v>
      </c>
      <c r="AH7">
        <f>$O7*[2]production!AD$7</f>
        <v>3.8136284683854624E-5</v>
      </c>
      <c r="AI7">
        <f>$O7*[2]production!AE$7</f>
        <v>9.5529540584785421E-6</v>
      </c>
      <c r="AJ7">
        <f>$O7*[2]production!AF$7</f>
        <v>2.3367126543660756E-3</v>
      </c>
      <c r="AK7">
        <f>$O7*[2]production!AG$7</f>
        <v>7.2055192597822474E-3</v>
      </c>
      <c r="AL7">
        <f>$O7*[2]production!AH$7</f>
        <v>4.24370559096431E-3</v>
      </c>
    </row>
    <row r="8" spans="1:38">
      <c r="B8" s="49" t="s">
        <v>13</v>
      </c>
      <c r="C8" s="57"/>
      <c r="D8" s="58"/>
      <c r="E8" s="59"/>
      <c r="F8" s="60"/>
      <c r="H8" s="9"/>
      <c r="I8" s="9" t="s">
        <v>82</v>
      </c>
      <c r="J8" s="9" t="s">
        <v>83</v>
      </c>
      <c r="K8" s="9" t="s">
        <v>84</v>
      </c>
      <c r="L8" s="9"/>
      <c r="N8" t="s">
        <v>140</v>
      </c>
      <c r="O8">
        <f>F15</f>
        <v>11.612082309628908</v>
      </c>
      <c r="P8">
        <f>$O8*[2]production!$D$7</f>
        <v>8.2436494732517538</v>
      </c>
      <c r="Q8">
        <f>$O8*[2]production!M$7</f>
        <v>145.05351901259513</v>
      </c>
      <c r="R8">
        <f>$O8*[2]production!N$7</f>
        <v>9.4379521387970879E-3</v>
      </c>
      <c r="S8">
        <f>$O8*[2]production!O$7</f>
        <v>7.779979026628272</v>
      </c>
      <c r="T8">
        <f>$O8*[2]production!P$7</f>
        <v>3.4360151554191938</v>
      </c>
      <c r="U8">
        <f>$O8*[2]production!Q$7</f>
        <v>2.9622421971863343E-2</v>
      </c>
      <c r="V8">
        <f>$O8*[2]production!R$7</f>
        <v>1.4455881267257028E-4</v>
      </c>
      <c r="W8">
        <f>$O8*[2]production!S$7</f>
        <v>60.597651532798452</v>
      </c>
      <c r="X8">
        <f>$O8*[2]production!T$7</f>
        <v>4.9037823593562881E-2</v>
      </c>
      <c r="Y8">
        <f>$O8*[2]production!U$7</f>
        <v>18.224001976731607</v>
      </c>
      <c r="Z8">
        <f>$O8*[2]production!V$7</f>
        <v>7.1385275998443708E-3</v>
      </c>
      <c r="AA8">
        <f>$O8*[2]production!W$7</f>
        <v>3.4824634846577093E-2</v>
      </c>
      <c r="AB8">
        <f>$O8*[2]production!X$7</f>
        <v>1.2813932828675499E-3</v>
      </c>
      <c r="AC8">
        <f>$O8*[2]production!Y$7</f>
        <v>6.8852680846713655E-7</v>
      </c>
      <c r="AD8">
        <f>$O8*[2]production!Z$7</f>
        <v>8.6930370586343932E-3</v>
      </c>
      <c r="AE8">
        <f>$O8*[2]production!AA$7</f>
        <v>2.338208893866877E-2</v>
      </c>
      <c r="AF8">
        <f>$O8*[2]production!AB$7</f>
        <v>3.3675038697923834E-2</v>
      </c>
      <c r="AG8">
        <f>$O8*[2]production!AC$7</f>
        <v>6.0270190811666919E-4</v>
      </c>
      <c r="AH8">
        <f>$O8*[2]production!AD$7</f>
        <v>3.7171436681353101E-3</v>
      </c>
      <c r="AI8">
        <f>$O8*[2]production!AE$7</f>
        <v>9.3112643207990354E-4</v>
      </c>
      <c r="AJ8">
        <f>$O8*[2]production!AF$7</f>
        <v>0.22775938242106139</v>
      </c>
      <c r="AK8">
        <f>$O8*[2]production!AG$7</f>
        <v>0.70232196225097565</v>
      </c>
      <c r="AL8">
        <f>$O8*[2]production!AH$7</f>
        <v>0.41363398395129136</v>
      </c>
    </row>
    <row r="9" spans="1:38" ht="15.75" thickBot="1">
      <c r="B9" s="61" t="s">
        <v>72</v>
      </c>
      <c r="C9" s="62">
        <v>130</v>
      </c>
      <c r="D9" s="63">
        <f>K9</f>
        <v>0.7941511268507464</v>
      </c>
      <c r="E9" s="64">
        <f>C9*D9/1000000*(1-'material inventory'!B2)</f>
        <v>1.0323964649059702E-5</v>
      </c>
      <c r="F9" s="65">
        <f t="shared" ref="F9:F20" si="0">E9*0.277777778</f>
        <v>2.8677679603663537E-6</v>
      </c>
      <c r="H9" s="9" t="s">
        <v>72</v>
      </c>
      <c r="I9" s="9">
        <v>130</v>
      </c>
      <c r="J9" s="9">
        <v>1</v>
      </c>
      <c r="K9" s="9">
        <f>'material inventory'!F18/789*1000000/J9</f>
        <v>0.7941511268507464</v>
      </c>
      <c r="L9" s="9">
        <f>I9*K9/1000000</f>
        <v>1.0323964649059704E-4</v>
      </c>
      <c r="N9" t="s">
        <v>141</v>
      </c>
      <c r="O9">
        <f>F16</f>
        <v>21.600000017279999</v>
      </c>
      <c r="P9">
        <f>$O9*[2]production!$D$7</f>
        <v>15.334272012267418</v>
      </c>
      <c r="Q9">
        <f>$O9*[2]production!M$7</f>
        <v>269.81861905857494</v>
      </c>
      <c r="R9">
        <f>$O9*[2]production!N$7</f>
        <v>1.7555832014044665E-2</v>
      </c>
      <c r="S9">
        <f>$O9*[2]production!O$7</f>
        <v>14.471784011577427</v>
      </c>
      <c r="T9">
        <f>$O9*[2]production!P$7</f>
        <v>6.3914400051131519</v>
      </c>
      <c r="U9">
        <f>$O9*[2]production!Q$7</f>
        <v>5.5101600044081274E-2</v>
      </c>
      <c r="V9">
        <f>$O9*[2]production!R$7</f>
        <v>2.6889840021511875E-4</v>
      </c>
      <c r="W9">
        <f>$O9*[2]production!S$7</f>
        <v>112.71960009017567</v>
      </c>
      <c r="X9">
        <f>$O9*[2]production!T$7</f>
        <v>9.1216800072973447E-2</v>
      </c>
      <c r="Y9">
        <f>$O9*[2]production!U$7</f>
        <v>33.899040027119227</v>
      </c>
      <c r="Z9">
        <f>$O9*[2]production!V$7</f>
        <v>1.3278600010622879E-2</v>
      </c>
      <c r="AA9">
        <f>$O9*[2]production!W$7</f>
        <v>6.4778400051822713E-2</v>
      </c>
      <c r="AB9">
        <f>$O9*[2]production!X$7</f>
        <v>2.3835600019068478E-3</v>
      </c>
      <c r="AC9">
        <f>$O9*[2]production!Y$7</f>
        <v>1.2807504010246002E-6</v>
      </c>
      <c r="AD9">
        <f>$O9*[2]production!Z$7</f>
        <v>1.6170192012936152E-2</v>
      </c>
      <c r="AE9">
        <f>$O9*[2]production!AA$7</f>
        <v>4.3493760034795007E-2</v>
      </c>
      <c r="AF9">
        <f>$O9*[2]production!AB$7</f>
        <v>6.2640000050111999E-2</v>
      </c>
      <c r="AG9">
        <f>$O9*[2]production!AC$7</f>
        <v>1.1211048008968839E-3</v>
      </c>
      <c r="AH9">
        <f>$O9*[2]production!AD$7</f>
        <v>6.9143760055315013E-3</v>
      </c>
      <c r="AI9">
        <f>$O9*[2]production!AE$7</f>
        <v>1.7320176013856138E-3</v>
      </c>
      <c r="AJ9">
        <f>$O9*[2]production!AF$7</f>
        <v>0.42366240033892988</v>
      </c>
      <c r="AK9">
        <f>$O9*[2]production!AG$7</f>
        <v>1.306411201045129</v>
      </c>
      <c r="AL9">
        <f>$O9*[2]production!AH$7</f>
        <v>0.76941360061553088</v>
      </c>
    </row>
    <row r="10" spans="1:38">
      <c r="B10" s="49" t="s">
        <v>16</v>
      </c>
      <c r="C10" s="57"/>
      <c r="D10" s="58"/>
      <c r="E10" s="59"/>
      <c r="F10" s="60"/>
      <c r="N10" t="s">
        <v>142</v>
      </c>
      <c r="O10">
        <f>$F$18</f>
        <v>2.1444288660441204</v>
      </c>
      <c r="P10">
        <f>$O10*[2]production!$D$7</f>
        <v>1.5223729405820419</v>
      </c>
      <c r="Q10">
        <f>$O10*[2]production!M$7</f>
        <v>26.787353464929854</v>
      </c>
      <c r="R10">
        <f>$O10*[2]production!N$7</f>
        <v>1.7429274494546797E-3</v>
      </c>
      <c r="S10">
        <f>$O10*[2]production!O$7</f>
        <v>1.4367458959609001</v>
      </c>
      <c r="T10">
        <f>$O10*[2]production!P$7</f>
        <v>0.63453650146245522</v>
      </c>
      <c r="U10">
        <f>$O10*[2]production!Q$7</f>
        <v>5.4704380372785511E-3</v>
      </c>
      <c r="V10">
        <f>$O10*[2]production!R$7</f>
        <v>2.6695994953383257E-5</v>
      </c>
      <c r="W10">
        <f>$O10*[2]production!S$7</f>
        <v>11.190702037451242</v>
      </c>
      <c r="X10">
        <f>$O10*[2]production!T$7</f>
        <v>9.0559231013043213E-3</v>
      </c>
      <c r="Y10">
        <f>$O10*[2]production!U$7</f>
        <v>3.3654666623696423</v>
      </c>
      <c r="Z10">
        <f>$O10*[2]production!V$7</f>
        <v>1.3182876454006229E-3</v>
      </c>
      <c r="AA10">
        <f>$O10*[2]production!W$7</f>
        <v>6.431142169266317E-3</v>
      </c>
      <c r="AB10">
        <f>$O10*[2]production!X$7</f>
        <v>2.366377253679687E-4</v>
      </c>
      <c r="AC10">
        <f>$O10*[2]production!Y$7</f>
        <v>1.2715176518322008E-7</v>
      </c>
      <c r="AD10">
        <f>$O10*[2]production!Z$7</f>
        <v>1.6053623376979494E-3</v>
      </c>
      <c r="AE10">
        <f>$O10*[2]production!AA$7</f>
        <v>4.3180219646664405E-3</v>
      </c>
      <c r="AF10">
        <f>$O10*[2]production!AB$7</f>
        <v>6.2188437115279485E-3</v>
      </c>
      <c r="AG10">
        <f>$O10*[2]production!AC$7</f>
        <v>1.1130229143428798E-4</v>
      </c>
      <c r="AH10">
        <f>$O10*[2]production!AD$7</f>
        <v>6.8645312430938349E-4</v>
      </c>
      <c r="AI10">
        <f>$O10*[2]production!AE$7</f>
        <v>1.7195317305261382E-4</v>
      </c>
      <c r="AJ10">
        <f>$O10*[2]production!AF$7</f>
        <v>4.2060827778589376E-2</v>
      </c>
      <c r="AK10">
        <f>$O10*[2]production!AG$7</f>
        <v>0.12969934667608049</v>
      </c>
      <c r="AL10">
        <f>$O10*[2]production!AH$7</f>
        <v>7.6386700637357613E-2</v>
      </c>
    </row>
    <row r="11" spans="1:38">
      <c r="B11" s="69" t="s">
        <v>85</v>
      </c>
      <c r="C11" s="70">
        <f>(300+370)*(10000*'material inventory'!C22/100)^2*(4160/9999)^2</f>
        <v>742212.56309049239</v>
      </c>
      <c r="D11" s="71">
        <v>15</v>
      </c>
      <c r="E11" s="72">
        <f>C11*D11/1000000*'material inventory'!B9*(1-'material inventory'!B2)</f>
        <v>1.1133188446357383</v>
      </c>
      <c r="F11" s="73">
        <f t="shared" si="0"/>
        <v>0.30925523486844259</v>
      </c>
      <c r="N11" t="s">
        <v>158</v>
      </c>
      <c r="O11">
        <f>$F$20</f>
        <v>7.0555555611999994</v>
      </c>
      <c r="P11">
        <f>$O11*[2]production!$D$7</f>
        <v>5.0088800040071035</v>
      </c>
      <c r="Q11">
        <f>$O11*[2]production!M$7</f>
        <v>88.135197069030383</v>
      </c>
      <c r="R11">
        <f>$O11*[2]production!N$7</f>
        <v>5.7345438934765236E-3</v>
      </c>
      <c r="S11">
        <f>$O11*[2]production!O$7</f>
        <v>4.7271516704483876</v>
      </c>
      <c r="T11">
        <f>$O11*[2]production!P$7</f>
        <v>2.0877388905590797</v>
      </c>
      <c r="U11">
        <f>$O11*[2]production!Q$7</f>
        <v>1.7998722236621197E-2</v>
      </c>
      <c r="V11">
        <f>$O11*[2]production!R$7</f>
        <v>8.7834611181378795E-5</v>
      </c>
      <c r="W11">
        <f>$O11*[2]production!S$7</f>
        <v>36.819416696122197</v>
      </c>
      <c r="X11">
        <f>$O11*[2]production!T$7</f>
        <v>2.9795611134947598E-2</v>
      </c>
      <c r="Y11">
        <f>$O11*[2]production!U$7</f>
        <v>11.072988897747278</v>
      </c>
      <c r="Z11">
        <f>$O11*[2]production!V$7</f>
        <v>4.3374027812476991E-3</v>
      </c>
      <c r="AA11">
        <f>$O11*[2]production!W$7</f>
        <v>2.1159611128038797E-2</v>
      </c>
      <c r="AB11">
        <f>$O11*[2]production!X$7</f>
        <v>7.785805561784199E-4</v>
      </c>
      <c r="AC11">
        <f>$O11*[2]production!Y$7</f>
        <v>4.1835211144579277E-7</v>
      </c>
      <c r="AD11">
        <f>$O11*[2]production!Z$7</f>
        <v>5.2819300042255433E-3</v>
      </c>
      <c r="AE11">
        <f>$O11*[2]production!AA$7</f>
        <v>1.4207066678032319E-2</v>
      </c>
      <c r="AF11">
        <f>$O11*[2]production!AB$7</f>
        <v>2.0461111127479996E-2</v>
      </c>
      <c r="AG11">
        <f>$O11*[2]production!AC$7</f>
        <v>3.662045002929636E-4</v>
      </c>
      <c r="AH11">
        <f>$O11*[2]production!AD$7</f>
        <v>2.258553890695732E-3</v>
      </c>
      <c r="AI11">
        <f>$O11*[2]production!AE$7</f>
        <v>5.6575677823038307E-4</v>
      </c>
      <c r="AJ11">
        <f>$O11*[2]production!AF$7</f>
        <v>0.13838766677737679</v>
      </c>
      <c r="AK11">
        <f>$O11*[2]production!AG$7</f>
        <v>0.42673411145249834</v>
      </c>
      <c r="AL11">
        <f>$O11*[2]production!AH$7</f>
        <v>0.25132594464550517</v>
      </c>
    </row>
    <row r="12" spans="1:38" ht="15.75" thickBot="1">
      <c r="A12">
        <v>500</v>
      </c>
      <c r="B12" s="61" t="s">
        <v>73</v>
      </c>
      <c r="C12" s="62">
        <f>630/350*A12/100*10000*'material inventory'!C22</f>
        <v>72000</v>
      </c>
      <c r="D12" s="63">
        <f>20*60</f>
        <v>1200</v>
      </c>
      <c r="E12" s="64">
        <f>C12*D12/1000000*'material inventory'!B4*(1-'material inventory'!B2)</f>
        <v>8.6399999999999988</v>
      </c>
      <c r="F12" s="65">
        <f t="shared" si="0"/>
        <v>2.4000000019199996</v>
      </c>
      <c r="P12">
        <f>SUM(P3:P11)</f>
        <v>32.401075218398958</v>
      </c>
      <c r="Q12">
        <f>SUM(Q3:Q11)</f>
        <v>570.12249192185254</v>
      </c>
    </row>
    <row r="13" spans="1:38">
      <c r="B13" s="49" t="s">
        <v>17</v>
      </c>
      <c r="C13" s="57"/>
      <c r="D13" s="58"/>
      <c r="E13" s="59"/>
      <c r="F13" s="60"/>
      <c r="N13" s="8" t="s">
        <v>81</v>
      </c>
      <c r="O13" s="10"/>
      <c r="P13" s="10">
        <f>P7/O7*F26</f>
        <v>1.6328160013062525E-2</v>
      </c>
      <c r="Q13">
        <f>Q7/O7*F26</f>
        <v>0.28730686288644547</v>
      </c>
    </row>
    <row r="14" spans="1:38">
      <c r="B14" s="69" t="s">
        <v>74</v>
      </c>
      <c r="C14" s="70">
        <f>(300+370)*(10000*'material inventory'!C25/100)^2*(1000/9999)^2</f>
        <v>42888.577286571533</v>
      </c>
      <c r="D14" s="71">
        <v>10</v>
      </c>
      <c r="E14" s="72">
        <f>C14*D14/1000000</f>
        <v>0.42888577286571533</v>
      </c>
      <c r="F14" s="73">
        <f t="shared" si="0"/>
        <v>0.11913493700245109</v>
      </c>
    </row>
    <row r="15" spans="1:38">
      <c r="B15" s="69" t="s">
        <v>75</v>
      </c>
      <c r="C15" s="70">
        <f>(300+370)*(10000*'material inventory'!C27/100)^2*(5700/9999)^2</f>
        <v>1393449.8760407092</v>
      </c>
      <c r="D15" s="71">
        <v>30</v>
      </c>
      <c r="E15" s="72">
        <f>C15*D15/1000000*'material inventory'!B6</f>
        <v>41.803496281221278</v>
      </c>
      <c r="F15" s="73">
        <f t="shared" si="0"/>
        <v>11.612082309628908</v>
      </c>
      <c r="G15">
        <f>F14+F15</f>
        <v>11.73121724663136</v>
      </c>
    </row>
    <row r="16" spans="1:38" ht="15.75" thickBot="1">
      <c r="A16">
        <v>100</v>
      </c>
      <c r="B16" s="61" t="s">
        <v>76</v>
      </c>
      <c r="C16" s="62">
        <f>630/350*A16/100*10000*'material inventory'!C25</f>
        <v>14400</v>
      </c>
      <c r="D16" s="63">
        <f>90*60</f>
        <v>5400</v>
      </c>
      <c r="E16" s="64">
        <f>C16*D16/1000000*'material inventory'!B5</f>
        <v>77.760000000000005</v>
      </c>
      <c r="F16" s="65">
        <f t="shared" si="0"/>
        <v>21.600000017279999</v>
      </c>
    </row>
    <row r="17" spans="1:17">
      <c r="B17" s="49" t="s">
        <v>77</v>
      </c>
      <c r="C17" s="57"/>
      <c r="D17" s="58"/>
      <c r="E17" s="59"/>
      <c r="F17" s="60"/>
    </row>
    <row r="18" spans="1:17" ht="15.75" thickBot="1">
      <c r="B18" s="74" t="s">
        <v>87</v>
      </c>
      <c r="C18" s="75">
        <f>(300+370)*(10000*'material inventory'!C33/100)^2*(3000/9999)^2</f>
        <v>385997.19557914388</v>
      </c>
      <c r="D18" s="76">
        <v>20</v>
      </c>
      <c r="E18" s="77">
        <f>C18*D18/1000000</f>
        <v>7.7199439115828783</v>
      </c>
      <c r="F18" s="78">
        <f t="shared" si="0"/>
        <v>2.1444288660441204</v>
      </c>
    </row>
    <row r="19" spans="1:17">
      <c r="B19" s="49" t="s">
        <v>78</v>
      </c>
      <c r="C19" s="50"/>
      <c r="D19" s="50"/>
      <c r="E19" s="59"/>
      <c r="F19" s="60"/>
    </row>
    <row r="20" spans="1:17" ht="15.75" thickBot="1">
      <c r="A20">
        <v>150</v>
      </c>
      <c r="B20" s="61" t="s">
        <v>152</v>
      </c>
      <c r="C20" s="62">
        <f>(2.8*10000/240*A20*'material inventory'!C40+57500)</f>
        <v>71500</v>
      </c>
      <c r="D20" s="63">
        <f>'material inventory'!B40/33*60</f>
        <v>145.45454545454547</v>
      </c>
      <c r="E20" s="64">
        <f>(C20*D20+50000*5*60)/1000000*'material inventory'!B7</f>
        <v>25.4</v>
      </c>
      <c r="F20" s="65">
        <f t="shared" si="0"/>
        <v>7.0555555611999994</v>
      </c>
    </row>
    <row r="21" spans="1:17">
      <c r="E21" s="22"/>
      <c r="F21" s="22"/>
    </row>
    <row r="22" spans="1:17">
      <c r="B22" t="s">
        <v>79</v>
      </c>
      <c r="E22" s="22">
        <f>SUM(E7:E21)*0.277777778</f>
        <v>45.640459796031884</v>
      </c>
      <c r="F22" s="22">
        <f>SUM(F7:F21)</f>
        <v>45.640459796031884</v>
      </c>
      <c r="G22" t="s">
        <v>80</v>
      </c>
    </row>
    <row r="26" spans="1:17">
      <c r="B26" t="s">
        <v>174</v>
      </c>
      <c r="C26">
        <f>230*0.6</f>
        <v>138</v>
      </c>
      <c r="D26">
        <f>10*60</f>
        <v>600</v>
      </c>
      <c r="E26">
        <f>C26*D26/1000000</f>
        <v>8.2799999999999999E-2</v>
      </c>
      <c r="F26">
        <f>E26*0.277777778</f>
        <v>2.3000000018399996E-2</v>
      </c>
    </row>
    <row r="32" spans="1:17">
      <c r="Q32" s="23">
        <f>SUM(Q3:Q11)</f>
        <v>570.12249192185254</v>
      </c>
    </row>
  </sheetData>
  <mergeCells count="3">
    <mergeCell ref="B4:F4"/>
    <mergeCell ref="R1:AI1"/>
    <mergeCell ref="AJ1:AL1"/>
  </mergeCells>
  <phoneticPr fontId="7"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37"/>
  <sheetViews>
    <sheetView zoomScaleNormal="100" workbookViewId="0">
      <pane ySplit="1" topLeftCell="A11" activePane="bottomLeft" state="frozen"/>
      <selection pane="bottomLeft" activeCell="H37" sqref="H37"/>
    </sheetView>
  </sheetViews>
  <sheetFormatPr defaultRowHeight="15"/>
  <cols>
    <col min="1" max="1" width="29.7109375" customWidth="1"/>
    <col min="2" max="3" width="9.42578125" bestFit="1" customWidth="1"/>
    <col min="4" max="4" width="12" bestFit="1" customWidth="1"/>
    <col min="5" max="5" width="9.42578125" bestFit="1" customWidth="1"/>
    <col min="6" max="8" width="12" bestFit="1" customWidth="1"/>
    <col min="9" max="9" width="9.42578125" bestFit="1" customWidth="1"/>
    <col min="10" max="10" width="12" bestFit="1" customWidth="1"/>
    <col min="11" max="11" width="9.42578125" bestFit="1" customWidth="1"/>
    <col min="12" max="14" width="12" bestFit="1" customWidth="1"/>
    <col min="15" max="15" width="12.140625" bestFit="1" customWidth="1"/>
    <col min="16" max="17" width="12" bestFit="1" customWidth="1"/>
    <col min="18" max="18" width="15.5703125" customWidth="1"/>
    <col min="19" max="24" width="12" bestFit="1" customWidth="1"/>
  </cols>
  <sheetData>
    <row r="1" spans="1:8">
      <c r="A1" s="66"/>
      <c r="B1" s="66" t="str">
        <f>'material inventory'!U13</f>
        <v>Carbon footprint</v>
      </c>
      <c r="C1" s="66" t="str">
        <f>'material inventory'!V13</f>
        <v>Primary energy consumption</v>
      </c>
      <c r="D1" s="66"/>
      <c r="E1" s="66"/>
      <c r="F1" s="66"/>
      <c r="G1" s="66" t="s">
        <v>42</v>
      </c>
      <c r="H1" s="66" t="s">
        <v>43</v>
      </c>
    </row>
    <row r="2" spans="1:8">
      <c r="A2" s="42" t="str">
        <f>'material inventory'!S14</f>
        <v>FTO glass</v>
      </c>
      <c r="B2">
        <f>'material inventory'!U14</f>
        <v>0.34780676817599987</v>
      </c>
      <c r="C2">
        <f>'material inventory'!V14</f>
        <v>8.5029036949120105</v>
      </c>
      <c r="G2">
        <f t="shared" ref="G2:G5" si="0">B2</f>
        <v>0.34780676817599987</v>
      </c>
      <c r="H2">
        <f t="shared" ref="H2:H5" si="1">C2</f>
        <v>8.5029036949120105</v>
      </c>
    </row>
    <row r="3" spans="1:8">
      <c r="A3" s="42" t="str">
        <f>'material inventory'!S15</f>
        <v>Ethanol</v>
      </c>
      <c r="B3">
        <f>'material inventory'!U15</f>
        <v>7.2156912392727255E-3</v>
      </c>
      <c r="C3">
        <f>'material inventory'!V15</f>
        <v>0.21438001693484721</v>
      </c>
      <c r="G3">
        <f t="shared" si="0"/>
        <v>7.2156912392727255E-3</v>
      </c>
      <c r="H3">
        <f t="shared" si="1"/>
        <v>0.21438001693484721</v>
      </c>
    </row>
    <row r="4" spans="1:8">
      <c r="A4" s="42" t="str">
        <f>'material inventory'!S16</f>
        <v>Acetone</v>
      </c>
      <c r="B4">
        <f>'material inventory'!U16</f>
        <v>3.4079009999999986E-2</v>
      </c>
      <c r="C4">
        <f>'material inventory'!V16</f>
        <v>0.99018946488503967</v>
      </c>
      <c r="G4">
        <f t="shared" si="0"/>
        <v>3.4079009999999986E-2</v>
      </c>
      <c r="H4">
        <f t="shared" si="1"/>
        <v>0.99018946488503967</v>
      </c>
    </row>
    <row r="5" spans="1:8">
      <c r="A5" s="42" t="str">
        <f>'material inventory'!S17</f>
        <v>Deionized water</v>
      </c>
      <c r="B5">
        <f>'material inventory'!U17</f>
        <v>5.6916581999999992E-6</v>
      </c>
      <c r="C5">
        <f>'material inventory'!V17</f>
        <v>7.8310930304559991E-5</v>
      </c>
      <c r="G5">
        <f t="shared" si="0"/>
        <v>5.6916581999999992E-6</v>
      </c>
      <c r="H5">
        <f t="shared" si="1"/>
        <v>7.8310930304559991E-5</v>
      </c>
    </row>
    <row r="6" spans="1:8">
      <c r="A6" s="42" t="s">
        <v>153</v>
      </c>
      <c r="B6">
        <f>'material inventory'!U18</f>
        <v>1.1382696060619048E-3</v>
      </c>
      <c r="C6">
        <f>'material inventory'!V18</f>
        <v>3.0850478127392843E-2</v>
      </c>
      <c r="G6">
        <f>B6</f>
        <v>1.1382696060619048E-3</v>
      </c>
      <c r="H6">
        <f>C6</f>
        <v>3.0850478127392843E-2</v>
      </c>
    </row>
    <row r="7" spans="1:8">
      <c r="A7" s="42" t="s">
        <v>154</v>
      </c>
      <c r="B7">
        <f>'material inventory'!U19</f>
        <v>7.2734003999999988E-4</v>
      </c>
      <c r="C7">
        <f>'material inventory'!V19</f>
        <v>7.801623139805999E-3</v>
      </c>
      <c r="G7">
        <f t="shared" ref="G7:G22" si="2">B7</f>
        <v>7.2734003999999988E-4</v>
      </c>
      <c r="H7">
        <f t="shared" ref="H7:H22" si="3">C7</f>
        <v>7.801623139805999E-3</v>
      </c>
    </row>
    <row r="8" spans="1:8">
      <c r="A8" s="42" t="s">
        <v>33</v>
      </c>
      <c r="B8">
        <f>'material inventory'!U20</f>
        <v>2.5223725128436875E-2</v>
      </c>
      <c r="C8">
        <f>'material inventory'!V20</f>
        <v>0.44681968269564831</v>
      </c>
      <c r="G8">
        <f t="shared" si="2"/>
        <v>2.5223725128436875E-2</v>
      </c>
      <c r="H8">
        <f t="shared" si="3"/>
        <v>0.44681968269564831</v>
      </c>
    </row>
    <row r="9" spans="1:8">
      <c r="A9" s="42" t="s">
        <v>155</v>
      </c>
      <c r="B9">
        <f>'material inventory'!U21</f>
        <v>3.967277566008961E-3</v>
      </c>
      <c r="C9">
        <f>'material inventory'!V21</f>
        <v>4.7175585678547176E-2</v>
      </c>
      <c r="G9">
        <f t="shared" si="2"/>
        <v>3.967277566008961E-3</v>
      </c>
      <c r="H9">
        <f t="shared" si="3"/>
        <v>4.7175585678547176E-2</v>
      </c>
    </row>
    <row r="10" spans="1:8">
      <c r="A10" s="42" t="s">
        <v>34</v>
      </c>
      <c r="B10">
        <f>'material inventory'!U22</f>
        <v>0.13488413735426555</v>
      </c>
      <c r="C10">
        <f>'material inventory'!V22</f>
        <v>2.376101090413008</v>
      </c>
      <c r="G10">
        <f t="shared" si="2"/>
        <v>0.13488413735426555</v>
      </c>
      <c r="H10">
        <f t="shared" si="3"/>
        <v>2.376101090413008</v>
      </c>
    </row>
    <row r="11" spans="1:8">
      <c r="A11" s="42" t="s">
        <v>156</v>
      </c>
      <c r="B11">
        <f>'material inventory'!U23</f>
        <v>4.7014751158128897E-4</v>
      </c>
      <c r="C11">
        <f>'material inventory'!V23</f>
        <v>6.1645782321264834E-3</v>
      </c>
      <c r="G11">
        <f t="shared" si="2"/>
        <v>4.7014751158128897E-4</v>
      </c>
      <c r="H11">
        <f t="shared" si="3"/>
        <v>6.1645782321264834E-3</v>
      </c>
    </row>
    <row r="12" spans="1:8">
      <c r="A12" s="42" t="s">
        <v>36</v>
      </c>
      <c r="B12">
        <f>'material inventory'!U24</f>
        <v>3.5274443549950076E-3</v>
      </c>
      <c r="C12">
        <f>'material inventory'!V24</f>
        <v>9.594394691044536E-2</v>
      </c>
      <c r="G12">
        <f t="shared" si="2"/>
        <v>3.5274443549950076E-3</v>
      </c>
      <c r="H12">
        <f t="shared" si="3"/>
        <v>9.594394691044536E-2</v>
      </c>
    </row>
    <row r="13" spans="1:8">
      <c r="A13" s="42" t="s">
        <v>37</v>
      </c>
      <c r="B13">
        <f>'material inventory'!U25</f>
        <v>4.5597346337695696E-4</v>
      </c>
      <c r="C13">
        <f>'material inventory'!V25</f>
        <v>2.1041036486732889E-2</v>
      </c>
      <c r="G13">
        <f t="shared" si="2"/>
        <v>4.5597346337695696E-4</v>
      </c>
      <c r="H13">
        <f t="shared" si="3"/>
        <v>2.1041036486732889E-2</v>
      </c>
    </row>
    <row r="14" spans="1:8">
      <c r="A14" s="42" t="s">
        <v>32</v>
      </c>
      <c r="B14">
        <f>'material inventory'!U26</f>
        <v>1.8214246032301103E-2</v>
      </c>
      <c r="C14">
        <f>'material inventory'!V26</f>
        <v>0.44095397902701583</v>
      </c>
      <c r="G14">
        <f t="shared" si="2"/>
        <v>1.8214246032301103E-2</v>
      </c>
      <c r="H14">
        <f t="shared" si="3"/>
        <v>0.44095397902701583</v>
      </c>
    </row>
    <row r="15" spans="1:8">
      <c r="A15" s="42" t="s">
        <v>31</v>
      </c>
      <c r="B15">
        <f>'material inventory'!U27</f>
        <v>4.4243052345403516E-2</v>
      </c>
      <c r="C15">
        <f>'material inventory'!V27</f>
        <v>0.71271985219058731</v>
      </c>
      <c r="G15">
        <f t="shared" si="2"/>
        <v>4.4243052345403516E-2</v>
      </c>
      <c r="H15">
        <f t="shared" si="3"/>
        <v>0.71271985219058731</v>
      </c>
    </row>
    <row r="16" spans="1:8">
      <c r="A16" s="42" t="s">
        <v>136</v>
      </c>
      <c r="B16">
        <f>'material inventory'!U28</f>
        <v>1.8929435795174367E-3</v>
      </c>
      <c r="C16">
        <f>'material inventory'!V28</f>
        <v>2.9694410746765015E-2</v>
      </c>
      <c r="G16">
        <f t="shared" si="2"/>
        <v>1.8929435795174367E-3</v>
      </c>
      <c r="H16">
        <f t="shared" si="3"/>
        <v>2.9694410746765015E-2</v>
      </c>
    </row>
    <row r="17" spans="1:8">
      <c r="A17" s="42" t="s">
        <v>25</v>
      </c>
      <c r="B17">
        <f>'material inventory'!U29</f>
        <v>8.0393424992440069E-4</v>
      </c>
      <c r="C17">
        <f>'material inventory'!V29</f>
        <v>2.1761021881914613E-2</v>
      </c>
      <c r="G17">
        <f t="shared" si="2"/>
        <v>8.0393424992440069E-4</v>
      </c>
      <c r="H17">
        <f t="shared" si="3"/>
        <v>2.1761021881914613E-2</v>
      </c>
    </row>
    <row r="18" spans="1:8">
      <c r="A18" s="42" t="s">
        <v>40</v>
      </c>
      <c r="B18">
        <f>'material inventory'!U30</f>
        <v>0</v>
      </c>
      <c r="C18">
        <f>'material inventory'!V30</f>
        <v>0</v>
      </c>
      <c r="G18">
        <f t="shared" si="2"/>
        <v>0</v>
      </c>
      <c r="H18">
        <f t="shared" si="3"/>
        <v>0</v>
      </c>
    </row>
    <row r="19" spans="1:8">
      <c r="A19" s="42" t="s">
        <v>38</v>
      </c>
      <c r="B19">
        <f>'material inventory'!U31</f>
        <v>1.4818854345165239E-3</v>
      </c>
      <c r="C19">
        <f>'material inventory'!V31</f>
        <v>2.4300028863157897E-2</v>
      </c>
      <c r="G19">
        <f t="shared" si="2"/>
        <v>1.4818854345165239E-3</v>
      </c>
      <c r="H19">
        <f t="shared" si="3"/>
        <v>2.4300028863157897E-2</v>
      </c>
    </row>
    <row r="20" spans="1:8">
      <c r="A20" s="42" t="s">
        <v>148</v>
      </c>
      <c r="B20">
        <f>'material inventory'!U32</f>
        <v>3.0363906048000004E-3</v>
      </c>
      <c r="C20">
        <f>'material inventory'!V32</f>
        <v>4.3663258078863364E-2</v>
      </c>
      <c r="G20">
        <f t="shared" si="2"/>
        <v>3.0363906048000004E-3</v>
      </c>
      <c r="H20">
        <f t="shared" si="3"/>
        <v>4.3663258078863364E-2</v>
      </c>
    </row>
    <row r="21" spans="1:8">
      <c r="A21" s="42" t="s">
        <v>149</v>
      </c>
      <c r="B21">
        <f>'material inventory'!U33</f>
        <v>0.23246925575757577</v>
      </c>
      <c r="C21">
        <f>'material inventory'!V33</f>
        <v>3.4927646546424245</v>
      </c>
      <c r="G21">
        <f t="shared" si="2"/>
        <v>0.23246925575757577</v>
      </c>
      <c r="H21">
        <f t="shared" si="3"/>
        <v>3.4927646546424245</v>
      </c>
    </row>
    <row r="22" spans="1:8">
      <c r="A22" s="42" t="s">
        <v>150</v>
      </c>
      <c r="B22">
        <f>'material inventory'!U34</f>
        <v>1.0245566060606062E-4</v>
      </c>
      <c r="C22">
        <f>'material inventory'!V34</f>
        <v>1.3958710916654544E-3</v>
      </c>
      <c r="G22">
        <f t="shared" si="2"/>
        <v>1.0245566060606062E-4</v>
      </c>
      <c r="H22">
        <f t="shared" si="3"/>
        <v>1.3958710916654544E-3</v>
      </c>
    </row>
    <row r="23" spans="1:8">
      <c r="A23" s="67" t="s">
        <v>175</v>
      </c>
      <c r="B23" s="67">
        <f>'energy consumption'!P13*'material inventory'!$B$2</f>
        <v>1.4695344011756272E-2</v>
      </c>
      <c r="C23" s="67">
        <f>'energy consumption'!Q13*'material inventory'!$B$2</f>
        <v>0.25857617659780091</v>
      </c>
      <c r="D23" s="67"/>
      <c r="E23" s="67"/>
      <c r="F23" s="67"/>
      <c r="G23" s="67">
        <f>B23</f>
        <v>1.4695344011756272E-2</v>
      </c>
      <c r="H23" s="67">
        <f>C23</f>
        <v>0.25857617659780091</v>
      </c>
    </row>
    <row r="24" spans="1:8">
      <c r="A24" s="67" t="str">
        <f>'energy consumption'!N3</f>
        <v>Sonication</v>
      </c>
      <c r="B24" s="67">
        <f>'energy consumption'!P3</f>
        <v>0.28396800022717433</v>
      </c>
      <c r="C24" s="67">
        <f>'energy consumption'!Q3</f>
        <v>4.9966410936773125</v>
      </c>
      <c r="D24" s="67"/>
      <c r="E24" s="67"/>
      <c r="F24" s="67"/>
      <c r="G24" s="67">
        <f t="shared" ref="G24:G34" si="4">B24</f>
        <v>0.28396800022717433</v>
      </c>
      <c r="H24" s="67">
        <f t="shared" ref="H24:H34" si="5">C24</f>
        <v>4.9966410936773125</v>
      </c>
    </row>
    <row r="25" spans="1:8">
      <c r="A25" s="67" t="str">
        <f>'energy consumption'!N4</f>
        <v>Spray pyrolysis</v>
      </c>
      <c r="B25" s="67">
        <f>'energy consumption'!P4</f>
        <v>2.0358858304232818E-6</v>
      </c>
      <c r="C25" s="67">
        <f>'energy consumption'!Q4</f>
        <v>3.5823018066085824E-5</v>
      </c>
      <c r="D25" s="67"/>
      <c r="E25" s="67"/>
      <c r="F25" s="67"/>
      <c r="G25" s="67">
        <f t="shared" si="4"/>
        <v>2.0358858304232818E-6</v>
      </c>
      <c r="H25" s="67">
        <f t="shared" si="5"/>
        <v>3.5823018066085824E-5</v>
      </c>
    </row>
    <row r="26" spans="1:8">
      <c r="A26" s="67" t="str">
        <f>'energy consumption'!N5</f>
        <v>ETL spin coating</v>
      </c>
      <c r="B26" s="67">
        <f>'energy consumption'!P5</f>
        <v>0.21954647633780475</v>
      </c>
      <c r="C26" s="67">
        <f>'energy consumption'!Q5</f>
        <v>3.8630935343557486</v>
      </c>
      <c r="D26" s="67"/>
      <c r="E26" s="67"/>
      <c r="F26" s="67"/>
      <c r="G26" s="67">
        <f t="shared" si="4"/>
        <v>0.21954647633780475</v>
      </c>
      <c r="H26" s="67">
        <f t="shared" si="5"/>
        <v>3.8630935343557486</v>
      </c>
    </row>
    <row r="27" spans="1:8">
      <c r="A27" s="67" t="str">
        <f>'energy consumption'!N6</f>
        <v>ETL calcining</v>
      </c>
      <c r="B27" s="67">
        <f>'energy consumption'!P6</f>
        <v>1.7038080013630461</v>
      </c>
      <c r="C27" s="67">
        <f>'energy consumption'!Q6</f>
        <v>29.979846562063877</v>
      </c>
      <c r="D27" s="67"/>
      <c r="E27" s="67"/>
      <c r="F27" s="67"/>
      <c r="G27" s="67">
        <f t="shared" si="4"/>
        <v>1.7038080013630461</v>
      </c>
      <c r="H27" s="67">
        <f t="shared" si="5"/>
        <v>29.979846562063877</v>
      </c>
    </row>
    <row r="28" spans="1:8">
      <c r="A28" s="67" t="str">
        <f>'energy consumption'!N7</f>
        <v>PL 1st-step spin coating</v>
      </c>
      <c r="B28" s="67">
        <f>'energy consumption'!P7</f>
        <v>8.4576274476780081E-2</v>
      </c>
      <c r="C28" s="67">
        <f>'energy consumption'!Q7</f>
        <v>1.4881863036072136</v>
      </c>
      <c r="D28" s="67"/>
      <c r="E28" s="67"/>
      <c r="F28" s="67"/>
      <c r="G28" s="67">
        <f t="shared" si="4"/>
        <v>8.4576274476780081E-2</v>
      </c>
      <c r="H28" s="67">
        <f t="shared" si="5"/>
        <v>1.4881863036072136</v>
      </c>
    </row>
    <row r="29" spans="1:8">
      <c r="A29" s="67" t="str">
        <f>'energy consumption'!N8</f>
        <v>PL 2nd-step spin coating</v>
      </c>
      <c r="B29" s="67">
        <f>'energy consumption'!P8</f>
        <v>8.2436494732517538</v>
      </c>
      <c r="C29" s="67">
        <f>'energy consumption'!Q8</f>
        <v>145.05351901259513</v>
      </c>
      <c r="D29" s="67"/>
      <c r="E29" s="67"/>
      <c r="F29" s="67"/>
      <c r="G29" s="67">
        <f t="shared" si="4"/>
        <v>8.2436494732517538</v>
      </c>
      <c r="H29" s="67">
        <f t="shared" si="5"/>
        <v>145.05351901259513</v>
      </c>
    </row>
    <row r="30" spans="1:8">
      <c r="A30" s="67" t="str">
        <f>'energy consumption'!N9</f>
        <v>PL drying</v>
      </c>
      <c r="B30" s="67">
        <f>'energy consumption'!P9</f>
        <v>15.334272012267418</v>
      </c>
      <c r="C30" s="67">
        <f>'energy consumption'!Q9</f>
        <v>269.81861905857494</v>
      </c>
      <c r="D30" s="67"/>
      <c r="E30" s="67"/>
      <c r="F30" s="67"/>
      <c r="G30" s="67">
        <f t="shared" si="4"/>
        <v>15.334272012267418</v>
      </c>
      <c r="H30" s="67">
        <f t="shared" si="5"/>
        <v>269.81861905857494</v>
      </c>
    </row>
    <row r="31" spans="1:8">
      <c r="A31" s="67" t="str">
        <f>'energy consumption'!N10</f>
        <v>HTL spin coating</v>
      </c>
      <c r="B31" s="67">
        <f>'energy consumption'!P10</f>
        <v>1.5223729405820419</v>
      </c>
      <c r="C31" s="67">
        <f>'energy consumption'!Q10</f>
        <v>26.787353464929854</v>
      </c>
      <c r="D31" s="67"/>
      <c r="E31" s="67"/>
      <c r="F31" s="67"/>
      <c r="G31" s="67">
        <f t="shared" si="4"/>
        <v>1.5223729405820419</v>
      </c>
      <c r="H31" s="67">
        <f t="shared" si="5"/>
        <v>26.787353464929854</v>
      </c>
    </row>
    <row r="32" spans="1:8">
      <c r="A32" s="67" t="str">
        <f>'energy consumption'!N11</f>
        <v>Electrode sputtering</v>
      </c>
      <c r="B32" s="67">
        <f>'energy consumption'!P11</f>
        <v>5.0088800040071035</v>
      </c>
      <c r="C32" s="67">
        <f>'energy consumption'!Q11</f>
        <v>88.135197069030383</v>
      </c>
      <c r="D32" s="67"/>
      <c r="E32" s="67"/>
      <c r="F32" s="67"/>
      <c r="G32" s="67">
        <f t="shared" si="4"/>
        <v>5.0088800040071035</v>
      </c>
      <c r="H32" s="67">
        <f t="shared" si="5"/>
        <v>88.135197069030383</v>
      </c>
    </row>
    <row r="33" spans="1:8">
      <c r="A33" s="68" t="s">
        <v>21</v>
      </c>
      <c r="B33">
        <f>'material inventory'!U35</f>
        <v>0</v>
      </c>
      <c r="C33">
        <f>'material inventory'!V35</f>
        <v>0</v>
      </c>
      <c r="G33">
        <f t="shared" si="4"/>
        <v>0</v>
      </c>
      <c r="H33">
        <f t="shared" si="5"/>
        <v>0</v>
      </c>
    </row>
    <row r="34" spans="1:8">
      <c r="A34" s="68" t="s">
        <v>92</v>
      </c>
      <c r="B34">
        <f>'material inventory'!U58</f>
        <v>5.7228935999999982E-5</v>
      </c>
      <c r="C34">
        <f>'material inventory'!V58</f>
        <v>4.7824445274400002E-4</v>
      </c>
      <c r="G34">
        <f t="shared" si="4"/>
        <v>5.7228935999999982E-5</v>
      </c>
      <c r="H34">
        <f t="shared" si="5"/>
        <v>4.7824445274400002E-4</v>
      </c>
    </row>
    <row r="35" spans="1:8">
      <c r="A35" s="68" t="s">
        <v>128</v>
      </c>
      <c r="B35">
        <f>'material inventory'!$F$65*[2]production!$D$103</f>
        <v>2.7378225430555302E-3</v>
      </c>
      <c r="C35">
        <f>'material inventory'!$F$65*[2]production!M103</f>
        <v>8.7624081031341047E-2</v>
      </c>
      <c r="G35">
        <v>6.2954281683199991</v>
      </c>
      <c r="H35">
        <v>102.32319889165566</v>
      </c>
    </row>
    <row r="36" spans="1:8">
      <c r="A36" s="48"/>
      <c r="B36" s="48">
        <f>SUM(B2:B34)</f>
        <v>33.277573431109559</v>
      </c>
      <c r="C36" s="48">
        <f t="shared" ref="C36:H36" si="6">SUM(C2:C34)</f>
        <v>587.88824892877142</v>
      </c>
      <c r="D36" s="48"/>
      <c r="E36" s="48"/>
      <c r="F36" s="48"/>
      <c r="G36" s="48">
        <f>SUM(G2:G34)</f>
        <v>33.277573431109559</v>
      </c>
      <c r="H36" s="48">
        <f t="shared" si="6"/>
        <v>587.88824892877142</v>
      </c>
    </row>
    <row r="37" spans="1:8">
      <c r="A37" s="42" t="s">
        <v>129</v>
      </c>
      <c r="B37" s="42">
        <f>SUM(B35:B36)</f>
        <v>33.280311253652613</v>
      </c>
      <c r="C37" s="42">
        <f t="shared" ref="C37:H37" si="7">SUM(C35:C36)</f>
        <v>587.97587300980274</v>
      </c>
      <c r="D37" s="42"/>
      <c r="E37" s="42"/>
      <c r="F37" s="42"/>
      <c r="G37" s="42">
        <f>SUM(G35:G36)</f>
        <v>39.57300159942956</v>
      </c>
      <c r="H37" s="42">
        <f t="shared" si="7"/>
        <v>690.21144782042711</v>
      </c>
    </row>
  </sheetData>
  <phoneticPr fontId="7"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3F31E-2FE1-4917-AA2E-16ABCE6ECCEC}">
  <sheetPr codeName="Sheet4"/>
  <dimension ref="A1:L46"/>
  <sheetViews>
    <sheetView zoomScaleNormal="100" workbookViewId="0">
      <selection activeCell="G11" sqref="G11"/>
    </sheetView>
  </sheetViews>
  <sheetFormatPr defaultColWidth="9.140625" defaultRowHeight="15"/>
  <cols>
    <col min="1" max="1" width="25.42578125" customWidth="1"/>
    <col min="2" max="2" width="19.42578125" customWidth="1"/>
    <col min="9" max="9" width="29.28515625" customWidth="1"/>
    <col min="10" max="10" width="16.42578125" customWidth="1"/>
    <col min="11" max="11" width="21.140625" customWidth="1"/>
    <col min="12" max="12" width="21.7109375" customWidth="1"/>
  </cols>
  <sheetData>
    <row r="1" spans="1:12">
      <c r="A1" t="s">
        <v>93</v>
      </c>
      <c r="B1" t="s">
        <v>94</v>
      </c>
      <c r="C1" t="s">
        <v>95</v>
      </c>
      <c r="F1" s="17">
        <f>20.8%*0.8</f>
        <v>0.16640000000000002</v>
      </c>
      <c r="K1" s="116"/>
      <c r="L1" s="116"/>
    </row>
    <row r="2" spans="1:12">
      <c r="A2" t="s">
        <v>96</v>
      </c>
      <c r="B2" t="s">
        <v>97</v>
      </c>
      <c r="C2" s="13">
        <v>1700</v>
      </c>
      <c r="E2">
        <v>58.9</v>
      </c>
    </row>
    <row r="3" spans="1:12">
      <c r="A3" t="s">
        <v>99</v>
      </c>
      <c r="B3" t="s">
        <v>8</v>
      </c>
      <c r="C3" s="14">
        <v>0.75</v>
      </c>
      <c r="E3">
        <v>1.23</v>
      </c>
    </row>
    <row r="4" spans="1:12">
      <c r="A4" t="s">
        <v>101</v>
      </c>
      <c r="B4" t="s">
        <v>8</v>
      </c>
      <c r="C4" s="15">
        <v>0.16640000000000002</v>
      </c>
      <c r="E4">
        <v>1.05</v>
      </c>
    </row>
    <row r="5" spans="1:12">
      <c r="A5" t="s">
        <v>102</v>
      </c>
      <c r="B5" t="s">
        <v>103</v>
      </c>
      <c r="C5">
        <v>12.49</v>
      </c>
    </row>
    <row r="6" spans="1:12">
      <c r="A6" t="s">
        <v>104</v>
      </c>
      <c r="B6" t="s">
        <v>105</v>
      </c>
      <c r="C6" s="13">
        <v>5</v>
      </c>
      <c r="E6">
        <v>1.1499999999999999</v>
      </c>
    </row>
    <row r="7" spans="1:12">
      <c r="A7" t="s">
        <v>106</v>
      </c>
      <c r="B7" t="s">
        <v>107</v>
      </c>
      <c r="C7" s="13">
        <v>690.21144782042711</v>
      </c>
      <c r="E7">
        <v>1.1100000000000001</v>
      </c>
    </row>
    <row r="8" spans="1:12">
      <c r="A8" t="s">
        <v>108</v>
      </c>
      <c r="C8" s="13">
        <v>39.57300159942956</v>
      </c>
      <c r="E8">
        <v>1.1100000000000001</v>
      </c>
    </row>
    <row r="9" spans="1:12">
      <c r="B9" t="s">
        <v>98</v>
      </c>
      <c r="C9" s="16">
        <f>C7/C5/C2/C4/C3</f>
        <v>0.26046910221254943</v>
      </c>
    </row>
    <row r="10" spans="1:12">
      <c r="B10" t="s">
        <v>100</v>
      </c>
      <c r="C10" s="16">
        <f>C8*1000/C2/C3/C4/C6</f>
        <v>37.30486576115154</v>
      </c>
      <c r="J10" s="20"/>
      <c r="L10" s="20"/>
    </row>
    <row r="11" spans="1:12">
      <c r="J11" s="20"/>
      <c r="L11" s="20"/>
    </row>
    <row r="12" spans="1:12">
      <c r="J12" s="17"/>
      <c r="L12" s="17"/>
    </row>
    <row r="13" spans="1:12">
      <c r="C13">
        <f>results!G37</f>
        <v>39.57300159942956</v>
      </c>
      <c r="D13">
        <f>results!H37</f>
        <v>690.21144782042711</v>
      </c>
      <c r="J13" s="17"/>
      <c r="L13" s="17"/>
    </row>
    <row r="14" spans="1:12">
      <c r="L14" s="17"/>
    </row>
    <row r="46" spans="1:1">
      <c r="A46" s="12"/>
    </row>
  </sheetData>
  <mergeCells count="1">
    <mergeCell ref="K1:L1"/>
  </mergeCells>
  <phoneticPr fontId="7"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66B3A-E6B7-4426-A5BE-64F875CCD3A2}">
  <sheetPr codeName="Sheet8"/>
  <dimension ref="A1:P31"/>
  <sheetViews>
    <sheetView workbookViewId="0"/>
  </sheetViews>
  <sheetFormatPr defaultRowHeight="15"/>
  <cols>
    <col min="1" max="2" width="36.7109375" customWidth="1"/>
  </cols>
  <sheetData>
    <row r="1" spans="1:16">
      <c r="A1" s="11" t="s">
        <v>109</v>
      </c>
    </row>
    <row r="2" spans="1:16">
      <c r="P2">
        <f ca="1">_xll.CB.RecalcCounterFN()</f>
        <v>0</v>
      </c>
    </row>
    <row r="3" spans="1:16">
      <c r="A3" t="s">
        <v>110</v>
      </c>
      <c r="B3" t="s">
        <v>111</v>
      </c>
      <c r="C3">
        <v>0</v>
      </c>
    </row>
    <row r="4" spans="1:16">
      <c r="A4" t="s">
        <v>112</v>
      </c>
    </row>
    <row r="5" spans="1:16">
      <c r="A5" t="s">
        <v>113</v>
      </c>
    </row>
    <row r="7" spans="1:16">
      <c r="A7" s="11" t="s">
        <v>114</v>
      </c>
      <c r="B7" t="s">
        <v>115</v>
      </c>
    </row>
    <row r="8" spans="1:16">
      <c r="B8">
        <v>2</v>
      </c>
    </row>
    <row r="10" spans="1:16">
      <c r="A10" t="s">
        <v>116</v>
      </c>
    </row>
    <row r="11" spans="1:16">
      <c r="A11" t="e">
        <f>CB_DATA_!#REF!</f>
        <v>#REF!</v>
      </c>
      <c r="B11" t="e">
        <f>Uncertainty!#REF!</f>
        <v>#REF!</v>
      </c>
    </row>
    <row r="13" spans="1:16">
      <c r="A13" t="s">
        <v>117</v>
      </c>
    </row>
    <row r="14" spans="1:16">
      <c r="A14" t="s">
        <v>125</v>
      </c>
      <c r="B14" s="18" t="s">
        <v>121</v>
      </c>
    </row>
    <row r="16" spans="1:16">
      <c r="A16" t="s">
        <v>118</v>
      </c>
    </row>
    <row r="19" spans="1:2">
      <c r="A19" t="s">
        <v>119</v>
      </c>
    </row>
    <row r="20" spans="1:2">
      <c r="A20">
        <v>31</v>
      </c>
      <c r="B20">
        <v>31</v>
      </c>
    </row>
    <row r="25" spans="1:2">
      <c r="A25" s="11" t="s">
        <v>120</v>
      </c>
    </row>
    <row r="26" spans="1:2">
      <c r="A26" s="18" t="s">
        <v>124</v>
      </c>
      <c r="B26" s="18" t="s">
        <v>122</v>
      </c>
    </row>
    <row r="27" spans="1:2">
      <c r="A27" t="s">
        <v>126</v>
      </c>
      <c r="B27" t="s">
        <v>185</v>
      </c>
    </row>
    <row r="28" spans="1:2">
      <c r="A28" s="18" t="s">
        <v>123</v>
      </c>
      <c r="B28" s="18" t="s">
        <v>123</v>
      </c>
    </row>
    <row r="29" spans="1:2">
      <c r="A29" s="18" t="s">
        <v>122</v>
      </c>
      <c r="B29" s="18" t="s">
        <v>124</v>
      </c>
    </row>
    <row r="30" spans="1:2">
      <c r="A30" t="s">
        <v>184</v>
      </c>
      <c r="B30" t="s">
        <v>127</v>
      </c>
    </row>
    <row r="31" spans="1:2">
      <c r="A31" s="18" t="s">
        <v>123</v>
      </c>
      <c r="B31" s="18" t="s">
        <v>123</v>
      </c>
    </row>
  </sheetData>
  <phoneticPr fontId="7"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material inventory</vt:lpstr>
      <vt:lpstr>SA</vt:lpstr>
      <vt:lpstr>energy consumption</vt:lpstr>
      <vt:lpstr>results</vt:lpstr>
      <vt:lpstr>Uncertainty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2020-01-04T19:53:00Z</dcterms:modified>
</cp:coreProperties>
</file>