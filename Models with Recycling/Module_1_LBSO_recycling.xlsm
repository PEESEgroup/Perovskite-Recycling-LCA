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Alvin\Desktop\1_Perovskite_20180226\LCI for key components\Recycling\Macro-enable\"/>
    </mc:Choice>
  </mc:AlternateContent>
  <xr:revisionPtr revIDLastSave="0" documentId="13_ncr:1_{32B713BA-D393-471B-B1AF-8DE7EED516AD}" xr6:coauthVersionLast="45" xr6:coauthVersionMax="45" xr10:uidLastSave="{00000000-0000-0000-0000-000000000000}"/>
  <bookViews>
    <workbookView xWindow="-28920" yWindow="-120" windowWidth="29040" windowHeight="15840" tabRatio="664" activeTab="3" xr2:uid="{00000000-000D-0000-FFFF-FFFF00000000}"/>
  </bookViews>
  <sheets>
    <sheet name="material inventory" sheetId="1" r:id="rId1"/>
    <sheet name="SA" sheetId="11" r:id="rId2"/>
    <sheet name="energy consumption" sheetId="2" r:id="rId3"/>
    <sheet name="results" sheetId="4" r:id="rId4"/>
    <sheet name="CB_DATA_" sheetId="6" state="veryHidden" r:id="rId5"/>
    <sheet name="Uncertainty" sheetId="5" r:id="rId6"/>
  </sheets>
  <externalReferences>
    <externalReference r:id="rId7"/>
    <externalReference r:id="rId8"/>
    <externalReference r:id="rId9"/>
    <externalReference r:id="rId10"/>
    <externalReference r:id="rId11"/>
    <externalReference r:id="rId12"/>
    <externalReference r:id="rId13"/>
    <externalReference r:id="rId14"/>
  </externalReferences>
  <definedNames>
    <definedName name="CB_48ae3d17f2ad4e7ab86e43730bb603ba" localSheetId="4" hidden="1">#N/A</definedName>
    <definedName name="CB_4a78b1b96c0c481bb94e66c1fb649590" localSheetId="5" hidden="1">Uncertainty!$C$8</definedName>
    <definedName name="CB_4aa41d4295d64d219bbea59193412f0e" localSheetId="5" hidden="1">Uncertainty!$C$3</definedName>
    <definedName name="CB_4db9db67ea584643ad4268b245bfc341" localSheetId="5" hidden="1">Uncertainty!$C$7</definedName>
    <definedName name="CB_5895322eb8714570a88379f136b0b103" localSheetId="5" hidden="1">Uncertainty!$C$10</definedName>
    <definedName name="CB_71a5529834bd4c7894ce11afcddc2ea2" localSheetId="5" hidden="1">Uncertainty!$C$4</definedName>
    <definedName name="CB_7c6f82a5015a48539bc293bbf9a93126" localSheetId="4" hidden="1">#N/A</definedName>
    <definedName name="CB_884df6bfcca841108df712d8fcf4d796" localSheetId="5" hidden="1">Uncertainty!$C$9</definedName>
    <definedName name="CB_a2f21eceb02543edb9737b5dda4dd829" localSheetId="5" hidden="1">Uncertainty!$C$2</definedName>
    <definedName name="CB_Block_00000000000000000000000000000000" localSheetId="4" hidden="1">"'7.0.0.0"</definedName>
    <definedName name="CB_Block_00000000000000000000000000000000" localSheetId="5" hidden="1">"'7.0.0.0"</definedName>
    <definedName name="CB_Block_00000000000000000000000000000001" localSheetId="4" hidden="1">"'637136694144985337"</definedName>
    <definedName name="CB_Block_00000000000000000000000000000001" localSheetId="5" hidden="1">"'637136694144935759"</definedName>
    <definedName name="CB_Block_00000000000000000000000000000003" localSheetId="4" hidden="1">"'11.1.4716.0"</definedName>
    <definedName name="CB_Block_00000000000000000000000000000003" localSheetId="5" hidden="1">"'11.1.4716.0"</definedName>
    <definedName name="CB_BlockExt_00000000000000000000000000000003" localSheetId="4" hidden="1">"'11.1.2.4.850"</definedName>
    <definedName name="CB_BlockExt_00000000000000000000000000000003" localSheetId="5" hidden="1">"'11.1.2.4.850"</definedName>
    <definedName name="CB_c893e5dc31ff4b75a4731845944c9d74" localSheetId="5" hidden="1">Uncertainty!$C$6</definedName>
    <definedName name="CBCR_195603925479446cbaa777c78ee9f622" localSheetId="5" hidden="1">Uncertainty!$E$4</definedName>
    <definedName name="CBCR_2102a7ad97ff4b269bb635b0eb02f657" localSheetId="5" hidden="1">Uncertainty!$E$7</definedName>
    <definedName name="CBCR_25d8dc63ed464b6699b4d901b9071945" localSheetId="5" hidden="1">Uncertainty!$C$3</definedName>
    <definedName name="CBCR_37e0559681ca4aefb2302d726caad515" localSheetId="5" hidden="1">Uncertainty!$C$8</definedName>
    <definedName name="CBCR_3e04771891c743b6b3dd159d3f7a15a8" localSheetId="5" hidden="1">Uncertainty!$C$7</definedName>
    <definedName name="CBCR_4b96818ac5e7427eb3787c430a58ada8" localSheetId="5" hidden="1">Uncertainty!$C$4</definedName>
    <definedName name="CBCR_55c34cb0d1fb4fc1b0b26dc26a92fa85" localSheetId="5" hidden="1">Uncertainty!$C$2</definedName>
    <definedName name="CBCR_63634538aa9248cf8e289bfa1a4e2140" localSheetId="5" hidden="1">Uncertainty!$E$8</definedName>
    <definedName name="CBCR_6e49114b38134fc79401178dcfc3d7dd" localSheetId="5" hidden="1">Uncertainty!$E$2</definedName>
    <definedName name="CBCR_b45504cb9d6b423486e315debf049b0c" localSheetId="5" hidden="1">Uncertainty!$E$3</definedName>
    <definedName name="CBCR_c800660ec2a1443b886e06e1b57bbfaa" localSheetId="5" hidden="1">Uncertainty!$C$6</definedName>
    <definedName name="CBCR_d41575e045394a64aedd7193f6606a8d" localSheetId="5" hidden="1">Uncertainty!$E$6</definedName>
    <definedName name="CBWorkbookPriority" localSheetId="4" hidden="1">-1136823999165220</definedName>
    <definedName name="CBx_140fc868070149a192ec67685f2d1e6d" localSheetId="4" hidden="1">"'Uncertainty'!$A$1"</definedName>
    <definedName name="CBx_7bca17ca3b4941c48b933482c96b362f" localSheetId="4" hidden="1">"'CB_DATA_'!$A$1"</definedName>
    <definedName name="CBx_Sheet_Guid" localSheetId="4" hidden="1">"'7bca17ca-3b49-41c4-8b93-3482c96b362f"</definedName>
    <definedName name="CBx_Sheet_Guid" localSheetId="5" hidden="1">"'140fc868-0701-49a1-92ec-67685f2d1e6d"</definedName>
    <definedName name="CBx_SheetRef" localSheetId="4" hidden="1">CB_DATA_!$A$14</definedName>
    <definedName name="CBx_SheetRef" localSheetId="5" hidden="1">CB_DATA_!$B$14</definedName>
    <definedName name="CBx_StorageType" localSheetId="4" hidden="1">2</definedName>
    <definedName name="CBx_StorageType" localSheetId="5" hidden="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8" i="11" l="1"/>
  <c r="H17" i="11"/>
  <c r="H19" i="11"/>
  <c r="P2" i="6"/>
  <c r="F36" i="1" l="1"/>
  <c r="G36" i="1"/>
  <c r="F59" i="1" s="1"/>
  <c r="H22" i="11" l="1"/>
  <c r="H20" i="11"/>
  <c r="H23" i="11"/>
  <c r="H24" i="11"/>
  <c r="H21" i="11"/>
  <c r="H25" i="11"/>
  <c r="H13" i="11"/>
  <c r="H5" i="11"/>
  <c r="H9" i="11"/>
  <c r="H12" i="11"/>
  <c r="H7" i="11"/>
  <c r="H11" i="11"/>
  <c r="H8" i="11"/>
  <c r="H10" i="11"/>
  <c r="H6" i="11"/>
  <c r="F24" i="11"/>
  <c r="F19" i="11"/>
  <c r="F23" i="11"/>
  <c r="F20" i="11"/>
  <c r="F22" i="11"/>
  <c r="F18" i="11"/>
  <c r="B24" i="11"/>
  <c r="B19" i="11"/>
  <c r="B23" i="11"/>
  <c r="B20" i="11"/>
  <c r="B22" i="11"/>
  <c r="B18" i="11"/>
  <c r="B6" i="11"/>
  <c r="B10" i="11"/>
  <c r="B8" i="11"/>
  <c r="B11" i="11"/>
  <c r="B7" i="11"/>
  <c r="B12" i="11"/>
  <c r="F10" i="11"/>
  <c r="F8" i="11"/>
  <c r="F11" i="11"/>
  <c r="F7" i="11"/>
  <c r="F12" i="11"/>
  <c r="F6" i="11"/>
  <c r="A20" i="4"/>
  <c r="H32" i="4"/>
  <c r="G32" i="4"/>
  <c r="E34" i="1" l="1"/>
  <c r="E31" i="1"/>
  <c r="E30" i="1"/>
  <c r="E29" i="1"/>
  <c r="E28" i="1"/>
  <c r="E26" i="1"/>
  <c r="E25" i="1"/>
  <c r="F25" i="1" s="1"/>
  <c r="F21" i="1"/>
  <c r="F19" i="1"/>
  <c r="F18" i="1"/>
  <c r="F17" i="1"/>
  <c r="F15" i="1"/>
  <c r="F14" i="1"/>
  <c r="A18" i="4" l="1"/>
  <c r="A19" i="4"/>
  <c r="A61" i="1"/>
  <c r="A60" i="1"/>
  <c r="I19" i="1" l="1"/>
  <c r="A8" i="4" s="1"/>
  <c r="C7" i="2"/>
  <c r="O19" i="1" l="1"/>
  <c r="AD19" i="1"/>
  <c r="V19" i="1"/>
  <c r="N19" i="1"/>
  <c r="Y19" i="1"/>
  <c r="X19" i="1"/>
  <c r="AC19" i="1"/>
  <c r="U19" i="1"/>
  <c r="M19" i="1"/>
  <c r="K19" i="1"/>
  <c r="C8" i="4" s="1"/>
  <c r="H8" i="4" s="1"/>
  <c r="AF19" i="1"/>
  <c r="AE19" i="1"/>
  <c r="AB19" i="1"/>
  <c r="T19" i="1"/>
  <c r="L19" i="1"/>
  <c r="P19" i="1"/>
  <c r="AA19" i="1"/>
  <c r="S19" i="1"/>
  <c r="Q19" i="1"/>
  <c r="W19" i="1"/>
  <c r="J19" i="1"/>
  <c r="B8" i="4" s="1"/>
  <c r="G8" i="4" s="1"/>
  <c r="Z19" i="1"/>
  <c r="R19" i="1"/>
  <c r="A22" i="4" l="1"/>
  <c r="A23" i="4"/>
  <c r="A24" i="4"/>
  <c r="A25" i="4"/>
  <c r="A26" i="4"/>
  <c r="A27" i="4"/>
  <c r="A28" i="4"/>
  <c r="A29" i="4"/>
  <c r="A21" i="4"/>
  <c r="A4" i="4"/>
  <c r="A5" i="4"/>
  <c r="A6" i="4"/>
  <c r="A7" i="4"/>
  <c r="A9" i="4"/>
  <c r="A10" i="4"/>
  <c r="A11" i="4"/>
  <c r="A12" i="4"/>
  <c r="A13" i="4"/>
  <c r="A14" i="4"/>
  <c r="A15" i="4"/>
  <c r="A16" i="4"/>
  <c r="A3" i="4"/>
  <c r="D20" i="2"/>
  <c r="F37" i="1" s="1"/>
  <c r="C20" i="2"/>
  <c r="E20" i="2" s="1"/>
  <c r="N29" i="1" l="1"/>
  <c r="V29" i="1"/>
  <c r="AD29" i="1"/>
  <c r="O29" i="1"/>
  <c r="W29" i="1"/>
  <c r="AE29" i="1"/>
  <c r="P29" i="1"/>
  <c r="Q29" i="1"/>
  <c r="Y29" i="1"/>
  <c r="K29" i="1"/>
  <c r="C18" i="4" s="1"/>
  <c r="H18" i="4" s="1"/>
  <c r="L29" i="1"/>
  <c r="T29" i="1"/>
  <c r="U29" i="1"/>
  <c r="AF29" i="1"/>
  <c r="R29" i="1"/>
  <c r="Z29" i="1"/>
  <c r="J29" i="1"/>
  <c r="B18" i="4" s="1"/>
  <c r="G18" i="4" s="1"/>
  <c r="AB29" i="1"/>
  <c r="M29" i="1"/>
  <c r="AC29" i="1"/>
  <c r="X29" i="1"/>
  <c r="S29" i="1"/>
  <c r="AA29" i="1"/>
  <c r="F38" i="1"/>
  <c r="F60" i="1"/>
  <c r="C18" i="2"/>
  <c r="E18" i="2" s="1"/>
  <c r="C16" i="2"/>
  <c r="C15" i="2"/>
  <c r="E15" i="2" s="1"/>
  <c r="C14" i="2"/>
  <c r="F61" i="1" l="1"/>
  <c r="M30" i="1"/>
  <c r="U30" i="1"/>
  <c r="AC30" i="1"/>
  <c r="N30" i="1"/>
  <c r="V30" i="1"/>
  <c r="AD30" i="1"/>
  <c r="O30" i="1"/>
  <c r="P30" i="1"/>
  <c r="X30" i="1"/>
  <c r="AF30" i="1"/>
  <c r="L30" i="1"/>
  <c r="AB30" i="1"/>
  <c r="Q30" i="1"/>
  <c r="Y30" i="1"/>
  <c r="K30" i="1"/>
  <c r="C19" i="4" s="1"/>
  <c r="H19" i="4" s="1"/>
  <c r="AA30" i="1"/>
  <c r="T30" i="1"/>
  <c r="W30" i="1"/>
  <c r="AE30" i="1"/>
  <c r="R30" i="1"/>
  <c r="Z30" i="1"/>
  <c r="J30" i="1"/>
  <c r="B19" i="4" s="1"/>
  <c r="G19" i="4" s="1"/>
  <c r="S30" i="1"/>
  <c r="C12" i="2"/>
  <c r="E12" i="2" s="1"/>
  <c r="C11" i="2"/>
  <c r="E11" i="2" s="1"/>
  <c r="I28" i="1" l="1"/>
  <c r="A17" i="4" s="1"/>
  <c r="G35" i="1" l="1"/>
  <c r="F1" i="5" l="1"/>
  <c r="F32" i="1" l="1"/>
  <c r="F53" i="1" l="1"/>
  <c r="M26" i="1"/>
  <c r="U26" i="1"/>
  <c r="AC26" i="1"/>
  <c r="L26" i="1"/>
  <c r="N26" i="1"/>
  <c r="V26" i="1"/>
  <c r="AD26" i="1"/>
  <c r="W26" i="1"/>
  <c r="P26" i="1"/>
  <c r="AF26" i="1"/>
  <c r="Q26" i="1"/>
  <c r="T26" i="1"/>
  <c r="O26" i="1"/>
  <c r="AE26" i="1"/>
  <c r="X26" i="1"/>
  <c r="Y26" i="1"/>
  <c r="K26" i="1"/>
  <c r="C15" i="4" s="1"/>
  <c r="H15" i="4" s="1"/>
  <c r="Z26" i="1"/>
  <c r="AA26" i="1"/>
  <c r="J26" i="1"/>
  <c r="B15" i="4" s="1"/>
  <c r="G15" i="4" s="1"/>
  <c r="S26" i="1"/>
  <c r="R26" i="1"/>
  <c r="AB26" i="1"/>
  <c r="L43" i="1" l="1"/>
  <c r="T43" i="1"/>
  <c r="AB43" i="1"/>
  <c r="Y43" i="1"/>
  <c r="R43" i="1"/>
  <c r="J43" i="1"/>
  <c r="M43" i="1"/>
  <c r="U43" i="1"/>
  <c r="AC43" i="1"/>
  <c r="AD43" i="1"/>
  <c r="AE43" i="1"/>
  <c r="P43" i="1"/>
  <c r="N43" i="1"/>
  <c r="V43" i="1"/>
  <c r="W43" i="1"/>
  <c r="X43" i="1"/>
  <c r="AF43" i="1"/>
  <c r="K43" i="1"/>
  <c r="Z43" i="1"/>
  <c r="O43" i="1"/>
  <c r="Q43" i="1"/>
  <c r="AA43" i="1"/>
  <c r="S43" i="1"/>
  <c r="C10" i="5" l="1"/>
  <c r="C9" i="5" l="1"/>
  <c r="B11" i="6"/>
  <c r="A11" i="6"/>
  <c r="A30" i="4"/>
  <c r="C2" i="4"/>
  <c r="H2" i="4" s="1"/>
  <c r="B2" i="4"/>
  <c r="G2" i="4" s="1"/>
  <c r="D26" i="2"/>
  <c r="C26" i="2"/>
  <c r="F20" i="2"/>
  <c r="AF14" i="2" s="1"/>
  <c r="F18" i="2"/>
  <c r="U13" i="2" s="1"/>
  <c r="E16" i="2"/>
  <c r="F16" i="2" s="1"/>
  <c r="F15" i="2"/>
  <c r="U11" i="2" s="1"/>
  <c r="E14" i="2"/>
  <c r="F14" i="2" s="1"/>
  <c r="F12" i="2"/>
  <c r="F11" i="2"/>
  <c r="D7" i="2"/>
  <c r="E7" i="2" s="1"/>
  <c r="F34" i="1"/>
  <c r="B30" i="1"/>
  <c r="B28" i="1"/>
  <c r="F28" i="1" s="1"/>
  <c r="K9" i="2"/>
  <c r="L9" i="2" s="1"/>
  <c r="AF17" i="1"/>
  <c r="F41" i="1"/>
  <c r="W32" i="1" s="1"/>
  <c r="AH14" i="2" l="1"/>
  <c r="AI14" i="2"/>
  <c r="N14" i="2"/>
  <c r="B29" i="4" s="1"/>
  <c r="G29" i="4" s="1"/>
  <c r="R14" i="2"/>
  <c r="S14" i="2"/>
  <c r="T14" i="2"/>
  <c r="U14" i="2"/>
  <c r="W14" i="2"/>
  <c r="V14" i="2"/>
  <c r="AF18" i="1"/>
  <c r="O14" i="2"/>
  <c r="C29" i="4" s="1"/>
  <c r="H29" i="4" s="1"/>
  <c r="Z14" i="2"/>
  <c r="Q14" i="2"/>
  <c r="AB14" i="2"/>
  <c r="Z14" i="1"/>
  <c r="L49" i="1"/>
  <c r="T49" i="1"/>
  <c r="AB49" i="1"/>
  <c r="M49" i="1"/>
  <c r="U49" i="1"/>
  <c r="AC49" i="1"/>
  <c r="N49" i="1"/>
  <c r="V49" i="1"/>
  <c r="AD49" i="1"/>
  <c r="O49" i="1"/>
  <c r="W49" i="1"/>
  <c r="AE49" i="1"/>
  <c r="X49" i="1"/>
  <c r="AF49" i="1"/>
  <c r="Y49" i="1"/>
  <c r="K49" i="1"/>
  <c r="AA49" i="1"/>
  <c r="P49" i="1"/>
  <c r="Q49" i="1"/>
  <c r="R49" i="1"/>
  <c r="Z49" i="1"/>
  <c r="J49" i="1"/>
  <c r="S49" i="1"/>
  <c r="Y14" i="2"/>
  <c r="AC14" i="2"/>
  <c r="AD14" i="2"/>
  <c r="AE14" i="2"/>
  <c r="AG14" i="2"/>
  <c r="Q13" i="2"/>
  <c r="T13" i="2"/>
  <c r="AD13" i="2"/>
  <c r="AJ13" i="2"/>
  <c r="N11" i="2"/>
  <c r="B26" i="4" s="1"/>
  <c r="G26" i="4" s="1"/>
  <c r="N28" i="1"/>
  <c r="V28" i="1"/>
  <c r="AD28" i="1"/>
  <c r="X28" i="1"/>
  <c r="AA28" i="1"/>
  <c r="AC28" i="1"/>
  <c r="O28" i="1"/>
  <c r="W28" i="1"/>
  <c r="AE28" i="1"/>
  <c r="P28" i="1"/>
  <c r="AF28" i="1"/>
  <c r="T28" i="1"/>
  <c r="Q28" i="1"/>
  <c r="Y28" i="1"/>
  <c r="K28" i="1"/>
  <c r="C17" i="4" s="1"/>
  <c r="H17" i="4" s="1"/>
  <c r="R28" i="1"/>
  <c r="J28" i="1"/>
  <c r="B17" i="4" s="1"/>
  <c r="G17" i="4" s="1"/>
  <c r="L28" i="1"/>
  <c r="M28" i="1"/>
  <c r="Z28" i="1"/>
  <c r="S28" i="1"/>
  <c r="AB28" i="1"/>
  <c r="U28" i="1"/>
  <c r="AF14" i="1"/>
  <c r="J27" i="1"/>
  <c r="B16" i="4" s="1"/>
  <c r="G16" i="4" s="1"/>
  <c r="R27" i="1"/>
  <c r="AB27" i="1"/>
  <c r="N27" i="1"/>
  <c r="X20" i="1"/>
  <c r="U15" i="1"/>
  <c r="F30" i="1"/>
  <c r="X24" i="1" s="1"/>
  <c r="M17" i="1"/>
  <c r="S14" i="1"/>
  <c r="J18" i="1"/>
  <c r="S27" i="1"/>
  <c r="U14" i="1"/>
  <c r="AC18" i="1"/>
  <c r="AA27" i="1"/>
  <c r="K27" i="1"/>
  <c r="C16" i="4" s="1"/>
  <c r="H16" i="4" s="1"/>
  <c r="T27" i="1"/>
  <c r="AC27" i="1"/>
  <c r="L27" i="1"/>
  <c r="U27" i="1"/>
  <c r="AD27" i="1"/>
  <c r="M27" i="1"/>
  <c r="V27" i="1"/>
  <c r="AF27" i="1"/>
  <c r="P27" i="1"/>
  <c r="Y27" i="1"/>
  <c r="X27" i="1"/>
  <c r="Q27" i="1"/>
  <c r="Z27" i="1"/>
  <c r="Z20" i="1"/>
  <c r="N20" i="1"/>
  <c r="AA20" i="1"/>
  <c r="O20" i="1"/>
  <c r="AF20" i="1"/>
  <c r="K15" i="1"/>
  <c r="F43" i="1"/>
  <c r="AB33" i="1" s="1"/>
  <c r="F55" i="1"/>
  <c r="Q20" i="1"/>
  <c r="F57" i="1"/>
  <c r="AD47" i="1" s="1"/>
  <c r="E26" i="2"/>
  <c r="F26" i="2" s="1"/>
  <c r="M15" i="1"/>
  <c r="K18" i="1"/>
  <c r="R14" i="1"/>
  <c r="R15" i="1"/>
  <c r="U18" i="1"/>
  <c r="R20" i="1"/>
  <c r="O27" i="1"/>
  <c r="W27" i="1"/>
  <c r="AE27" i="1"/>
  <c r="AA14" i="2"/>
  <c r="AJ14" i="2"/>
  <c r="J15" i="1"/>
  <c r="P20" i="1"/>
  <c r="S15" i="1"/>
  <c r="Z18" i="1"/>
  <c r="V20" i="1"/>
  <c r="AC22" i="1"/>
  <c r="U22" i="1"/>
  <c r="M22" i="1"/>
  <c r="AB22" i="1"/>
  <c r="T22" i="1"/>
  <c r="L22" i="1"/>
  <c r="K22" i="1"/>
  <c r="Z22" i="1"/>
  <c r="R22" i="1"/>
  <c r="F50" i="1"/>
  <c r="Y22" i="1"/>
  <c r="Q22" i="1"/>
  <c r="S22" i="1"/>
  <c r="AF22" i="1"/>
  <c r="X22" i="1"/>
  <c r="P22" i="1"/>
  <c r="AE22" i="1"/>
  <c r="W22" i="1"/>
  <c r="O22" i="1"/>
  <c r="AA22" i="1"/>
  <c r="AD22" i="1"/>
  <c r="V22" i="1"/>
  <c r="N22" i="1"/>
  <c r="Q8" i="2"/>
  <c r="AC8" i="2"/>
  <c r="T8" i="2"/>
  <c r="S8" i="2"/>
  <c r="AB8" i="2"/>
  <c r="AA15" i="1"/>
  <c r="U17" i="1"/>
  <c r="R18" i="1"/>
  <c r="L20" i="1"/>
  <c r="T20" i="1"/>
  <c r="AC20" i="1"/>
  <c r="O32" i="1"/>
  <c r="R17" i="1"/>
  <c r="K14" i="1"/>
  <c r="M14" i="1"/>
  <c r="AC15" i="1"/>
  <c r="Z17" i="1"/>
  <c r="S18" i="1"/>
  <c r="M20" i="1"/>
  <c r="U20" i="1"/>
  <c r="AD20" i="1"/>
  <c r="AE32" i="1"/>
  <c r="F47" i="1"/>
  <c r="Y37" i="1" s="1"/>
  <c r="J17" i="1"/>
  <c r="AC17" i="1"/>
  <c r="AA17" i="1"/>
  <c r="K17" i="1"/>
  <c r="AA18" i="1"/>
  <c r="Y20" i="1"/>
  <c r="F54" i="1"/>
  <c r="AA14" i="1"/>
  <c r="F44" i="1"/>
  <c r="AC14" i="1"/>
  <c r="Z15" i="1"/>
  <c r="S17" i="1"/>
  <c r="M18" i="1"/>
  <c r="K20" i="1"/>
  <c r="S20" i="1"/>
  <c r="AB20" i="1"/>
  <c r="M32" i="1"/>
  <c r="F58" i="1"/>
  <c r="R48" i="1" s="1"/>
  <c r="D9" i="2"/>
  <c r="E9" i="2" s="1"/>
  <c r="F9" i="2" s="1"/>
  <c r="O7" i="2" s="1"/>
  <c r="AJ9" i="2"/>
  <c r="AB9" i="2"/>
  <c r="T9" i="2"/>
  <c r="AG9" i="2"/>
  <c r="X9" i="2"/>
  <c r="O9" i="2"/>
  <c r="AF9" i="2"/>
  <c r="W9" i="2"/>
  <c r="N9" i="2"/>
  <c r="AE9" i="2"/>
  <c r="V9" i="2"/>
  <c r="AD9" i="2"/>
  <c r="U9" i="2"/>
  <c r="AI9" i="2"/>
  <c r="Z9" i="2"/>
  <c r="Q9" i="2"/>
  <c r="P9" i="2"/>
  <c r="AH9" i="2"/>
  <c r="AC9" i="2"/>
  <c r="AA9" i="2"/>
  <c r="Y9" i="2"/>
  <c r="S9" i="2"/>
  <c r="R9" i="2"/>
  <c r="AG12" i="2"/>
  <c r="Y12" i="2"/>
  <c r="Q12" i="2"/>
  <c r="AD12" i="2"/>
  <c r="U12" i="2"/>
  <c r="AC12" i="2"/>
  <c r="T12" i="2"/>
  <c r="AB12" i="2"/>
  <c r="S12" i="2"/>
  <c r="AJ12" i="2"/>
  <c r="AA12" i="2"/>
  <c r="R12" i="2"/>
  <c r="AF12" i="2"/>
  <c r="W12" i="2"/>
  <c r="N12" i="2"/>
  <c r="AE12" i="2"/>
  <c r="Z12" i="2"/>
  <c r="X12" i="2"/>
  <c r="V12" i="2"/>
  <c r="O12" i="2"/>
  <c r="P12" i="2"/>
  <c r="AI12" i="2"/>
  <c r="AH12" i="2"/>
  <c r="AC10" i="2"/>
  <c r="U10" i="2"/>
  <c r="AB10" i="2"/>
  <c r="S10" i="2"/>
  <c r="AJ10" i="2"/>
  <c r="AA10" i="2"/>
  <c r="R10" i="2"/>
  <c r="AI10" i="2"/>
  <c r="Z10" i="2"/>
  <c r="Q10" i="2"/>
  <c r="AH10" i="2"/>
  <c r="Y10" i="2"/>
  <c r="P10" i="2"/>
  <c r="AE10" i="2"/>
  <c r="V10" i="2"/>
  <c r="O10" i="2"/>
  <c r="N10" i="2"/>
  <c r="N26" i="2" s="1"/>
  <c r="AG10" i="2"/>
  <c r="X10" i="2"/>
  <c r="AF10" i="2"/>
  <c r="AD10" i="2"/>
  <c r="W10" i="2"/>
  <c r="T10" i="2"/>
  <c r="AI11" i="2"/>
  <c r="AA11" i="2"/>
  <c r="S11" i="2"/>
  <c r="AC11" i="2"/>
  <c r="T11" i="2"/>
  <c r="AB11" i="2"/>
  <c r="R11" i="2"/>
  <c r="AJ11" i="2"/>
  <c r="Z11" i="2"/>
  <c r="Q11" i="2"/>
  <c r="AH11" i="2"/>
  <c r="Y11" i="2"/>
  <c r="P11" i="2"/>
  <c r="AE11" i="2"/>
  <c r="V11" i="2"/>
  <c r="L14" i="1"/>
  <c r="T14" i="1"/>
  <c r="AB14" i="1"/>
  <c r="L15" i="1"/>
  <c r="T15" i="1"/>
  <c r="AB15" i="1"/>
  <c r="L17" i="1"/>
  <c r="T17" i="1"/>
  <c r="AB17" i="1"/>
  <c r="L18" i="1"/>
  <c r="T18" i="1"/>
  <c r="AB18" i="1"/>
  <c r="N32" i="1"/>
  <c r="AF32" i="1"/>
  <c r="Z8" i="2"/>
  <c r="O11" i="2"/>
  <c r="V14" i="1"/>
  <c r="V15" i="1"/>
  <c r="V17" i="1"/>
  <c r="N18" i="1"/>
  <c r="P32" i="1"/>
  <c r="W11" i="2"/>
  <c r="AD14" i="1"/>
  <c r="N17" i="1"/>
  <c r="AD18" i="1"/>
  <c r="W14" i="1"/>
  <c r="AE14" i="1"/>
  <c r="O15" i="1"/>
  <c r="W15" i="1"/>
  <c r="AE15" i="1"/>
  <c r="O17" i="1"/>
  <c r="W17" i="1"/>
  <c r="AE17" i="1"/>
  <c r="O18" i="1"/>
  <c r="W18" i="1"/>
  <c r="AE18" i="1"/>
  <c r="V32" i="1"/>
  <c r="AI8" i="2"/>
  <c r="X11" i="2"/>
  <c r="AH13" i="2"/>
  <c r="Z13" i="2"/>
  <c r="R13" i="2"/>
  <c r="AI13" i="2"/>
  <c r="Y13" i="2"/>
  <c r="P13" i="2"/>
  <c r="AG13" i="2"/>
  <c r="X13" i="2"/>
  <c r="O13" i="2"/>
  <c r="AF13" i="2"/>
  <c r="W13" i="2"/>
  <c r="N13" i="2"/>
  <c r="AE13" i="2"/>
  <c r="V13" i="2"/>
  <c r="AB13" i="2"/>
  <c r="S13" i="2"/>
  <c r="N14" i="1"/>
  <c r="N15" i="1"/>
  <c r="AD15" i="1"/>
  <c r="AD17" i="1"/>
  <c r="V18" i="1"/>
  <c r="O14" i="1"/>
  <c r="P14" i="1"/>
  <c r="X14" i="1"/>
  <c r="P15" i="1"/>
  <c r="X15" i="1"/>
  <c r="AF15" i="1"/>
  <c r="P17" i="1"/>
  <c r="X17" i="1"/>
  <c r="P18" i="1"/>
  <c r="X18" i="1"/>
  <c r="F7" i="2"/>
  <c r="AD11" i="2"/>
  <c r="AA13" i="2"/>
  <c r="Q14" i="1"/>
  <c r="Y14" i="1"/>
  <c r="Z32" i="1"/>
  <c r="R32" i="1"/>
  <c r="J32" i="1"/>
  <c r="AD32" i="1"/>
  <c r="U32" i="1"/>
  <c r="L32" i="1"/>
  <c r="AC32" i="1"/>
  <c r="T32" i="1"/>
  <c r="K32" i="1"/>
  <c r="AB32" i="1"/>
  <c r="S32" i="1"/>
  <c r="F40" i="1"/>
  <c r="AA32" i="1"/>
  <c r="Q32" i="1"/>
  <c r="Q15" i="1"/>
  <c r="Y15" i="1"/>
  <c r="F16" i="1"/>
  <c r="F22" i="1"/>
  <c r="Q17" i="1"/>
  <c r="Y17" i="1"/>
  <c r="F23" i="1"/>
  <c r="Q18" i="1"/>
  <c r="Y18" i="1"/>
  <c r="X32" i="1"/>
  <c r="AF11" i="2"/>
  <c r="AC13" i="2"/>
  <c r="Y32" i="1"/>
  <c r="AF8" i="2"/>
  <c r="X8" i="2"/>
  <c r="P8" i="2"/>
  <c r="AH8" i="2"/>
  <c r="Y8" i="2"/>
  <c r="O8" i="2"/>
  <c r="AG8" i="2"/>
  <c r="W8" i="2"/>
  <c r="N8" i="2"/>
  <c r="AE8" i="2"/>
  <c r="V8" i="2"/>
  <c r="AD8" i="2"/>
  <c r="U8" i="2"/>
  <c r="AJ8" i="2"/>
  <c r="AA8" i="2"/>
  <c r="R8" i="2"/>
  <c r="AG11" i="2"/>
  <c r="W20" i="1"/>
  <c r="AE20" i="1"/>
  <c r="F29" i="1"/>
  <c r="F46" i="1"/>
  <c r="F26" i="1"/>
  <c r="AE21" i="1" s="1"/>
  <c r="F48" i="1"/>
  <c r="F56" i="1"/>
  <c r="P14" i="2"/>
  <c r="X14" i="2"/>
  <c r="O26" i="2" l="1"/>
  <c r="J33" i="1"/>
  <c r="O37" i="1"/>
  <c r="F66" i="1"/>
  <c r="I54" i="1"/>
  <c r="U47" i="1"/>
  <c r="W24" i="1"/>
  <c r="AD24" i="1"/>
  <c r="AA24" i="1"/>
  <c r="Y24" i="1"/>
  <c r="W33" i="1"/>
  <c r="Y47" i="1"/>
  <c r="L47" i="1"/>
  <c r="J47" i="1"/>
  <c r="X47" i="1"/>
  <c r="Z24" i="1"/>
  <c r="AC33" i="1"/>
  <c r="Q24" i="1"/>
  <c r="T24" i="1"/>
  <c r="O33" i="1"/>
  <c r="AE47" i="1"/>
  <c r="K24" i="1"/>
  <c r="U37" i="1"/>
  <c r="R7" i="2"/>
  <c r="AD37" i="1"/>
  <c r="X37" i="1"/>
  <c r="M37" i="1"/>
  <c r="Q37" i="1"/>
  <c r="K37" i="1"/>
  <c r="J37" i="1"/>
  <c r="V37" i="1"/>
  <c r="P37" i="1"/>
  <c r="AE37" i="1"/>
  <c r="Z37" i="1"/>
  <c r="R37" i="1"/>
  <c r="AB37" i="1"/>
  <c r="S37" i="1"/>
  <c r="N37" i="1"/>
  <c r="W37" i="1"/>
  <c r="L37" i="1"/>
  <c r="AF37" i="1"/>
  <c r="W7" i="2"/>
  <c r="R24" i="1"/>
  <c r="O24" i="1"/>
  <c r="S47" i="1"/>
  <c r="P47" i="1"/>
  <c r="N47" i="1"/>
  <c r="S24" i="1"/>
  <c r="M24" i="1"/>
  <c r="L24" i="1"/>
  <c r="AC47" i="1"/>
  <c r="AB24" i="1"/>
  <c r="AC24" i="1"/>
  <c r="U24" i="1"/>
  <c r="P24" i="1"/>
  <c r="T47" i="1"/>
  <c r="O47" i="1"/>
  <c r="B7" i="4"/>
  <c r="K47" i="1"/>
  <c r="F31" i="1"/>
  <c r="Z25" i="1" s="1"/>
  <c r="F52" i="1"/>
  <c r="W47" i="1"/>
  <c r="V24" i="1"/>
  <c r="AE24" i="1"/>
  <c r="AF24" i="1"/>
  <c r="N24" i="1"/>
  <c r="AH7" i="2"/>
  <c r="B6" i="4"/>
  <c r="C7" i="4"/>
  <c r="AF33" i="1"/>
  <c r="N7" i="2"/>
  <c r="R33" i="1"/>
  <c r="U33" i="1"/>
  <c r="Q33" i="1"/>
  <c r="P7" i="2"/>
  <c r="AJ7" i="2"/>
  <c r="AA7" i="2"/>
  <c r="AD33" i="1"/>
  <c r="Y33" i="1"/>
  <c r="U7" i="2"/>
  <c r="V7" i="2"/>
  <c r="S7" i="2"/>
  <c r="C6" i="4"/>
  <c r="C4" i="4"/>
  <c r="M33" i="1"/>
  <c r="X7" i="2"/>
  <c r="AF7" i="2"/>
  <c r="AB7" i="2"/>
  <c r="AA33" i="1"/>
  <c r="AB47" i="1"/>
  <c r="R47" i="1"/>
  <c r="Q47" i="1"/>
  <c r="M47" i="1"/>
  <c r="V47" i="1"/>
  <c r="AF47" i="1"/>
  <c r="AA47" i="1"/>
  <c r="Z47" i="1"/>
  <c r="B4" i="4"/>
  <c r="P33" i="1"/>
  <c r="V33" i="1"/>
  <c r="AD7" i="2"/>
  <c r="Q7" i="2"/>
  <c r="T7" i="2"/>
  <c r="L33" i="1"/>
  <c r="AE7" i="2"/>
  <c r="K33" i="1"/>
  <c r="AE33" i="1"/>
  <c r="Y7" i="2"/>
  <c r="Z7" i="2"/>
  <c r="AC7" i="2"/>
  <c r="Z33" i="1"/>
  <c r="S33" i="1"/>
  <c r="E22" i="2"/>
  <c r="T33" i="1"/>
  <c r="N33" i="1"/>
  <c r="AG7" i="2"/>
  <c r="AI7" i="2"/>
  <c r="X33" i="1"/>
  <c r="C11" i="4"/>
  <c r="H11" i="4" s="1"/>
  <c r="K48" i="1"/>
  <c r="C9" i="4"/>
  <c r="Y21" i="1"/>
  <c r="AA48" i="1"/>
  <c r="AB48" i="1"/>
  <c r="P48" i="1"/>
  <c r="Z48" i="1"/>
  <c r="N48" i="1"/>
  <c r="Y48" i="1"/>
  <c r="M48" i="1"/>
  <c r="X48" i="1"/>
  <c r="L48" i="1"/>
  <c r="V48" i="1"/>
  <c r="J48" i="1"/>
  <c r="U48" i="1"/>
  <c r="AF48" i="1"/>
  <c r="S48" i="1"/>
  <c r="AD48" i="1"/>
  <c r="Q48" i="1"/>
  <c r="C3" i="4"/>
  <c r="H3" i="4" s="1"/>
  <c r="Q21" i="1"/>
  <c r="AC37" i="1"/>
  <c r="AA37" i="1"/>
  <c r="T37" i="1"/>
  <c r="O48" i="1"/>
  <c r="W48" i="1"/>
  <c r="AC48" i="1"/>
  <c r="AE48" i="1"/>
  <c r="T48" i="1"/>
  <c r="C22" i="4"/>
  <c r="C26" i="4"/>
  <c r="H26" i="4" s="1"/>
  <c r="Y23" i="1"/>
  <c r="Q23" i="1"/>
  <c r="AF23" i="1"/>
  <c r="X23" i="1"/>
  <c r="AE23" i="1"/>
  <c r="W23" i="1"/>
  <c r="O23" i="1"/>
  <c r="V23" i="1"/>
  <c r="L23" i="1"/>
  <c r="F51" i="1"/>
  <c r="U23" i="1"/>
  <c r="K23" i="1"/>
  <c r="AB23" i="1"/>
  <c r="T23" i="1"/>
  <c r="J23" i="1"/>
  <c r="AD23" i="1"/>
  <c r="S23" i="1"/>
  <c r="AC23" i="1"/>
  <c r="R23" i="1"/>
  <c r="P23" i="1"/>
  <c r="AA23" i="1"/>
  <c r="N23" i="1"/>
  <c r="Z23" i="1"/>
  <c r="M23" i="1"/>
  <c r="C28" i="4"/>
  <c r="H28" i="4" s="1"/>
  <c r="C27" i="4"/>
  <c r="H27" i="4" s="1"/>
  <c r="B23" i="4"/>
  <c r="F42" i="1"/>
  <c r="F64" i="1" s="1"/>
  <c r="B24" i="4"/>
  <c r="Y36" i="1"/>
  <c r="Q36" i="1"/>
  <c r="AC36" i="1"/>
  <c r="T36" i="1"/>
  <c r="K36" i="1"/>
  <c r="AB36" i="1"/>
  <c r="S36" i="1"/>
  <c r="J36" i="1"/>
  <c r="AA36" i="1"/>
  <c r="R36" i="1"/>
  <c r="Z36" i="1"/>
  <c r="P36" i="1"/>
  <c r="W36" i="1"/>
  <c r="V36" i="1"/>
  <c r="U36" i="1"/>
  <c r="M36" i="1"/>
  <c r="O36" i="1"/>
  <c r="AE36" i="1"/>
  <c r="AF36" i="1"/>
  <c r="N36" i="1"/>
  <c r="AD36" i="1"/>
  <c r="L36" i="1"/>
  <c r="X36" i="1"/>
  <c r="Z16" i="1"/>
  <c r="R16" i="1"/>
  <c r="J16" i="1"/>
  <c r="Y16" i="1"/>
  <c r="Q16" i="1"/>
  <c r="AA16" i="1"/>
  <c r="AF16" i="1"/>
  <c r="X16" i="1"/>
  <c r="P16" i="1"/>
  <c r="AD16" i="1"/>
  <c r="AE16" i="1"/>
  <c r="W16" i="1"/>
  <c r="O16" i="1"/>
  <c r="N16" i="1"/>
  <c r="V16" i="1"/>
  <c r="AC16" i="1"/>
  <c r="U16" i="1"/>
  <c r="M16" i="1"/>
  <c r="S16" i="1"/>
  <c r="AB16" i="1"/>
  <c r="T16" i="1"/>
  <c r="L16" i="1"/>
  <c r="K16" i="1"/>
  <c r="B28" i="4"/>
  <c r="G28" i="4" s="1"/>
  <c r="B25" i="4"/>
  <c r="G25" i="4" s="1"/>
  <c r="AE46" i="1"/>
  <c r="W46" i="1"/>
  <c r="O46" i="1"/>
  <c r="AF46" i="1"/>
  <c r="V46" i="1"/>
  <c r="M46" i="1"/>
  <c r="AD46" i="1"/>
  <c r="U46" i="1"/>
  <c r="L46" i="1"/>
  <c r="AC46" i="1"/>
  <c r="T46" i="1"/>
  <c r="K46" i="1"/>
  <c r="AB46" i="1"/>
  <c r="S46" i="1"/>
  <c r="J46" i="1"/>
  <c r="P46" i="1"/>
  <c r="N46" i="1"/>
  <c r="AA46" i="1"/>
  <c r="Z46" i="1"/>
  <c r="Y46" i="1"/>
  <c r="X46" i="1"/>
  <c r="R46" i="1"/>
  <c r="Q46" i="1"/>
  <c r="W21" i="1"/>
  <c r="O21" i="1"/>
  <c r="X21" i="1"/>
  <c r="M21" i="1"/>
  <c r="V21" i="1"/>
  <c r="L21" i="1"/>
  <c r="R21" i="1"/>
  <c r="AF21" i="1"/>
  <c r="U21" i="1"/>
  <c r="K21" i="1"/>
  <c r="F49" i="1"/>
  <c r="AD21" i="1"/>
  <c r="T21" i="1"/>
  <c r="J21" i="1"/>
  <c r="Z21" i="1"/>
  <c r="AC21" i="1"/>
  <c r="S21" i="1"/>
  <c r="AB21" i="1"/>
  <c r="AA21" i="1"/>
  <c r="P21" i="1"/>
  <c r="N21" i="1"/>
  <c r="C23" i="4"/>
  <c r="F22" i="2"/>
  <c r="AH6" i="2"/>
  <c r="Z6" i="2"/>
  <c r="R6" i="2"/>
  <c r="AC6" i="2"/>
  <c r="T6" i="2"/>
  <c r="AB6" i="2"/>
  <c r="S6" i="2"/>
  <c r="AJ6" i="2"/>
  <c r="AA6" i="2"/>
  <c r="Q6" i="2"/>
  <c r="AI6" i="2"/>
  <c r="Y6" i="2"/>
  <c r="P6" i="2"/>
  <c r="AE6" i="2"/>
  <c r="V6" i="2"/>
  <c r="X6" i="2"/>
  <c r="W6" i="2"/>
  <c r="U6" i="2"/>
  <c r="O6" i="2"/>
  <c r="Q30" i="2" s="1"/>
  <c r="N6" i="2"/>
  <c r="AG6" i="2"/>
  <c r="AF6" i="2"/>
  <c r="AD6" i="2"/>
  <c r="C25" i="4"/>
  <c r="H25" i="4" s="1"/>
  <c r="B27" i="4"/>
  <c r="G27" i="4" s="1"/>
  <c r="C24" i="4"/>
  <c r="G4" i="4" l="1"/>
  <c r="H9" i="4"/>
  <c r="G7" i="4"/>
  <c r="H23" i="4"/>
  <c r="G23" i="4"/>
  <c r="H22" i="4"/>
  <c r="H7" i="4"/>
  <c r="H4" i="4"/>
  <c r="G6" i="4"/>
  <c r="H24" i="4"/>
  <c r="G24" i="4"/>
  <c r="H6" i="4"/>
  <c r="M25" i="1"/>
  <c r="Q25" i="1"/>
  <c r="N25" i="1"/>
  <c r="AE25" i="1"/>
  <c r="AD25" i="1"/>
  <c r="O25" i="1"/>
  <c r="L25" i="1"/>
  <c r="J25" i="1"/>
  <c r="B14" i="4" s="1"/>
  <c r="G14" i="4" s="1"/>
  <c r="AC25" i="1"/>
  <c r="W25" i="1"/>
  <c r="T25" i="1"/>
  <c r="AB25" i="1"/>
  <c r="S25" i="1"/>
  <c r="P25" i="1"/>
  <c r="U25" i="1"/>
  <c r="X25" i="1"/>
  <c r="V25" i="1"/>
  <c r="AF25" i="1"/>
  <c r="F45" i="1"/>
  <c r="R35" i="1" s="1"/>
  <c r="Y25" i="1"/>
  <c r="R25" i="1"/>
  <c r="K25" i="1"/>
  <c r="I66" i="1" s="1"/>
  <c r="AA25" i="1"/>
  <c r="C13" i="4"/>
  <c r="H13" i="4" s="1"/>
  <c r="AF62" i="1"/>
  <c r="B22" i="4"/>
  <c r="B5" i="4"/>
  <c r="C5" i="4"/>
  <c r="U22" i="2"/>
  <c r="Q22" i="2"/>
  <c r="Z22" i="2"/>
  <c r="B12" i="4"/>
  <c r="G12" i="4" s="1"/>
  <c r="AF22" i="2"/>
  <c r="AE22" i="2"/>
  <c r="AB22" i="2"/>
  <c r="AG22" i="2"/>
  <c r="P22" i="2"/>
  <c r="T22" i="2"/>
  <c r="Y41" i="1"/>
  <c r="Q41" i="1"/>
  <c r="AD41" i="1"/>
  <c r="U41" i="1"/>
  <c r="L41" i="1"/>
  <c r="AC41" i="1"/>
  <c r="T41" i="1"/>
  <c r="K41" i="1"/>
  <c r="AB41" i="1"/>
  <c r="S41" i="1"/>
  <c r="J41" i="1"/>
  <c r="AA41" i="1"/>
  <c r="R41" i="1"/>
  <c r="W41" i="1"/>
  <c r="V41" i="1"/>
  <c r="P41" i="1"/>
  <c r="AE41" i="1"/>
  <c r="O41" i="1"/>
  <c r="M41" i="1"/>
  <c r="AF41" i="1"/>
  <c r="N41" i="1"/>
  <c r="Z41" i="1"/>
  <c r="X41" i="1"/>
  <c r="B21" i="4"/>
  <c r="G21" i="4" s="1"/>
  <c r="N22" i="2"/>
  <c r="Y22" i="2"/>
  <c r="AC22" i="2"/>
  <c r="AI22" i="2"/>
  <c r="W22" i="2"/>
  <c r="AA22" i="2"/>
  <c r="AH22" i="2"/>
  <c r="AJ22" i="2"/>
  <c r="Z39" i="1"/>
  <c r="R39" i="1"/>
  <c r="J39" i="1"/>
  <c r="AB39" i="1"/>
  <c r="S39" i="1"/>
  <c r="AA39" i="1"/>
  <c r="Q39" i="1"/>
  <c r="Y39" i="1"/>
  <c r="P39" i="1"/>
  <c r="X39" i="1"/>
  <c r="O39" i="1"/>
  <c r="AD39" i="1"/>
  <c r="L39" i="1"/>
  <c r="AC39" i="1"/>
  <c r="K39" i="1"/>
  <c r="T39" i="1"/>
  <c r="W39" i="1"/>
  <c r="V39" i="1"/>
  <c r="U39" i="1"/>
  <c r="AF39" i="1"/>
  <c r="N39" i="1"/>
  <c r="AE39" i="1"/>
  <c r="M39" i="1"/>
  <c r="C21" i="4"/>
  <c r="H21" i="4" s="1"/>
  <c r="O22" i="2"/>
  <c r="R22" i="2"/>
  <c r="B10" i="4"/>
  <c r="X22" i="2"/>
  <c r="AD22" i="2"/>
  <c r="V22" i="2"/>
  <c r="S22" i="2"/>
  <c r="C10" i="4"/>
  <c r="C12" i="4"/>
  <c r="H12" i="4" s="1"/>
  <c r="C20" i="4" l="1"/>
  <c r="H20" i="4" s="1"/>
  <c r="B20" i="4"/>
  <c r="G20" i="4" s="1"/>
  <c r="H5" i="4"/>
  <c r="G10" i="4"/>
  <c r="G5" i="4"/>
  <c r="G22" i="4"/>
  <c r="H10" i="4"/>
  <c r="AA35" i="1"/>
  <c r="AA31" i="1" s="1"/>
  <c r="AB35" i="1"/>
  <c r="AB31" i="1" s="1"/>
  <c r="N35" i="1"/>
  <c r="N31" i="1" s="1"/>
  <c r="F62" i="1"/>
  <c r="R31" i="1"/>
  <c r="Q35" i="1"/>
  <c r="Q31" i="1" s="1"/>
  <c r="AC35" i="1"/>
  <c r="AC31" i="1" s="1"/>
  <c r="AF35" i="1"/>
  <c r="AF31" i="1" s="1"/>
  <c r="Y35" i="1"/>
  <c r="Y31" i="1" s="1"/>
  <c r="K35" i="1"/>
  <c r="U35" i="1"/>
  <c r="O35" i="1"/>
  <c r="W35" i="1"/>
  <c r="S35" i="1"/>
  <c r="S31" i="1" s="1"/>
  <c r="L35" i="1"/>
  <c r="X35" i="1"/>
  <c r="X31" i="1" s="1"/>
  <c r="AD35" i="1"/>
  <c r="AD31" i="1" s="1"/>
  <c r="V35" i="1"/>
  <c r="M35" i="1"/>
  <c r="Z35" i="1"/>
  <c r="T35" i="1"/>
  <c r="P35" i="1"/>
  <c r="P31" i="1" s="1"/>
  <c r="J35" i="1"/>
  <c r="J31" i="1" s="1"/>
  <c r="B30" i="4" s="1"/>
  <c r="G30" i="4" s="1"/>
  <c r="AE35" i="1"/>
  <c r="AE31" i="1" s="1"/>
  <c r="C14" i="4"/>
  <c r="U62" i="1"/>
  <c r="R62" i="1"/>
  <c r="AE62" i="1"/>
  <c r="K62" i="1"/>
  <c r="C31" i="4" s="1"/>
  <c r="H31" i="4" s="1"/>
  <c r="N62" i="1"/>
  <c r="O62" i="1"/>
  <c r="L62" i="1"/>
  <c r="T62" i="1"/>
  <c r="J62" i="1"/>
  <c r="B31" i="4" s="1"/>
  <c r="G31" i="4" s="1"/>
  <c r="Z62" i="1"/>
  <c r="AA62" i="1"/>
  <c r="X62" i="1"/>
  <c r="AC62" i="1"/>
  <c r="M62" i="1"/>
  <c r="P62" i="1"/>
  <c r="AD62" i="1"/>
  <c r="V62" i="1"/>
  <c r="Y62" i="1"/>
  <c r="G62" i="1"/>
  <c r="Q62" i="1"/>
  <c r="W62" i="1"/>
  <c r="AB62" i="1"/>
  <c r="S62" i="1"/>
  <c r="A70" i="1" l="1"/>
  <c r="C32" i="4"/>
  <c r="B32" i="4"/>
  <c r="H14" i="4"/>
  <c r="Z31" i="1"/>
  <c r="O31" i="1"/>
  <c r="M31" i="1"/>
  <c r="U31" i="1"/>
  <c r="U63" i="1" s="1"/>
  <c r="T31" i="1"/>
  <c r="V31" i="1"/>
  <c r="K31" i="1"/>
  <c r="C30" i="4" s="1"/>
  <c r="W31" i="1"/>
  <c r="L31" i="1"/>
  <c r="AE63" i="1"/>
  <c r="Y63" i="1"/>
  <c r="P63" i="1"/>
  <c r="N63" i="1"/>
  <c r="X63" i="1"/>
  <c r="AA63" i="1"/>
  <c r="R63" i="1"/>
  <c r="AB63" i="1"/>
  <c r="AC63" i="1"/>
  <c r="Q63" i="1"/>
  <c r="AF63" i="1"/>
  <c r="S63" i="1"/>
  <c r="AD63" i="1"/>
  <c r="C33" i="4" l="1"/>
  <c r="C34" i="4" s="1"/>
  <c r="H30" i="4"/>
  <c r="H33" i="4" s="1"/>
  <c r="H34" i="4" s="1"/>
  <c r="M63" i="1"/>
  <c r="Z63" i="1"/>
  <c r="O63" i="1"/>
  <c r="V63" i="1"/>
  <c r="T63" i="1"/>
  <c r="K63" i="1"/>
  <c r="L63" i="1"/>
  <c r="W63" i="1"/>
  <c r="C2" i="11" l="1"/>
  <c r="B13" i="5"/>
  <c r="J14" i="1"/>
  <c r="J20" i="1"/>
  <c r="B9" i="4" s="1"/>
  <c r="J22" i="1"/>
  <c r="B11" i="4" s="1"/>
  <c r="G11" i="4" s="1"/>
  <c r="J24" i="1"/>
  <c r="B13" i="4" s="1"/>
  <c r="G13" i="4" s="1"/>
  <c r="G9" i="4" l="1"/>
  <c r="B3" i="4"/>
  <c r="J63" i="1"/>
  <c r="B33" i="4" l="1"/>
  <c r="B34" i="4" s="1"/>
  <c r="G3" i="4"/>
  <c r="G33" i="4" s="1"/>
  <c r="G34" i="4" s="1"/>
  <c r="C1" i="11" l="1"/>
  <c r="A13" i="5"/>
</calcChain>
</file>

<file path=xl/sharedStrings.xml><?xml version="1.0" encoding="utf-8"?>
<sst xmlns="http://schemas.openxmlformats.org/spreadsheetml/2006/main" count="351" uniqueCount="196">
  <si>
    <t>thickness (nm)</t>
  </si>
  <si>
    <t>area (m2)</t>
  </si>
  <si>
    <t>density (kg/m3)</t>
  </si>
  <si>
    <t>utilization efficiency</t>
  </si>
  <si>
    <t>mass (kg)</t>
  </si>
  <si>
    <t>note</t>
  </si>
  <si>
    <t xml:space="preserve">ReCiPe Midpoint (E) </t>
  </si>
  <si>
    <t>ReCiPe Endpoint (E,A)</t>
  </si>
  <si>
    <t>Substrate patterning</t>
  </si>
  <si>
    <t>Carbon footprint</t>
  </si>
  <si>
    <t>Primary energy consumption</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</si>
  <si>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</si>
  <si>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</si>
  <si>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</si>
  <si>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</si>
  <si>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</si>
  <si>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</si>
  <si>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</si>
  <si>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</si>
  <si>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</si>
  <si>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</si>
  <si>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</si>
  <si>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</si>
  <si>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</si>
  <si>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</si>
  <si>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</si>
  <si>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</si>
  <si>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</si>
  <si>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</si>
  <si>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</si>
  <si>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</si>
  <si>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</si>
  <si>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FTO glass</t>
  </si>
  <si>
    <t>-</t>
  </si>
  <si>
    <t>Substrate</t>
  </si>
  <si>
    <t>Zinc powder</t>
  </si>
  <si>
    <t>Chemical etching</t>
  </si>
  <si>
    <t>Dilute HCl</t>
  </si>
  <si>
    <t>Zn+2HCl-&gt;ZnCl2+H2</t>
  </si>
  <si>
    <t>Ethanol</t>
  </si>
  <si>
    <t>Cleaning</t>
  </si>
  <si>
    <t>Deionized water</t>
  </si>
  <si>
    <t>Blocking layer deposition</t>
  </si>
  <si>
    <t>BL-TiO2 ink</t>
  </si>
  <si>
    <t>density of ethanol</t>
  </si>
  <si>
    <t>La-doped BSO NPs</t>
  </si>
  <si>
    <t>PbI2</t>
  </si>
  <si>
    <t>Dimethylformamide</t>
  </si>
  <si>
    <t>ETL deposition</t>
  </si>
  <si>
    <t>CH3NH3I</t>
  </si>
  <si>
    <t>Isopropanol</t>
  </si>
  <si>
    <t>2-Methoxyethanol</t>
  </si>
  <si>
    <t>Solvent of La-doped BSO NPs</t>
  </si>
  <si>
    <t>PTAA solution</t>
  </si>
  <si>
    <t>Perovskite layer deposition</t>
  </si>
  <si>
    <t>Direct emissions</t>
  </si>
  <si>
    <t>Solvent of PbI2</t>
  </si>
  <si>
    <t>H2</t>
  </si>
  <si>
    <t>Solvent of CH3NH3I</t>
  </si>
  <si>
    <t>TiCl4</t>
  </si>
  <si>
    <t>HTL deposition</t>
  </si>
  <si>
    <t>Acetone</t>
  </si>
  <si>
    <t>Cathode deposition</t>
  </si>
  <si>
    <t>Acetic anhydride</t>
  </si>
  <si>
    <t>emitted to</t>
  </si>
  <si>
    <t>ZnCl2</t>
  </si>
  <si>
    <t>Resultant from chemical etching</t>
  </si>
  <si>
    <t>wastewater</t>
  </si>
  <si>
    <t>air</t>
  </si>
  <si>
    <t>Cleaning solvent</t>
  </si>
  <si>
    <t>PTAA</t>
  </si>
  <si>
    <t>Solvent in BL-TiO2 ink</t>
  </si>
  <si>
    <t>LiTFSI</t>
  </si>
  <si>
    <t>Wasted effective component of BL-TiO2 ink</t>
  </si>
  <si>
    <t>Toluene</t>
  </si>
  <si>
    <t>Solvent in BL-TiO2 ink and solvent of CH3NH3I</t>
  </si>
  <si>
    <t>Acetonitrile</t>
  </si>
  <si>
    <t>4-tert-butylpyridine</t>
  </si>
  <si>
    <t>Wasted effective component of LBSO ink</t>
  </si>
  <si>
    <t>Solvent in LBSO ink</t>
  </si>
  <si>
    <t>Wasted PbI2</t>
  </si>
  <si>
    <t>Wasted effective component of PTAA solution</t>
  </si>
  <si>
    <t>Solvent in PTAA solution</t>
  </si>
  <si>
    <t>Mass of module</t>
  </si>
  <si>
    <t>Wastewater</t>
  </si>
  <si>
    <t>PV production</t>
  </si>
  <si>
    <t>Treatment</t>
  </si>
  <si>
    <t>total</t>
  </si>
  <si>
    <t>Direcet process energy</t>
  </si>
  <si>
    <t>Power (W)</t>
  </si>
  <si>
    <t>Time (s)</t>
  </si>
  <si>
    <t>Electricity consumption (MJ)</t>
  </si>
  <si>
    <t>Sonication</t>
  </si>
  <si>
    <t>Spray pyrolysis</t>
  </si>
  <si>
    <t>power</t>
  </si>
  <si>
    <t>rate  ml/s</t>
  </si>
  <si>
    <t>time</t>
  </si>
  <si>
    <t>LBSO spin coating</t>
  </si>
  <si>
    <t>ETL calcining</t>
  </si>
  <si>
    <t>Calcining</t>
  </si>
  <si>
    <t>PTAA spin coating</t>
  </si>
  <si>
    <t>1st-step spin coating</t>
  </si>
  <si>
    <t>2nd-step spin coating</t>
  </si>
  <si>
    <t>Drying</t>
  </si>
  <si>
    <t>Hole transporter layer deposition</t>
  </si>
  <si>
    <t>Electrode deposition</t>
  </si>
  <si>
    <t>Total</t>
  </si>
  <si>
    <t>kWh</t>
  </si>
  <si>
    <t>UV/O3 cleaning</t>
  </si>
  <si>
    <t>Crystal Ball Data</t>
  </si>
  <si>
    <t>Workbook Variables</t>
  </si>
  <si>
    <t>Last Var Column</t>
  </si>
  <si>
    <t xml:space="preserve">    Name:</t>
  </si>
  <si>
    <t xml:space="preserve">    Value:</t>
  </si>
  <si>
    <t>Worksheet Data</t>
  </si>
  <si>
    <t>Last Data Column Used</t>
  </si>
  <si>
    <t>Sheet Ref</t>
  </si>
  <si>
    <t>Sheet Guid</t>
  </si>
  <si>
    <t>7bca17ca-3b49-41c4-8b93-3482c96b362f</t>
  </si>
  <si>
    <t>140fc868-0701-49a1-92ec-67685f2d1e6d</t>
  </si>
  <si>
    <t>Deleted sheet count</t>
  </si>
  <si>
    <t>Last row used</t>
  </si>
  <si>
    <t>Data blocks</t>
  </si>
  <si>
    <t>CB_Block_0</t>
  </si>
  <si>
    <t>CB_Block_7.0.0.0:1</t>
  </si>
  <si>
    <t>㜸〱敤㕣㕢㙣ㅣ㔷ㄹ摥㤹摤㔹敦慣敤搸㡤搳㑢㐲㘹㑤敦搴挱㡤搳㠶㔲㈰〴㕦㜲㙢㥤搸㡤㥤戴〸搰㘶扣㝢挶㥥㘶㘷挶㥤㤹㜵散㔲㠹㔲㕡㄰㜷愸搴㈲㑡愱㔵㔵㔵慡挴昵愵戴搰ㄷ㈴㈴㄰㙡㈵ㅥ攰〱挱㐳㐱摣㈴㄰㡡挴ぢて㐸昰㝤㘷㘶㜶㘷㜷扤㘳㜷摢㠲㡢㝣搲㍤㍥㜳㙥㜳捥㝦㍦晦㝦愶ㄹ㈵㤳挹晣ㅢ㠹㝦㤹㜲㉣㕣㍥户收〷挲ㅥ㥤㜴慢㔵㔱づ㉣搷昱㐷挷㍤捦㔸㥢戶晣㈰㡢づ昹㤲㠵㜶㕦㉢昹搶㝤愲㔰㕡ㄱ㥥㡦㑥㕡㈶㔳㈸攸㉡摡㌹〹㝦㠳昱㠳捥㔱㝤㌹㘴昳㤳ㄳ㌳ぢ昷㘰搶戹挰昵挴摥攱㌳攱搸㠳㘳㘳愳㘳愳户摣㍡昶敥搱㝤㝢㠷㈷㙢搵愰收㠹㠳㡥愸〵㥥㔱摤㍢㍣㕢㕢愸㕡攵㍢挴摡扣㝢㑥㌸〷挵挲扥㥢ㄷ㡣㕢摥㌳㜶换㠱〳收㙤户扤愷て慦捥㥣㥣㥣㤸昵㠴改扦㐱㜳㙡㕣昲㉤㔳愲㙣㜱㙦㐲㜸㤶戳㌸㍡㌹㠱晦ㄲ敢挷搳慤愳㜳㑢㐲〴㝣戵昰㠴㔳ㄶ扥㡥㠱扤昶戸敦搷散㘵〲㑦户㡦㘰慢㘵挳て㌴㝢㔲㔴慢扡ㅤ捦㕡戰㘷〰扢慡戱搶㘷捦〹挷户〲㙢挵ち搶昲昶㍣㈶慡昴摢愷㝤㜱捡㜰ㄶ挵㐹挳ㄶ㥡㝤戴㘶㔵㜲㘱捡㘴慦㡦愷㐸㉥㑣㙥㝦㜴摣户㈷㤷っ㑦慥挸㈷㘰㔲晡ㅥ昱捡捤㝤慦敥㍣㉦㤷㉥摦挰㌹慦敤摣て㉤㘷っ慦摥㜳愴㜳捦㘸昳捤㉢戸愹㜳晦〴㡣㥡挷扣戳昳ㄸ〹捡收摥㑡㙦㐴摦ㄲ愲搸㡣㥥㘷搶挳慣挰㡣〸搴㡢捣㝡㤹昵㈱㔳㜲晦〰㤷㈴〷戲㐹㉤ㄹ㙡㘹㐱㉤㤵搵㔲㐵㉤〹戵㘴慡愵㐵戵戴愴㤶㉣戵㜴㡦㕡㍡㠷㍥㜱㉡昴昴愸㔱扡戶昷㉦摦昶晦昸攵挳て㍥㜳敦㑦ㅥ㝢敥㕢扦改摢㠱㑥㜷㐶㡢㥡昲㡣昳㈰戵〶ㄵ敦ㅦ摤挷㝦ㅢ㜳〵㤸挲㍣㘰摥㙡㡥㡤㔵づ散㌳㙥㌶㌴㙥㉢〵昹㑤㠴㌲㠸扥㝤收㕤㤶㔳㜱捦㑢摣㕤㍥㘱昸愲〱戸㤱愸㙤挲慤㌹ㄵ晦㙤敢㌷捥〵㐶㈰昶戴戶㌵㈶㘹ㅢ㌶〷戶ㄲ扥㝣摦ㄵ慤挳捥ㄸ搵㥡ㄸ㕦戵挲收户户㌴摢戳㥥扢搰戹昵㠸㈷敥慤户戶慤㘸ㅣ㐲㙤㐵捥摤戶换戰㈹㕣搷昰攴㤲敢ぢ㐷㉥㙦挴㥥戵捡攷㠴㌷㈷㈸ㄲ㐵㐵㙥昵㘲㌶㐵㕣㍦㌲攳㘰愳攰搶捡㔵挹㕡昳昰㙡〰㘶ㄶㄵ慣㜷㔹㜸挱摡扣戱㔰ㄵ㤷㌴㜵〹摦㠹㠶摤㑤搵㐷摣㜲捤㥦㜴㥤挰㜳慢捤㉤攳㤵ㄵ〳㤲愶㜲挲慤㠸㕣㉥㈳㠵〲〴㙥㌶慢㈸㤹ㅢ㍢昳㠲㐴㐴〲挵㘴攴换㥡挹㙥昴ㄴ㜶㠷㕤㔴〵㘹㔲扤㘶㠳挹戸㕥㈹㘳㔲㌸㌰戱㈷敡て扥昴㠶つ愶慤㘳敥捤敤慣慡㐳搱敥て慦〸㈷㌸㘶㌸㤵慡昰㔲戵㥦挲ㄵ改〳挸戴ぢ㄰〸ㅤ愱㐷㔵愷慣㉡㙢摡㜹慢ㄲ㉣攵㤷㠴戵戸ㄴ愰づㅡ戲㔰㈰㘸摢㤲㝥ㄱ慡昴㥤捣㠶㤰ㄵ㡢㤹晣㉥㜶捡ㄷ㤱㌲ㅡ愵㔳ち㉦㌷〹㜲㡥㙢攲攵㍥昳㠸㔵つ㐴㈸㤴〷㑣㘰㈴搴㙡ㄲ㝤晤㈴㔱捦㈸㠷ち㘳㤷㌹〹㉡㌵㉣㈷㔸㙢昰㙤ㅢ㤷㠴㐴戴㉤ぢ戶㥣㉣愰㈸㘸㤶〷㈹扣〶愲㘹㤱〶改㥤ㄳ㐴㐴㌶㐸搱散㤸戹㤹挸搸㍦㐵㐶愰㝦㤲〸搹㝢㕦㘷ㄹ㐱㘲㙦㈷㔲づ敡挸㡦摢搲㙣㍤㕢㍥㤴㘶ㄷ〳㜰晡㈵捣㉥㘵㜶ㄹ戳摤挸㤴㍦㐱挲㔱捡愱摣㥣昴户攱㔹扦㥣搹摢㤱㐱㍥改㤴㌹㤱愸愲つ戵ㄹ㍢㤲晤晡㘱㈷㑢愳㌸ㄴ㐵戴㡣敢㜶㘶扦㉤ㄱㅤ㔹㥤㕢㐳搷收愴㡥扤慥㌳㙤㈶户㐳㡡㑣改㥡摣敢〶㕤㤳㠰㘰搷㉥昵搶㤵ㄸ慡て㌳㝢〷戲愲㝥ㄵ㜳㈸ㄷㅡ扣㥢戳攸㘹㔲扥㈵捣愲搰ㄸ敡㔲挱㐷㠴捣㈳㐰㡡㤰㙢㍢扥㙣摢搰㌴〷㐷捣户扣つ扤户㌳㝦㐷㐸㙦搱㥢摢㝡㠷晥愲搷㘸㐵㕦つ昶㔲㝥摢㔱挷㕣㡢㘶晤㍡㘶搷㈳㙢搱㌱㍣㝤扦㔶㑦㠱㌴㡢敤〴收㜶搲敢㈲慤摣昹戵㘵㈱㌵㔰㥦㌹㙦㜸㡢㈲㠰〷攳昸ㄴ㙣㘱搷昳㐴ㄵ㠷摡㡡慣攰昹攵搲收㑡晦㠸攷摡慣摦戶㤱晤户㠴㘲挸攵搴㙣愶挵㐶㑥戱㌵ㄳ㍥愷〴攵㔰〷摦摣㔹㐸㈴〶㌵㤳ㄷ挷愵㥦㉦户㈵㐹ㄷ㤲攴㥤〰慢㝥㈳㌲㐸〹攵㔷ㅤ㈵捡㕥㜶㝢㤷散搶㙣戱搲挳㤷㜲㍡㘹昱㈱戶挹㤱摥搰㘱㍢〱晦㠱摦㙦捦㔹㜶㕤㔸昴摡戳挲㉢挳户㘰㔵㐵㌱㜴换㔲搴㙣换㡡户㠸慣挸㘶摢捥搳㈹晥㌵㐹㈷㉤㔲㈲㤵摢㔳ㅢ㔳捥攲つ愲愲ㅢ㤲㐲㈵挵㌵㔴㤷㐰愴㍣昶摤ㄶ㌱㕤㠸㤸㥢〰㌸㝤ㅦ戳㌱㘶晢㤱㘹慦㐰搲㙣ㄶ昰っ㠷昵慣搰愵㕤㉡㘵ち㐴㠳㜴ㄱ扥摣㔱㔸ㅤ攰㙢摥捤散㔶㘴㉤收てㅤ㤰㈹㠴㈸㔱㥥㈰㐴ㄹ挶㌰捦㔸攲㍣㘹㘰㠷㠹挰搲㘴捤て㕣㥢㤱愵㝥㜳捡㍤改〶㔳㤶扦㡣㐸搴㤰ㄹㄵ敥㕡ㄲづ愸换㠳敤搳㔲攷㉥㉦㡢㡡㙥捥戹㌵㠸戶攳㔳㕢攱㘰づ㜰挰㤶㤴㘷㜳㔵㐱敡敥㝣㡣㈹ㄴ㐰㕡晡㕢改㡤摤㤴昷㥢㠷扥㠱〶㐴攷慤愰㉡㝡捤㤰改㔸㉥㤸㠰㈲㈲〷㤵ㅥ㜳㝥挹ㄳ㘲慡摦㍣敡㔹㤵慡攵〸㈲〳㌶㈶㠳㜵搳㘲ㄱ㔱㠲㔹㤷㌱㐰搷改㌷攷㍤挳昱㤷つ〶ㄴ搷㜶㌶㍤挹戰㠸㘶㑥㔸㡥㡦搷㐸㉣戲㍣㘰捥㉤戹攷ㄱ戱慤搹捥㔱㘳搹摦ㄲ㔸㈱搱㠷㐹愲㐶㔱ㄵ㔵㔵ち㙡愱㕢晣昰㐰㥥挹㤰昷㜲捣㈴慥㌲ㅡ㝤收㈹摡㥢㜶㝤ㄴ愳愱㥤捥㌵昵㈱㝡㔴慦捣愶㑡㘱㜲慡㝥ㅢ挷扣ㄷ搹敤㐷㑦ㅦ㙦㐴收㕥㔷捣㕡愳㤷㍦㐵挶㑢戲愸〷㐲攸愳摢ㄱ㤲ち敢㐸㌹攰㐰㘰㥣㑦慤攴㔷㌴㘵ㅦ㔲摦㡥㐶昱〸㈲㐹㝤收戴戱㈰慡㠸㐷摢㐶戰㈳㝣愰ㄹ㙢ㅢ㔵㍦㙡㥢㜴㙤摢㈰㘹㤱㉣攷捡〶㈹㜸扣ㄶ戸㈷㉣㐷㌷㤱㐹晡㡢慡㡣㔵㔴ㄹ慢戲慡捦㍣挵搰愰㉣㜳㉥㜷搱昰慣㘰挹戶捡〵㍥㌰㝣户㈵㘸ㄲ㑣㑥挹ㅢ愷㔸㘶っ户㔸昳愷㘱戲昹愳㐰昷㈸攴㈸㐱㐷昴㠳㜲㔵㈵㡦㝦㑡㤷㡥㈵〸ㄸ改㈹搵摦㡦搹㌴㜹㍢〲㈲㐷愶ぢ昱ㅤ㡣ぢㅦ㐷㑤㈸㠴㠸昵ㄴㄲ㠱㔷㌰㈱攴改攲捥㥢愷ㅤ㉢〰昶㠸戱㈳㔶㌰攵〳攵挸㔰㤴挷摢㍤ㄲ慢㠹㐱㈳㜵慤㜰㘵㝢㔳㤳㥡戸愲扤㍤愹㌷慥㔹愷㌹搴㈸〹㐵戲㔱㈷愹㔹搶㔹攳㔶㔲㌵㡡㔴摣戱戶㔱搲摣愶つ戸㔳㡡扣づ挵㈴㘹㈶愳㝦㐰ㄲち〲扤㤱㡥愲捦㍥㥤㍣ㄲㄱㅢ摡〰㐵敡愹戰慥㍦ち〹ㅥ挷戵㤳㡡㈸㐶㑦攰敦ㅤ㔱㜱愶ㄶ㌴戵ㄸ慢㐳㔱换㜸戵㍡攳挰㑡㈸ㅢ㕥㘵㡢戰㌴昶ㄶ㙡ㄸ挹㥤摤㙡晦㄰扣〹㐶㡣搸㤰㘱㤱ㄴ㍦㌰搸㄰捣㤵㠸愸搲㍡敢㈷愸敢搵〵㍥㥤㄰㠶㈳㌱㌰ㄷ㔴愶挴㡡㌴挳ㅡ㤶晣㤰ㅣ㔰㍦㉤㑡㌹慡㥢攳ぢ㍥㔴㝡㐰㌹ㅥ㤵㈴㠳敢收㈹扡愵㜰㠹〱㘲㌷㉡捤㤶〳㠴㜶敢ㄳ昰㘴戰㜵戰〳㠸㠴愱ㄳ㕡㘷㤴愰昹ㄴ挲㙤摥〴㜹愷㑢㡣㐲㤰㥡㌲晤晤㤰昲昸搷㤸㥥㍢㤴㠹ぢㄱㄳ㌱摣㤵㘲㍤〰戹挹挸㈴戹㘸㈸づ㤸㠷㤲㑤ち慤扥戸㡥㈶㐶㍦㑤㍥㉦挰㉤ㅥ挶戲〶挸㌶㔵摣㜳ぢ㉣㘸搳敡摡づ昳戸㔳慥搶㉡㐲慡攲㔸㔶㑢㡤扣㈵昰㈵慦〰㠶摣㤴〲㤷〸㈸挷㜱㤴攲㤶㠹愴敥敤㙥晤㄰㠶㑢㈱㠷㌹㐲搵挷〰㘴㡡㕢㑥〶挴摡敥㈹搰㍥摣搹戸挰㈰㉦捦㐱愴戵㔵㔱㤶㑤攳㍥㕥㍤㡡㉣戹㉤搱㙤摡㥤㜶㘹戳㈷慡㡥㔹㘱搵㤶挰ㄱ昶ㄹち扣㝣ㅥ挶㐸㤷摣挱㐹㌲ㄷ愲攸敥㠵㡦换挷捣〵愰㐲㘲㐰㘱㡣㤷愷愰っ愰ち㐶愲挱慤㌶慣㙥㠵搱㕦㕡摥晡㌸㌲㠵㘱㘰ㅡ戴攸ㄹㅡ㌸㤳㈸㙦㙣攰㕣㠹㕥㈹ㄱ搲㘴㌰㤵㌱捡㈱㌸散㠱㌴㜰ㄳて搲昳㉥㤴㔰戰㑢㕥っ㡢敦㈶㡥搸㌸〲戹摥㈵㉤㤵戳㐶㠰敢㉦捥敥㤶敡昱㑡㠵收㉥晣㜳㕢〲慢戸扡ㄱ㥡愳扢㕡㉥㘵挹㍤搱扥扢扡愵㈱扡㉣戸㝦㙡昴㤸ㄱ㤴㤷收㠲戵昰攲㔶户㈴愱扤〴㝦挴扡㙦愷捤㥣㜳㜸ㄱ㜵㠵戰㉦㥥㜳摣昳㡥㕣㤷收昳搶ㅦ㈸〴㔷㈸㝢戸挸㘲收摦昸㈷㤳㥡搱㝥㠴ㄹ㌷戳㙣㑥搰㜰㤰㜰ㅥ㤹㐲㘹㌰㡣㜲ち㥤挰㜶慦摦ㅡ㈰㥤散㙡愱ㄳ㈹〸戶〹挵㔹㝣挳〸㐵昹㈱搰㑡㘲〹㡦攴㠰昹戳㘰㝤攵㐵搴㄰攱㜸㡥挴㠸昶づ㤴㔲㔰㈷〵㜹㜴挵㠳ㄷ㐲晥㝦戰ㄴ㜳昳扡散昴㕦㘰㘶攵㠵㔶ㄴ㕤㐱ㄴ晤愰つ㐵ち慦㠱㐸晥扤㍤㉡昰㐱㘳㜸昶㌵〵挲戹愷敤〳攸㥢㝥攱昷㝦㜸〰㥤〶㠶㤹愴㡤㠶㔰摢戵㈸搷㑤㠴㙣㥢㠹挰攰扤㌴ㄱ㑥㜰っ愳昸愱㠹㄰昹㐰㘶㔰戱戱㠹挰搸㕥㡡㈱㤸〸戵㈶摣ㅡ㍣㠱㕤㘲搳㍦㜶っㄷ㙦㠵㡦㜸㍥㤴㤶㍦〹㡦搴愵敤搵戳㠶㘷搸扢㘵晤㔱㑦㐰㤹㜹昳戸挹㉤㠷㜰挴㥥㜵㕢攴愰㜵㝣ㄵ戱㤷㝤摢㥦戲戹晢敢挰㔴㤸㐲昷扤㔲㔰昲慦挳㔳愲昰摣㤰昹搸慥敦ㅣ晤摤㝤てㅤ攲㙤戵㠸㔶戵ㅢ㔱敥㈶㘴㑦㝢〲㐱摤挴㐵㤱㡢昹㘱捥〹㝣愲㘴㉤㔷挵㠴攱㐹㉢挸搷敤戸ㄸㄲ㕥㠲㌰㐳攲摢ち㈶㈶敥㍤㠴㈶收㘸㡢扢㔳㝥搸㈴㕤㠴愳㠹㠵㑢㥦㕥ㅣ㌶㔴㍡㉡戲㉥慤㑤敤㝢㔰㐵慦㜱㈱捤㔶㈲㑦㥤㑣㡡昲摤㔶㕤㜷㠰扡㉥㍣挸㌰散ㅦ㑢㈹挴ㅦ㐸㈱挹㠳っ㉦〴㐸㈹㜵ち〵敤㈶㘴㈹㤱戵搶㄰㉦晤〱摢㐲㐰搴㉦晤㜵昹ㄱぢ愰〸㉣挶扥昸㙥㑦戴戴㐵㘳搵挴㔰慤戴㘹收㔰㤰㠷ㄷ㔶㡣挵戵昳㈸挴㐹摢㡦搲愶摤㔱㝣㐹扦ㅤ〶摥㐲挶搶㙣晡摡㡡昶㘱愷㠶㥢ㅦ搰㌳㜹愹㌰㥣㥤慣挶㠱㔴挶攸挲慥挵戰㡡昹㐰㔸慣て敡㡤㥡愰戳㥣摤㌸㤵㈲昸挷㉦㠵搸㍥搲㤸晡攲搶ㄶ敡㌸愷〷ㅢ攴て昶搷ㄵ㈹㡣㡤户㤲㘳㈰㘱㌷搵慢㄰㕥て㍦㡤㈱摣㜴㐶搱ㅢ㐵昹慣ㅣ挰㥦㤸戳戲㙡㥢晥㘷昴㕡㜲搶ㄹ㡥㘶ㄸ扢㐹晦摦㡤㡡つ昵扦挲搸㥢㐴攴㠷愲㠲㌴㑥ㄹ㍦搹㌰㘴㐳㠸挰戳㡤攰㡤㍣ㄸ敢戲挸㤰㜷㔸㥡挳挷慢㘱戳㤴攰昰㝢攵㕡慦㐶搴挷搲戶敤敤㈸〰ㄹㅢ搲㥥㠵〸敡㌸扥㔹㙥挵愷摢晣㠷㌱㜰搷〹慢散戹扥㙢〶挳㜳〸晡づ昳摢㌳ㄳ㌶捦戸昲㑣慢㔰扢ㅡ㤰攸晢㈸挶㥣㥣㠱挰㍥㈹㠲㌷㉡ㄶ挹挸挲收㈲ㄹ晣づ㘹㌰ㄱ㕥愲㜶昰㉦㌲敦慣ㄹ㔵㝣扡㍡〳㕦㘷挰慡㉤愱散㐲㡦㜳敢つつ㠲づ㜷戴敥㠰㍦㐸㔴㐷ㄱㅣ㤳㕢昸昰㐷〹搷㔶ㄸ㌴昷㡤昶收戳㘷㜷㍥户愲昶㌴㜰扡戹户㌴㤳っ摦挹㉦㤲㡢㝡㠹㌹㉥敤ㅦ挲摦捤㍢㘸㌹摢㄰攸㍣晡愰㥢㡥戰㤱㉡摣㘷㥢㠸㝥㥦挵㔰㘵㥣ㄹ㝥扡ㄱㄵ昸愰搰换㐷㔶㔴扥㠹㙤㤱〱㔰捥攴换挸㍡㔳昵ㄳ敢㔱昵攰敤ㄸ㐳㝥搵〵戲晥慣挲愳〶愹戲愸㍣㡥晥㠴㕡戸晢㐵搶攱攸㈱㡦ㄴ㈸敢㐹㐹慥昰㐸㈱搷昳㔵っ愸慦攷ㅥ搴㜶㕥捦愳敢慤㐷愱㌱㈰昷㥢㥣㝦㌰㔶㈶扡捤㔷㍢捣㕣㘶换挸〶攳㥥〳ㄴ㤳摣㑢㍥っ㌵扣㐸㑣㈱晤㈲晡晢敡愱㔷㕥㘶晡摢㈱㐵ち㐶㌴㌵敦㠲㠲㔱敥攲㡢挹㕤昸愸敤扣㡢捦慦户㡢㐱捡㑣〹搵ㅡち㠰㙡〹㝦攴慥㔶㔰㈰㐰昹㔳捥㌲挳慦㘹ㄵ㠳〶㙡攴搸㔵ㄴ晡戳ㅡㄱ昳扥捥摡㠵挶㘳晣㈹㉣㠲〳㑤摦扣ㅥ挶㌷慣㙢㡣㜶㘷昱〹扦㈶㔵㘱㑥㝤㙦㜷㜳挵收㈸㌵㤹昶㘹散晡㜵捣挳㑤㌷㝣㡥㥣㜱て㝥〵〴㈱㐸㘶ㄲ㈴昷愱㄰〳㑡㈳搶㔳扥㙣㤲挶㈱㙦㠱搲㤱㤵て㍤搱昹搰㈴㈸搸㤱ぢ㝡㑢〸㐶㙣㠹㥦ち㜷搴㘷昹㉥慦㌷㈸て挷㔴㜸散㔸晣搹㤸ㅡ〵摣挰〵愱㌹㑥慥㈱㈰㤵㠷攲捥摦㝦扥攱㉦㐶〳ㄲ㔸㈵散㑣敥㤲㥤㍦ㄹ㜷摥㡦㑦搲㘴㥦っ〹㡡改搵戸㌳戹㔰㜶㝥㌰敥晣搷晤扢敢㥤㘳愶ぢ㘷搶挸ㄱ㈹㠶扥㍣晡㈴㍥㑦ㅦ㐰㜷捤愴昱搰㙢㠶搵㈴㐴ㄹ㌷慦㑡昳愱て㌷㘱㍣㝣㈰㍥㡤㡢㕤戸晦〲つㄳ晥㝦㈲㡥攳挲搷㤴ㄱㄸ昸晥㝢〵㤱㜶㑦㤷㑦ㅣ㥣㌷㘷㍣㔴昴㤸挷㝤ㅣ㈸㉢㕢㡡㐴㘰ぢ攵㐲昸㙥㄰㤱㐸戱㥢ㅢ昰㠸㈳㠴㉡㉦搰㜴愷㌹㘵㔴㈹愷㍣㄰㘳㌶昳㐰㠳㘶昴㑦〰㌹搰〹挸㔹搰ㅦ㐴ㅥ㐶愱㜶戱㘲㤰挲㑥㑡戲㠷搸昰㌰戳㑦㈱㉢㉡㤴㙣愴㠳晣愷㤱つ挴晦㤷㡥攱ㄵ改㉣㔲㤵搵昸㘵㐹㌲搲㍦挳〱㥦㐵㤶㠵敦㕡㠹㠸戰愸㝦づ㌵挹㤷㔲㜰挸㤷㝥㠱つ㕦㘴昶㈵㘴㐵㡤㡢摤㌴搴戸愷㉥搵昶㤷㌱㔴㈱㈸㌸㠷晥㤵愸挰〷㠵㜰愰㌸㔷ㅣ散㤰㌲㤴摡愶愰收ㄵ挲㐶㌶搸㔱挳㐱搹愰㈸㠴㤷㙣愸㐶つ搴㘵晡愳挸ㄴ挲㠳㝢搲ㅦ攳ㄳ挱㈰㕦昸搵愸㈰㕦㐸ㄸ挸攱㑢㉤㉦㈴㕣㘴挳㘲换ぢ〹㉢搹㘰㈶㕦昸㜵㑥㉡㌷㠶㐲戳扡攲〶㈵扣扦㠱㐲㝦㜶㠰㙢扢ぢ㍦㜵㔵㈹㥦慤㥣㍤晢捦㠱摣昰㥥摣摤ㅦ散晢摡慢㍦晦晤㈳扦晣挸挱㍦晦敢㠹㈷㝥昹㠷㐷㕥晥搷㑢ぢ〷㝦晡昴搳㍦戹晤挹㤷㝦扦搳㝣㑡㝤晥㥦搳㑦摤㍦㜶敥晥㝢捤搳㌷ㅥ扤晦㐳昷摣㌹㌶㝢搱㐸㌶摢搳㜳晤搰捦㉥扢㘱昰㠱㝢㕦㔰㝥晣敢㑢ㅤ㐵㙥ㄷ㉦㘸㕥〶户㉤㤷昱㈴ち㔸〶㔷晣愶㉥㠳摢㤵㠰㍡ㅢ〱㙡〲ㄵ〵㌸㍦戸〰搹㔰㙡㙥攸晤て㠹㝢扤愱</t>
  </si>
  <si>
    <t>Decisioneering:7.0.0.0</t>
  </si>
  <si>
    <t>㜸〱敤㕣㕢㡣㈴㔵ㄹ敥慡敥敡改敡㤹搹ㄹ㜶㤶换慥〸〳㉢㈰捣㍡散㉣慣㠸扡慥㜳㘱㙦捣敥っ㍢戳㡢〴㐹㙦㑤昷愹㤹㘲扢慡㠶慡敡搹ㄹ㈴ㄱㄵ㌵摥昰㤲〸〱㔱〹㌱㈴晡攰攵㐵㔰㠹㠹㠹㠹挶㘰攲〳㍣㤸昸㠰㘸昴㐱㘳㌶昱挵㐴ㄳ晤扥㔳㔵摤搵摤搳㌵㐳〳㍡㤸㌹㑢㥦㌹㜵㙥㜵捥㝦㍦晦㝦㡡㡣㤲挹㘴晥㡤挴扦㑣㌹ㄶ慥㥣㕢昳〳㘱㡦㑥扡搵慡㈸〷㤶敢昸愳攳㥥㘷慣㑤㕢㝥㤰㐵㠷㝣挹㐲扢慦㤵㝣敢㐱㔱㈸慤〸捦㐷㈷㉤㤳㈹ㄴ㜴ㄵ敤㥣㠴扦挱昸㐱攷愸扥ㅣ戲昹挹㠹㤹㠵晢㌱敢㕣攰㝡㘲摦昰搹㜰散愱戱戱搱戱搱㕢㙦ㅢ㝢昷攸晥㝤挳㤳戵㙡㔰昳挴㈱㐷搴〲捦愸敥ㅢ㥥慤㉤㔴慤昲㥤㘲㙤摥㍤㉦㥣㐳㘲㘱晦㉤ぢ挶慤敦ㄹ扢昵攰㐱昳昶摢摦搳㠷㔷㘷㑥㑤㑥捣㝡挲昴摦愰㌹㌵㉥昹搶㈹㔱戶戸㌷㈱㍣换㔹ㅣ㥤㥣挰㝦㠹昵攳改戶搱戹㈵㈱〲扥㕡㜸挲㈹ぢ㕦挷挰㕥㝢摣昷㙢昶㌲㠱愷摢㐷戰搵戲攱〷㥡㍤㈹慡㔵摤㡥㘷㉤搸㌳㠰㕤搵㔸敢戳攷㠴攳㕢㠱戵㘲〵㙢㜹㝢ㅥㄳ㔵晡敤㌳扥㌸㙤㌸㡢攲㤴㘱ぢ捤㍥㕡戳㉡戹㌰㘵戲㌷挴㔳㈴ㄷ㈶户㍦㍡敥摢㤳㑢㠶㈷㔷攴ㄳ㌰㈹㝤㡦㜸攵收扥㝢㍢捦换愵换㌷㜰捥敢㍡昷㐳换㔹挳慢昷ㅣ改摣㌳摡㝣昳ち㙥敥摣㍦〱愳收㌱㌷㜶ㅥ㈳㐱搹摣㕢改㡤攸㕢㐲ㄴ㥢搱昳捣㝡㤸ㄵ㤸ㄱ㠱㝡㤱㔹㉦戳㍥㘴㑡敥敦攰㤲攴㐰㌶愹㈵㐳㉤㉤愸愵戲㕡慡愸㈵愱㤶㑣戵戴愸㤶㤶搴㤲愵㤶敥㔷㑢攷搱㈷㑥㠵㥥ㅥ㌵㑡搷散㜸敥て㡦つ㥣㍢昱㥤㝦㝥摦搸晢搳㤷ㅦ敡摢㠱㑥㜷㐵㡢㥡昲㡣ぢ㈰戵〶ㄵㅦㄸ摤捦㝦ㅢ㜳〵㤸挲㍣㘸摥㘶㡥㡤㔵づ敥㌷㙥㌱㌴㙥㉢〵昹㑤㠴㌲㠸扥㝤收摤㤶㔳㜱㉦㐸摣㕤㌹㘱昸愲〱戸㤱愸㙤挲慤㌹ㄵ晦㙤敢㌷捥〵㐶㈰昶戴戶㌵㈶㘹ㅢ㌶〷戶ㄲ扥㝣摦㔵慤挳捥ㅡ搵㥡ㄸ㕦戵挲收户户㌴摢戳㥥扢搰戹昵㠸㈷ㅥ愸户戶慤㘸ㅣ㐲㙤㐵捥摤戶换戰㈹㕣搷昰攴㤲敢ぢ㐷㉥㙦挴㥥戵捡攷㠵㌷㈷㈸ㄲ㐵㐵㙥昵㔲㌶㐵㕣㍦㌲攳㘰愳攰搶捡戵挹㕡昳㡥搵〰捣㉣㉡㔸敦戲昰㠲戵㜹㘳愱㉡㉥㙢敡ㄲ扥ㄳつ扢㥢慡㡦戸攵㥡㍦改㍡㠱攷㔶㥢㕢挶㉢㉢〶㈴㑤攵愴㕢ㄱ戹㕣㐶ち〵〸摣㙣㔶㔱㌲㌷㜵收〵㠹㠸〴㡡挹挸㔷㌴㤳摤攸㘹散づ扢愸ち搲愴晡㡥つ㈶攳㝡愵㡣㐹攱挰挴㥥愸㍦昸搲㜷㙥㌰㙤ㅤ㜳㙦㙥㘷㔵ㅤ㡡㜶㝦挷㡡㜰㠲㘳㠶㔳愹ち㉦㔵晢㈹㕣㤱㍥㠰㑣扢〸㠱搰ㄱ㝡㔴㜵捡慡戲愶㕤戰㉡挱㔲㝥㐹㔸㡢㑢〱敡愰㈱ぢ〵㠲戶㉤改㤷愰㑡摦挹㙣〸㔹戱㤸挹敦㘲愷㝣ㄱ㈹愳㔱㍡愵昰㜲㤳㈰攷戸㈶㕥敥㌳㡦㔸搵㐰㠴㐲㜹挰〴㐶㐲慤㈶搱搷㑦ㄲ昵㡣㜲愸㌰㜶㤹㤳愰㔲挳㜲㠲戵〶摦戶㜱㐹㐸㐴摢戲㘰换挹〲㡡㠲㘶㜹㤰挲㙢㈰㥡ㄶ㘹㤰摥㌹㐱㐴㘴㠳ㄴ捤㡥㤹㥢㠹㡣晤㔳㘴〴晡㈷㠹㤰扤昷㜷㤶ㄱ㈴昶㜶㈲攵愰㡥晣戸㉤捤搶戳攵㐳㘹㜶㈹〰愷㕦挶散㜲㘶㔷㌰摢㡤㑣昹ㄳ㈴ㅣ愵ㅣ捡捤㐹㝦ㅢ㥥昵㉢㤹扤ㅤㄹ攴㤳㑥㤹ㄳ㠹㉡摡㔰㥢戱㈳搹慦ㅦ㜶戲㌴㡡㐳㔱㐴换戸㙥㘷昶摢ㄲ搱㤱搵戹㌵㜴㙤㑥敡搸敢㍢搳㘶㜲㍢愴挸㤴慥挹扤㙥搰㌵〹〸㜶敤㔲㙦㕤㡤愱晡㌰戳㙢㤰ㄵ昵㙢㤹㐳戹搰攰摤㥣㐵㑦㤳昲㉤㘱ㄶ㠵挶㔰㤷ち㍥㈲㘴ㅥ〱㔲㠴㕣摢昱㘵摢㠶愶㌹㌸㘲扥攵㙤攸㝤㥤昹㍢㐲㝡㡢摥摣搶㍢昴ㄷ扤㐶㉢㝡㉦搸㑢昹㕤㐷ㅤ㜳ㅤ㥡昵敢㤹摤㠰慣㐵挷昰昴晤㕡㍤〵搲㉣戶ㄳ㤸摢㐹慦㡢戴㜲攷搷㤶㠵搴㐰㝤收扣攱㉤㡡〰ㅥ㡣攳㔳戰㠵㕤捦ㄳ㔵ㅣ㙡㉢戲㠲攷㤷换㥢㉢晤㈳㥥㙢戳㝥摢㐶昶摦ㄲ㡡㈱㤷㔳戳㤹ㄶㅢ㌹挵搶㑣昸㥣ㄲ㤴㐳ㅤ㝣㑢㘷㈱㤱ㄸ搴㑣㕥ㅣ㤷㝥扥摣㤶㈴㕤㐸㤲ㅢ〱㔶晤㈶㘴㤰ㄲ捡换ㅤ㈵捡㍥㜶㝢㤷散搶㙣戱搲挳㤷㜲㍡㘹昱㈱戶挹㤱摥搰㘱㍢〱晦㠱摦㙦捦㔹㜶㕤㔸昴摡戳挲㉢挳户㘰㔵㐵㌱㜴换㔲搴㙣换㡡户㠸慣挸㘶摢捥搳㈹晥㌵㐹㈷㉤㔲㈲㤵摢㔳ㅢ㔳捥攲つ愲愲ㅢ㤲㐲㈵挵㌵㔴㤷㐰愴㍣昶摤ㄶ㌱㕤㠸㤸㥢〱㌸㝤㍦戳㌱㘶〷㤰㘹扦㠶愴搹㉣攰ㄹづ敢㔹愱㑢扢㔴捡ㄴ㠸〶改㈲㝣戱愳戰㍡挸搷扣㥢搹㙤挸㕡捣ㅦ㍡㈰㔳〸㔱愲㍣㐱㠸㌲㡣㘱㥥戵挴〵搲挰づㄳ㠱愵挹㥡ㅦ戸㌶㈳㑢晤收㤴㝢捡つ愶㉣㝦ㄹ㤱愸㈱㌳㉡摣扤㈴ㅣ㔰㤷〷摢愷愵捥㕤㕥ㄶㄵ摤㥣㜳㙢㄰㙤挷愷戶挲挱ㅣ攰㠰㉤㈹捦收慡㠲搴摤昹ㄸ㔳㈸㠰戴昴户搲ㅢ扢㈹敦㌷て㝤〳つ㠸捥㕢㐱㔵昴㥡㈱搳戱㕣㌰〱㐵㐴づ㉡㍤收晣㤲㈷挴㔴扦㜹搴戳㉡㔵换ㄱ㐴〶㙣㑣〶敢愶挵㈲愲〴戳㉥㘳㠰慥搳㙦捥㝢㠶攳㉦ㅢっ㈸慥敤㙣㝡㤲㘱ㄱ捤㥣戰ㅣㅦ慦㤱㔸㘴㜹挰㥣㕢㜲㉦㈰㘲㕢戳㥤愳挶戲扦㈵戰㐲愲て㤳㐴㡤愲㉡慡慡ㄴ搴㐲户昸攱㠱㍣㤳㈱敦攵㤸㐹㕣㘵㌴晡捣㔳戴㌷敤晡㈸㐶㐳㍢㥤㙢敡㐳昴愸㕥㤹㑤㤵挲攴㔴晤㜶㡥㜹㉦戲ㄳ㐷捦ㅣ㙦㐴收㕥㔷捣㕡愳㤷㍦㐵挶㑢戲愸〷㐲攸愳摢ㄱ㤲ち敢㐸㌹攰㐰㘰㥣㑦慤攴㔷㌴㘵ㅦ㔲摦㡥㐶昱〸㈲㐹㝤收戴戱㈰慡㠸㐷摢㐶戰㈳㝣愰ㄹ㙢ㅢ㔵㍦㙡㥢㜴㙤摢㈰㘹㤱㉣攷捡〶㈹㜸扣ㄶ戸㈷㉤㐷㌷㤱㐹晡㡢慡㡣㔵㔴ㄹ慢戲慡捦㍣捤搰愰㉣㜳㉥㜷搱昰慣㘰挹戶捡〵㍥㌰㝣户㈵㘸ㄲ㑣㑥挹ㅢ愷㔸㘶っ户㔸昳㘷㘰戲昹愳㐰昷㈸攴㈸㐱㐷昴㠳㜲㔵㈵㡦㝦㑡㤷㡥㈵〸ㄸ改㈹搵摦㡦搹㌴㜹㍢〲㈲㐷愶㡢昱ㅤ㡣㡢ㅦ㐵㑤㈸㠴㠸昵ㄴㄲ㠱㔷㌰㈱攴改攲捥㥢㘷ㅣ㉢〰昶㠸戱㈳㔶㌰攵〳攵挸㔰㤴挷摢㍤ㄲ慢㠹㐱㈳㜵慤㜰㜵㝢㔳㤳㥡戸慡扤㍤愹㌷摥戱㑥㜳愸㔱ㄲ㡡㘴愳㑥㔲戳慣戳挶慤愴㙡ㄴ愹戸㘳㙤愳愴戹㑤ㅢ㜰愷ㄴ㜹ㅤ㡡㐹搲㑣㐶晦㠰㈴ㄴ〴㝡㈳ㅤ㐵㥦㝤㍡㜹㈴㈲㌶戴〱㡡搴㔳㘱㕤㝦ㄴㄲ㍣㡥㙢㈷ㄵ㔱㡣㥥挰摦㍢愲攲㑣㉤㘸㙡㌱㔶㠷愲㤶昱㙡㜵挶㠱㤵㔰㌶扣捡ㄶ㘱㘹散㉤搴㌰㤲㍢扢搵晥㈱㜸ㄳ㡣ㄸ戱㈱挳㈲㈹㝥㘰戰㈱㤸㉢ㄱ㔱愵㜵搶㑦㔰搷慢ぢ㝣㍡㈹っ㐷㘲㘰㉥愸㑣㠹ㄵ㘹㠶㌵㉣昹㈱㌹愰㝥㕡㤴㜲㔴㌷挷ㄷ㝣愸昴㠰㜲㍣㉡㐹〶搷捤搳㜴㑢攱ㄲ〳挴㙥㔴㥡㉤〷〸敤搶㈷攰挹㘰敢㘰〷㄰〹㐳㈷戴捥㈸㐱昳㈹㠴摢扣〹昲㑥㤷ㄸ㠵㈰㌵㘵晡摢㘱攵挹㈷㤸扥㝤㌸ㄳㄷ㈲㈶㘲戸㉢挵㝡〰㜲㤳㤱㐹㜲搱㔰ㅣ㌰て㈵㥢ㄴ㕡㝤㜱ㅤ㑤㡣㝥㥡㝣㕥㠰㕢㍣㡣㘵つ㤰㙤慡戸攷ㄶ㔸搰愶搵戵ㅤ收㜱愷㕣慤㔵㠴㔴挵戱慣㤶ㅡ㜹㑢攰㑢㕥〱っ戹㈹〵㉥ㄱ㔰㡥攳㈸挵㉤ㄳ㐹摤摢摤晡㘱っ㤷㐲づ㜳㠴慡㡦〱挸ㄴ户㥣っ㠸戵摤㔳愰㝤戸戳㜱㠱㐱㕥㥥㠳㐸㙢慢愲㉣㥢挶㝤扣㝡ㄴ㔹㜲㕢愲摢戴㍢敤搲㘶㑦㔴ㅤ戳挲慡㉤㠱㈳散㌳ㄴ㜸昹㍣㡣㤱㉥戹㠳㤳㘴㉥㐶搱摤㡢ㅦ㤵㡦㤹㡢㐰㠵挴㠰挲ㄸ㉦㑦㐱ㄹ㐰ㄵ㡣㐴㠳㕢㙤㔸摤ち愳扦戴扣昵㜱㘴ち挳挰㌴㘸搱㌳㌴㜰㈶㔱摥搸挰戹ㅡ扤㔲㈲愴挹㘰㉡㘳㤴㐳㜰搸〳㘹攰㈶ㅥ愴攷㕤㈸愱㘰㤷扣ㄸㄶ摦㑤ㅣ戱㜱〴㜲扤换㕡㉡㘷㡤〰搷㕦㥣摤㉤搵攳㤵ち捤㕤昸攷戶〴㔶㜱㜵㈳㌴㐷㜷戵㕣捡㤲㝢愲㝤户户愵㈱扡㉣㜸㘰㙡昴㤸ㄱ㤴㤷收㠲戵昰攲㔶户㈴愱扤〰㝦挴扡㙦愷捤㥣㜳㜸ㄱ㜵㠵戰㉦㥥㜷摣ぢ㡥㕣㤷收昳搶ㅦ㈸〴㔷㈸㝢戸挸㘲收摦昸㈷㤳㥡搱㝥㠲ㄹ㌷戳㙣㑥搰㜰㤰㜰ㅥ㤹㐲㘹㌰㡣㜲ち㥤挰㜶慦摦ㅡ㈰㥤散㙡愱ㄳ㈹〸戶〹挵㔹㝣挳〸㐵昹㌱搰㑡㘲〹㡦攴㠰昹戳㘰㝤攵㐷愸㈱挲昱ㅣ㠹ㄱ敤ㅡ㤴㔲㔰㈷〵㜹㜴挵㠳ㄷ㐲晥㝦戰ㄴ㜳昳扡散昴㕦㘰㘶攵昹㔶ㄴ㕤㐵ㄴ㍤搷㠶㈲㠵搷㐰㈴晦㥥㠸ち㝣搰ㄸ㥥㝤㑤㠱㜰敥㘹晢〰晡愶㕦昸晤ㅦㅥ㐰愷㠱㘱㈶㘹愳㈱搴㜶ㅤ捡㜵ㄳ㈱摢㘶㈲㌰㜸㉦㑤㠴㤳ㅣ挳㈸㝥㘸㈲㐴㍥㤰ㄹ㔴㙣㙣㈲㌰戶㤷㘲〸㈶㐲慤〹户〶㑦㘰㤷搹昴㡦ㅤ挳挵㕢攱㈳㥥て愵攵㑦挲㈳㜵㜹㝢昵慣攱ㄹ昶㙥㔹㝦搴ㄳ㔰㘶摥㍣㙥㜲换㈱ㅣ戱㘷摤ㄶ㌹㘸ㅤ㕦㐵散㘵摦昶愷㙣敥晥㍡㌰ㄵ愶搰㝤慦ㄴ㤴晣敢昰㤴㈸㍣㌷㘴㍥戲敢扢㐷㝦晦攰㈳㠷㜹㕢㉤愲㔵敤㈶㤴扢〹搹搳㥥㐰㔰㌷㜱㔱攴㔲㝥㤸㜳ㄲ㥦㈸㔹换㔵㌱㘱㜸搲ち昲㜵㍢㉥㠶㠴㤷㈰捣㤰昸戶㠲㠹㠹㝢て愱㠹㌹摡攲敥㤴ㅦ㌶㐹ㄷ攱㘸㘲攱搲愷ㄷ㠷つ㤵㡥㡡慣㑢㙢㔳晢㍥㔴搱㙢㕣㐸戳㤵挸㔳㈷㤳愲㝣慦㔵搷ㅤ愴慥ぢて㌲っ晢挷㔲ち昱〷㔲㐸昲㈰挳ぢ〱㔲㑡㥤㐶㐱扢ㄹ㔹㑡㘴慤㌵挴㑢㝦挰戶㄰㄰昵㑢㝦㕤㝥挴〲㈸〲㡢戱㉦扥摢ㄳ㉤㙤搱㔸㌵㌱㔴㉢㙤㥡㌹ㄴ攴攱㠵ㄵ㘳㜱敤㍣ち㜱搲づ愰戴㘹㜷ㄴ㕦搲㙦㠷㠱户㤰戱㌵㥢扥戶愲㝤㠷㔳挳捤て攸㤹扣㔴ㄸ捥㑥㔶攳㐰㉡㘳㜴㘱搷㘲㔸挵㝣㈰㉣搶〷昵㐶㑤搰㔹捥㙥㥣㑡ㄱ晣攳㤷㐲㙣ㅦ㘹㑣㝤㘹㙢ぢ㜵㥣搳㠳つ昲〷晢敢慡ㄴ挶挶㕢挹㌱㤰戰㥢敡㔵〸慦㠷㥦挱㄰㙥㍡愳攸㡤愲㝣㔶づ攲㑦捣㔹㔹戵㑤晦㌳㝡㉤㌹敢㉣㐷㌳㡣摤愴晦㍦㠴㡡つ昵扦挲搸㥢㐴攴㍤㔱㐱ㅡ愷㡣㥦㙣ㄸ戲㈱㐴攰搹㐶昰㐶ㅥ㡣㜵㔹㘴挸㍢㉣捤攱攳搵戰㔹㑡㜰昸扤㜲慤㔷㈳敡㘳㘹摢昶㜶ㄴ㠰㡣つ㘹捦㐲〴㜵ㅣ摦㉣户攲搳㙤晥㕥っ摣㜵搲㉡㝢慥敦㥡挱昰ㅣ㠲扥挳晣昶捣㠴捤㌳慥㝣慢㔵愸敤〵㈴晡敥挳㤸㔳㌳㄰搸愷㐴昰㐶挵㈲ㄹ㔹搸㕣㈴㠳摦㈱つ㈶挲㑢搴づ晥㈵收㕤㌵愳㡡㑦㔷㘷攰敢っ㔸戵㈵㤴㕤攸㜱㙥扤愱㐱搰攱㡥搶㥤昰〷㠹敡㈸㠲㘳㜲ぢ昷摥㐷戸戶挲愰戹㙦戴㌷㥦㍤扢昳戹ㄵ戵㘷㠰搳捤扤愵㤹㘴昸㑥㝥㤱㕣搴㑢捣㜱㘹晦㌰晥㙥摥㐱换搹㠶㐰攷搱〷摤㜴㠴㡤㔴攱㍥摢㐴昴晢ㅣ㠶㉡攳捣昰搳㡤愸挰〷㠵㕥㍥戲愲昲つ㙣㡢っ㠰㜲㈶㕦㐶搶㤹慡㥦㕡㡦慡〷㑦㘰っ昹㔵ㄷ挸晡戳ち㡦ㅡ愴捡愲昲㈴晡ㄳ㙡攱敥ㄷ㔹㠷愳㠷㍣㔲愰慣㈷㈵戹挲㈳㠵㕣捦攳ㄸ㔰㕦捦晤愸敤扣㥥慦慥户ㅥ㠵挶㠰摣㙦㜲晥挱㔸㤹攸㌶㕦敤㌰㜳㤹㉤㈳ㅢ㡣㝢づ㔰㑣㜲㉦昹㌰搴昰㈳㘲ち改㌷搱摦㔷づ晦晡㐵愶扦ㅥ㔶愴㘰㐴㔳昳㉥㈸ㄸ攵㉥ㅥ㑤敥挲㐷㙤攷㕤㝣㝥扤㕤っ㔲㘶㑡愸搶㔰〰㔴㑢昸㈳㜷戵㠲〲〱捡㥦㜲㡥ㄹ㝥㑤慢ㄸ㌴㔰㈳挷慥愲搰㥦搵㠸㤸昷㜵搶㉥㌴ㅥ攳㑦㘱ㄱㅣ㘸晡收昵づ㝣挳扡挶㘸㜷ㄶ㥦昰㙢㔲ㄵ收搴昷㜶㌷㔷㙣㡥㔲㤳㘹㥦挶慥㕦挷㍣摣㜴挳攷挸ㄹ昷攰㔷㐰㄰㠲㘴㈶㐱昲㈰ち㌱愰㌴㘲㍤攵换㈶㘹ㅣ昲ㄶ㈸ㅤ㔹昹搰ㄳ㥤て㑤㠲㠲ㅤ戹愰户㠴㘰挴㤶昸愹㜰㐷㝤㤶敦昲㝡㠳昲挹㤸ち㡦ㅤ㡢㍦ㅢ㔳愳㠰ㅢ戸㈰㌴挷挹㌵〴愴昲㐸摣昹〷㍦㙣昸㡢搱㠰〴㔶〹㍢㤳扢㘴攷㑦挴㥤て攰㤳㌴搹㈷㐳㠲㘲㝡㈵敥㑣㉥㤴㥤㍦ㅥ㜷晥换㠱摤昵捥㌱搳㠵㌳㙢攴㠸ㄴ㐳㕦ㅥ㝤ㄲ㥦愷て愰扢㘶搲㜸攸㌵挳㙡ㄲ愲㡣㥢㔷愵昹搰㠷㥢㌰ㅥ㍥㄰㥦挶挵㉥摣㝦㠱㠶〹晦㍦ㄱ挷㜱攱㙢捡〸っ㝣晦扤㠲㐸扢愷换㈷づ捥㥢㌳ㅥ㉡㝡捣攳㍥づ㤴㤵㉤㐵㈲戰㠵㜲㈱㝣㌷㠸㐸愴搸捤つ㜸挴ㄱ㐲㤵ㄷ㘸扡搳㥣㌲慡㤴㔳ㅥ㡥㌱㥢㜹戸㐱㌳晡挷㠰ㅣ攸〴攴㉣攸ㅦ㐷ㅥ㐶愱㜶戱㘲㤰挲㑥㑡戲㐷搸昰㐹㘶㥦㐲㔶㔴㈸搹㐸〷昹㑦㈳ㅢ㠸晦㉦ㅤ挳㉢搲㔹愴㉡慢昱换㤲㘴愴㝦㠶〳㍥㡢㉣ぢ摦戵ㄲㄱ㘱㔱晦ㅣ㙡㤲㉦愵攰㤰㉦晤〲ㅢㅥ㘵昶㐵㘴㐵㡤㡢摤㌴搴戸愷㉥搵昶㤷㌰㔴㈱㈸㌸㠷晥攵愸挰〷㠵㜰愰㌸㔷ㅣ散㤰㌲㤴摡愶愰收ㄵ挲㐶㌶搸㔱挳㈱搹愰㈸㠴㤷㙣愸㐶つ搴㘵晡㔷㤱㈹㠴〷昷愴㍦挶㈷㠲㐱扥昰昱愸㈰㕦㐸ㄸ挸攱㑢㉤㉦㈴㕣㘴挳㘲换ぢ〹㉢搹㘰㈶㕦昸㌵㑥㉡㌷㠶㐲戳扡攲〶㈵扣扦㡥㐲㝦㜶㠰㙢扢ㅢ㍦㜵㔵㈹㥦慢㥣㍢昷㡦㠱摣昰㥥摣㠷㍥搸昷挴㉢扦㝡昵㉢㉦㝤昸搰㥦晦昵搴㔳㉦晤昱㉢㉦晥敢㠵㠵㐳扦㜸收㤹㥦㥦昸收㡢慦敥㌴㥦㔶㝦昸㡦改愷ㅦㅡ㍢晦搰〳收㤹㥢㡥㍥㜴捦晤㜷㡤捤㕥㌲㤲捤昶昴摣㌰昴换㉢摥㌹昸昰〳捦㉢㍦晢敤攵㡥㈲户㡢ㄷ㌴㉦㠳摢㤶换昸㈶ち㔸〶㔷晣愶㉥㠳摢㤵㠰㍡ㄷ〱㙡〲ㄵ〵㌸㍦戸〰搹㔰㙡㙥攸晤て晡㌶扣㡥</t>
  </si>
  <si>
    <t>item</t>
  </si>
  <si>
    <t>unit</t>
  </si>
  <si>
    <t>module 1</t>
  </si>
  <si>
    <t>Insolation</t>
  </si>
  <si>
    <t>kWh/m2/yr</t>
  </si>
  <si>
    <t>EPBT</t>
  </si>
  <si>
    <t>performance ratio</t>
  </si>
  <si>
    <t>CO2 emission factor</t>
  </si>
  <si>
    <t>module efficiency</t>
  </si>
  <si>
    <t>epsilon</t>
  </si>
  <si>
    <t>MJ/kWh</t>
  </si>
  <si>
    <t>lifetime</t>
  </si>
  <si>
    <t>yr</t>
  </si>
  <si>
    <t>primary energy consumption</t>
  </si>
  <si>
    <t>MJ/m2</t>
  </si>
  <si>
    <t>CO2</t>
  </si>
  <si>
    <t>Recycling</t>
  </si>
  <si>
    <t>End of life</t>
  </si>
  <si>
    <t>all</t>
  </si>
  <si>
    <t>CF</t>
  </si>
  <si>
    <t>PEC</t>
  </si>
  <si>
    <t>Wasted CH3NH3I</t>
  </si>
  <si>
    <t>ETL spin coating</t>
  </si>
  <si>
    <t>PL 1st-step spin coating</t>
  </si>
  <si>
    <t>PL 2nd-step spin coating</t>
  </si>
  <si>
    <t>PL Drying</t>
  </si>
  <si>
    <t>HTL spin coating</t>
  </si>
  <si>
    <t>Cu</t>
  </si>
  <si>
    <t>Tem</t>
  </si>
  <si>
    <t>Sputtering</t>
  </si>
  <si>
    <t>Wasted copper</t>
  </si>
  <si>
    <t>Espinosa 2015</t>
  </si>
  <si>
    <t>Ar</t>
  </si>
  <si>
    <t>O₂</t>
  </si>
  <si>
    <t>80% active area</t>
  </si>
  <si>
    <t>Electrode sputtering</t>
  </si>
  <si>
    <r>
      <t>BL-TiO</t>
    </r>
    <r>
      <rPr>
        <sz val="11"/>
        <rFont val="Times New Roman"/>
        <family val="1"/>
      </rPr>
      <t>₂</t>
    </r>
    <r>
      <rPr>
        <sz val="11"/>
        <rFont val="Calibri"/>
        <family val="2"/>
        <scheme val="minor"/>
      </rPr>
      <t xml:space="preserve"> ink</t>
    </r>
  </si>
  <si>
    <r>
      <t>PbI</t>
    </r>
    <r>
      <rPr>
        <sz val="11"/>
        <rFont val="Times New Roman"/>
        <family val="1"/>
      </rPr>
      <t>₂</t>
    </r>
  </si>
  <si>
    <r>
      <t>CH</t>
    </r>
    <r>
      <rPr>
        <sz val="11"/>
        <rFont val="Times New Roman"/>
        <family val="1"/>
      </rPr>
      <t>₃</t>
    </r>
    <r>
      <rPr>
        <sz val="11"/>
        <rFont val="Calibri"/>
        <family val="2"/>
        <scheme val="minor"/>
      </rPr>
      <t>NH</t>
    </r>
    <r>
      <rPr>
        <sz val="11"/>
        <rFont val="Times New Roman"/>
        <family val="1"/>
      </rPr>
      <t>₃</t>
    </r>
    <r>
      <rPr>
        <sz val="11"/>
        <rFont val="Calibri"/>
        <family val="2"/>
        <scheme val="minor"/>
      </rPr>
      <t>I</t>
    </r>
  </si>
  <si>
    <r>
      <t>H</t>
    </r>
    <r>
      <rPr>
        <sz val="11"/>
        <rFont val="Times New Roman"/>
        <family val="1"/>
      </rPr>
      <t>₂</t>
    </r>
  </si>
  <si>
    <r>
      <t>TiCl</t>
    </r>
    <r>
      <rPr>
        <sz val="11"/>
        <rFont val="Times New Roman"/>
        <family val="1"/>
      </rPr>
      <t>₄</t>
    </r>
  </si>
  <si>
    <t>Recycling level of substrate</t>
  </si>
  <si>
    <t>Recycling level of electrode</t>
  </si>
  <si>
    <t>Consumption of ETL calcining</t>
  </si>
  <si>
    <t>Consumption of electrode sputtering</t>
  </si>
  <si>
    <t>Consumption of PL 2nd-step spin coating</t>
  </si>
  <si>
    <t>Consumption of sonication</t>
  </si>
  <si>
    <t>Consumption of HTL spin coating</t>
  </si>
  <si>
    <t>Consumption of ETL spin coating</t>
  </si>
  <si>
    <t>Utilization efficiency of spin coating</t>
  </si>
  <si>
    <t>Key input parameters</t>
  </si>
  <si>
    <t>Current value</t>
  </si>
  <si>
    <t>Notes</t>
  </si>
  <si>
    <t>0%--&gt;no recycling</t>
  </si>
  <si>
    <t>60%--&gt;no recycling</t>
  </si>
  <si>
    <t>100%--&gt;current practice</t>
  </si>
  <si>
    <t>Recycling level of electrode (95%)</t>
  </si>
  <si>
    <t>Recycling level of substrate (90%)</t>
  </si>
  <si>
    <t>Utilization efficiency of spin coating (80%)</t>
  </si>
  <si>
    <t>Energy consumption of ETL calcining, kWh (7.200)</t>
  </si>
  <si>
    <t>Energy consumption of PL 2nd-step spin coating, kWh (5.957)</t>
  </si>
  <si>
    <t>Energy consumption of sonication, kWh (0.400)</t>
  </si>
  <si>
    <t>Energy consumption of HTL spin coating, kWh (3.217)</t>
  </si>
  <si>
    <t>Energy consumption of ETL spin coating, kWh (0.322)</t>
  </si>
  <si>
    <r>
      <t>UV/O</t>
    </r>
    <r>
      <rPr>
        <sz val="11"/>
        <color rgb="FFFF0000"/>
        <rFont val="Times New Roman"/>
        <family val="1"/>
      </rPr>
      <t>₃</t>
    </r>
    <r>
      <rPr>
        <sz val="11"/>
        <color rgb="FFFF0000"/>
        <rFont val="Calibri"/>
        <family val="2"/>
        <scheme val="minor"/>
      </rPr>
      <t xml:space="preserve"> cleaning</t>
    </r>
  </si>
  <si>
    <t>㜸〱捤㔸㕢㡣ㅢ㔷ㄹ昶ㄹ㝢㘶㍤㕥㙦搶戹戴㘹搲㈴㌵㄰搱㤶㑤㥤㜵敥㑤〸愹敤扤戶㝢㙢散㕣㔴愸慣㔹捦昱㝡扡㜳搹捣㡣㜷搷㈹扣ㄴㅥ㐰㙤㈵㑡ㅡ〴攴㠵㔶㐴㉡て㉤㤷〷㔴㔲㐱㄰㐵愲㐴㉤㙦㕣㈴㜸㐱攲〱㔰㕦㡡戸〸愹搵昲㝦㘷挶ㅢ摢敢㙤㤳㄰愴㑣扢㝦捥㥣晦㥣㝦晥昳㕦扥晦㍦㡥戰㐸㈴戲㐲て晥挵ㄳ挳㘰㐷戱攱昹摣捡ㄴㅣ搳攴ㄵ摦㜰㙣㉦㤳㜳㕤慤㌱㘱㜸㝥㤴ㄶ㈸㘵㠳昸㥥㕣昶㡣昳㍣㕥㕥攴慥㐷㡢攴㐸㈴ㅥ㔷㈵攲㌷晦㔲捤㠱㡡㕤㙡㡣㐸㤲㔶㐵㑡㠵晣昴散㔳㈴扡攸㍢㉥摦㤳㍥ㅤ〸㌸㥥捤㘶戲㤹〳㠷戳㠷㌲㠳㝢搲㠵扡改搷㕤㝥摣收㜵摦搵捣㍤改㤹晡慣㘹㔴ㅥ攳㡤㤲㌳捦敤攳㝣㜶㜰晦慣㜶攰㐸昶挰挱㠳搵㠷ㅦ㍥㤲㔴㐸昲㑣㈱㍦挶捤〵㤲㜷扢愴昶㤰搴愹㐲㝥挶攵搵摢㈵㔳㠶㌵戲㐳扣㘲挰㙣㥣扢㠶㍤㤷㈹攴改晦ㄶ慢搰摢攱捣㜴戱挸㙤捦昰㡤㐵挳㙦挰㜲慡㌵㕤㤹㍤慤㤹㜵慥㔸㐲愵戸㜵㕡㜳愷㌴㡢昷㔹愷㍣㝥㔲戳攷㌸摥㘴㙢戴㙥攸㌱㜲㘷昴挱㙥ㅦち㡤㤴㤹㉥攴ぢ㌵捤昵〳㤱昴㠱扤摤㔶㡢㉦㘵㕡㔴ㄱ㝢挴㉣捣挳㝡挳㠰挱㌷㠵㤶㜱愸慡ㄲ㔱ㄲ㐴㌶户散㑣㡢慤改㝤㉣昶㑦ち扢搶㡤扤戴㔲㉡㙢㔲㜹㔶㉡㔷愴戲㉥㤵戹㔴慥㑡攵㌹愹㕣㤳捡㠶㔴㝥㑡㉡捦搳㥡收ㄳ敦改㤱挲㘷敢昱搷挶㕥晤晢昹愹搷敤㠲搷晢愳攸ㄵ㠶㐸ㄳ㈱㤷愴㠱摡㐷㐴搹㐰愴㡢㈲㔹挶摥㈳㐵愰捣攵㘷㥣捦㍦挱㡡㘳㤷㝥㝥攱㡤晦㝣㌷晢挹㘴㡡戶㑣㤱㠵㌲㔳摣扦㑤攱㈴挳㌲㌷敥ㄱ愸㉦㕢㠱㐳㠷戸㔷㔱攱敤㜱㕢攷换ち㡤㈸ち㤲㔶挱戱㝤扥散て㘹扥搶㘳捤㘸㉥户㝤㤵ㄶつ㠸㕤挱〸㍢晢挴㕣㜳㜷㈲㝣㈳〹㈹㌱㙣㤱搲㉢㈶〲㐹㡣攰㈰ㅡぢ㘸㕣改㠶ぢ㘳㥡㔷昳戵㔹㤳敦敥〸ㅣ搸㡤㘲昵㤴㙦㤸㕥㠶㐴㡥扡㑥㝤〱ㄶ扤㕤㜲㤰敥㉡挲㑢搹㐴㐴愰ㄸ晥愵て㍣愲㙥愶㝦ㄲ㠲愹㠲㐹捥㕤〱攷㍡㉦戹㤵㕥㐸挵㈱挷搲っ晢㌶㌹㌷㜹て〹㝤㍣捣㠵㈱㔷㕢愲扣扥㉥㝡㕦㘶㄰晦㝤㌴戰ㄱ慥㔵て㔶て㔷戳㔹晤攰愰戶㕦㤳㤱㐸㌷㥢㤷㕢㘸㑦搲㍡㘳搸扡戳㈴ㄲ㜵㤳㐵㔹㈸㤲慦搴㔸攰㘲㉡㔹㉤㘹敥ㅣ愷攴㜷挷㠷戶㔴ぢ㡥敢㜲㔳昳戹㉥㈶〰昶㕢摢㈷扤ㄱ搷戱㌰扦㈳慦㜹晣㍡〸っ㔴㠳て攵㥤扡慤㝢昷㜶㘷ㄶ㝤ㄲ扤扤㤳㜷㕤挸㥡㙤㐵〲㐶敥〹㑤㜷㜵㙥ㄳ挱㥦㕢㌶〲昶捥づ㌶㐱愳㌳扢㍥㜷挴攵攷㔶戹㙢㌴捡㔱挵㕢攴攰慦㌹㘵挰ち昴㈲㈰㜳㍣㙥ぢ昵〶慣ㄹ愳㌲捦摤㈲㐷扤攴扡㌸敡㕤㘰㜱捡挷ち昷〶愶㘱㝡挲㘶晤攳慤戳搵攱㘵㥦㔳㌶敢愴㉦搵㉣扦㔱㐲㈶摤摤戶㈴昸㈶㌱戶戵㑤㡦㌸㤵扡㠷慣㜵ㅤ戳㥤㤳搳ㄷ㌵晡愶㍥改攸㍣ㄶ㤳愲㤱㔸㈴㠶㈷㐲戵㈰㑡愹㍣搸㤱愸愲昰㐰戶搷㡡昰㉤㤱〳㠸摦㝦㐳㥢摡挳ぢ晢扡㐱挶㙡㉢挱敥㘹捦㤵捣㐹戲ㅥ㔹挹攴㐸㈴愹ㄳ㔱㕡ㄴ扤ㅥ㌵昸㐸㔷㍣つ㑥搴㘲㌳挴㉤㔶㍦戰晥㔱㠴搸搵挸昸晦㉥㤶愴捤攱改㠷ㄷ〹戳挷㌴㕢㌷戹晢攱昶㠲㐶敡㌶㤰敤㈰昷ㄲ㐹㐴攴㍦ㄳ扡慤㙢㐹㔴㐲戶捣ㅡ昲㤲愱晢㌵愵挶㡤戹㥡㑦㜳搴慡挵攳㌰㜳晦〷㉢㉢搳搴愷㕤㈳愸晦ぢ扡㍦㜵㈷挸㉥㈲㠹㐴㈲㈲昰㔳㐹愸㘹昱ㅥ㘱愸㐸愲扡愳㥥慥〵搷㑦㘰㤹晡㈱㍣㠶㘲っ㐰㔳敦〷㜹〰攴㐱㤰㑦ㄱ㠹戰摦搰㔹㜰㥥㌷摦㕦㔹昹㐲愸搵㕦㠵㔶㝢戰攸㈱㈲慤㕡敤愵㜷㘵㄰㤳挲㜵㘹㐰㕢㠲挵〰晦摤㉣戹㕡慣㘰挸挴㠴愳改㈳㕡㠵㕡搰㥥戰〱㡤ㄷㅣ㙢㠱㑡愸㥢挲捡〲㈵㄰㈵收愲愱㜳㌷㡥㠹㈲㜵扢㌱敡㍦㍤㐵挰㡦㐷戵㌱ㅡ㤱攵摥㜸户㙦㡤㌷㘵敤づ摤摣摡㑤㡦慦㤱晦敥攳㐷㑥愰㕢㑥㈴㐴摦㤲愵愱扡㡦㠸っ㜷摦㜴捡昶搳愶扢慤㘲捤㔹ㅡ㈳㝦㜳㉦攸敦扣㠲㙢昸㕢搷㑥㔳慤搷慣㙤㘲㝥搴攵㠴搲㙥㠹挰㑡㥣ㄱ㍢戶㜷攵㠸㑤摢㠵搹㕢戰㘲愰㝡摡攰㑢㜰挳㝤㙢㔹搴愰ㄶ敡㥥敦㠸搶㘴搷㕡晥㤰㌳攵昸㐳㠶户㘰㙡㡤摤㕤搸〱攷㑣㡤摢〴戰㉥攱散㐷㉤㜲ㄶㄶ戸摥㐵挷愲㔳㜷㉢㝣㝣攸㑥㠰㘸昲㔴昰㌰㠱捥㉣捥ㄴ㠹搱㜳㙢攸挰㄰㉥㤱愷户扣㌶晡愷昳㕦㍡愱㄰收㌳捡ㄷ捡㘳ㄹ㠸㜱㉢㈸㡥㕣敤㙢敢ㅤ敥挲㑤㘳㤲㙥㘷挶㠲挹昳㥡㑢㠱敤戸㥥㙡㌵㠷㐱攰戵昴晣㐱戶摣〹挶愶㔲ㄸㄴ挱捣晡㐵愰㐵㜱ㄱ㠳〸㘶攰〵摢搲㔱慤挴戹〱愱户攸㉢昹ㅤ〲扡㥢㔴〴㔰搸戳㠸捥扦㕣㡥挴愱ㄶㅥ㈶扦㑤愲扡敡〷晣㡦搹戸ㄱ㡡㕤㠹㜹摢㔹戲㠵收戲㠷㠶㑣㘰㙢㑦て㡥㠱㕥㕡㍣〷㥢㘱ㄳ㤱㔱㘲〶扡搹㉡㘸㥣㔷慦慣攳㍡搵戰昰㡥㥡挴ㅤ戵攴㜲㜱ㄱ㡤㡢ㄷ㌲㘱㥦㜵挶㜱攷㘷ㅤ㘷ㅥ搷㤹つ攲捤慢㜱敥攳搲搸㙢〵㌷㕦㡣㈹昶愳搱戶㡢㘱㘸㜷㌰搱戶〷㈵改㄰㡤愲㈳㙥㐵扣戱户攸晣戸挳搵摥敡摦挲㝡㕥ㅡ晦摡扢㜳戵昲㐳扢㉣昶换㤰㤱搹㜷昱散戹搷ㄷ㠶㕦昹㘲攳扤㐳摦晦㐱㔴㐶㤵扢愱づ〳㜷㤶晥敡㉡㜶㤵っ摦攴扤搵㈰㌴㌰㡥㔷〹㡤愸晢搳㝢慡愵ㅡ㥤㝡愸慦㍡敡ㅡ扡㘹搸ㅣ愱㐳㝤㌵㉥搸ㄳ㝣㡥㍡扤ㄹ〷㤷㜹挷敥慢㤶㕣捤昶㔰㙢散㑡㘳㔳摢㥢挸ㄶ戹㥡㌷㙣㡦㍥㈳昰ㄲ攳晥㉡攰㥣㍣㔷户散㔱㙤挱扢ㄳ搲㠹攲愴昹〴攰㈵㌱㐹㘲㜱㈹㝥㡢ㄹㄱ㔱㡥㤲扣㜴㑢〶ㅥ㑤ㄷ愶昷愵戹㘵㜸昸愹㈴㕤ㄵ攵㥡㝡㐳㐹〰㥤㠴ち㠹㠶㠰昰つつ换㡤㌷㠲㔰㍣㈹㝥㐱〹㍢昴㘸户ㅡ扥摡愹㈲搱搴㘳㐴㔸ㅡ㠴晥搴㑦㠷〳扣㌰戴㍤㘸㍡㍡慡昸㜱㥡㔲㍦㠳〵昷ㄳ〱㌴㜷挵㘷昵〴㜱攸っっ摤㄰㜰㥡晤㡣愲ㄶ攸㐰攳〸㘳㔷㘹㠴〴敦㤲愰っ扤ㄳ㤲㔴愴㠱㡡愴〸ㄲ攲つ㕡摦㌵㈱慥㠴㡣慢晦㥡晣昲㉢㙦愷㜲捦晦㝢搳敦摦晦挷敦扥捥搰㠰㠹㤳㡤搲〰㑤〸晥ㄸ摡㉥愴㑡㐴ㄹ㈳戲戱捤㌵挳㌳昹ㄲ㑤戲㑥㕦㌰戴㘹昰㠷㍡づ㌶㥡㌴㈱昸搱㜰㠰㤷ㄴ㍡ㅣ㌴㍣捡㘳㐴㌶ㄶ昲攵〰〱㥡㐰愲㑣搰昴〶㥡㙥改攰㔳㜰㌷昶愸㤳㈰愸㑣㑣㌸〵㙦搳㐴㥡㑦ち捥〱昲愹㌳㐴晡愲㈹㌸㐲㙣挴挷㔴㠸㑥挱㉤㘲慡㠸㈹㜴愵っ㙥㄰㡡㥥ち〷㐲㔱㤸㐳挸㍡㑤〳昵っ挸㔹㈲〹㈶づ㠷搷戶㑦攳㤰㘲昹ㄳ㌴攸㡢㌲愸ち〷㈹㥦挵㝢捥㌴搳㑤ㅣ昴㤴捦㘱慡晤㈷戸㈷㘹㙡〷㕤摤敡㈶㉦㘷换ㄳ昹攲㜴搹攵㤵㐶㠵攰㘴㉥戳㙣㝡ㄶ㝢㌹㜴攰戵慤搷㥥ㅥ㍦昶㡢摣戳ㄷづ㍣昳慢昹㐳㝢搹㑢㈱愳昳搷戰㔴㔳㍦ㄹ搶㌸搶つ捤搷㕣㤶〶㍡㙦愶挳㜴搳㙣挰㕥㔱㙡㠰㘵㠱㔱㌱改攸慤挹㙡㔶㔴㘴㤵晣㙤搲晡㝦㤰〳ㄷ戵ㄷ挴晢㘸㐶搵㠸㌰㜸㔶攴〶㑣慦挲搸㉡捣换㉥慤㘷挱㙦㠵㡣捥㕦〲㔳〸〸攱搴㌹ㅡ㤰㔳ㄱち㐲㌲㝥㕤㔲っ㈲搱㥣㘷〵㤹㜷㌱ㄴ戲愶ㄴ扤ㄸ㌲扥㜱昲昲戹㥦ㅣ㔸㥥㜸昱搷ㅢ扦昷捥ㅦ㌳㉦㌳挴搴慡㌴ㄵ搲〲㐹㉦慣㈷改慢㈱㈳扦昳㍢㡦晥昶攲挷㈶㉦晤昴昲ぢㄷ㜲㝢㌷㌰〴㘶㌷㐹捦慦㈷改戹㤰㌱昷㠷ㅦ㑦㥥晤㕢㘱攴搵㝣敤㠷挳㔷摦捣㌱㐴㉦挲㠵㍤㑢㉢攰㈳㘱搶㐵㥡㤱㘱摢捥㕥〳㔷愳ㄱ㠴㐷挷㍤戳户ㄷ㥤㐵昱㥢㔷ㅥ昹㘰晦㤳㌹〶昳〹愹㕦〹愵㐲攱㌸昵扢㄰っ戹捤㤵扤晦〵㠶㍢㠷搷</t>
  </si>
  <si>
    <t>㜸〱敤㕣㜹㝣㕣搵㜵㥥㍢搲㍣改㡤㈵㙢扣㘰挰ㄸ㈳〷ㅢ㘲㘴㡢搹㈵㠵ㄸ㕢㤶攵㉤摥㘵挰㉤㡢㜸㌳昳挶ㅡ㍣㡢㍤㌳戲愵㉣㤸㌶㌴扦㈴㙤搸㘹〳㙤ㄲ愰㐹ㄳ愰㙣㑤戳搰㈶㈱㠹㘹㤳㔲㐲㤳㤰㈶㤰收搷㘶㙤〲㠱挶㤰愵㐹㑢攲㝥摦㜹敦捤扣㔹㈴搹慥昳慢晦攸㤳收捣扤攷㥥扢㝤昷摣㝢捦㕤摥㜸㤴挷攳㌹㠶㠷摦㝣㕡改㔸㌴㌲㔹㉡㥢戹摥愱㐲㌶㙢㈶换㤹㐲扥搴㍢㔸㉣ㅡ㤳㕢㌲愵㜲ぢ〴戴搱っ挲㑢扥搱㔲收捤㘶晢攸㐱戳㔸㠲㤰捦攳㘹㙦搷扤〸㙦户㍦〱挷愳㌳㤶摥㑡〲㈹㡦慥㤱戴㤱㔰㔴搷㐹晣㈰ㅤ戳㐰㜶て慤摤㥥戸づㄹ㡦㤴ぢ㐵㜳㐵昷攵㔶昲慢㐲愱摥㔰㙦戴㉦ㄴ敦つ慥攸ㅥㅡ捦㤶挷㡢收慡扣㌹㕥㉥ㅡ搹ㄵ摤㍢挶ㄳ搹㑣昲㑤收攴敥挲㍥㌳扦捡㑣〴㈳〹㈳摡ㅦ㡡挶㘲改㠱㠱晥㡥づ愴扣㙤㘸敤㡥愲㤹㉥㥤慡㌴㍢㤹收昶愱戵扤摢捣昲愹㑡㜳㌶搲㐴㤲敢ち㌹㈳㤳㍦㐵㠹晡〸㝦㘴㥤㤹捣戰㥤㑣戳㤸挹敦敤㐵戱㙢㠰㠶慦慦㜷㍤㄰㑦ㅡ愵昲㤰㤹捤敥㌲搳㙣愲㡥ㅣ㌱㌳㡢㘶㍥㘹㤶㘶攷㠶㈷㤲㘶搶づ㉥戵攷㉥㌷㡡摢㡣㥣搹㑡㐷㔷捥㙡户㑤㈹㌳㕦捥㤴㈷㍢㜳㤷㤵捣㕤㐶㝥慦㐹ㄱ㕦㙥挳㜸㈶搵摡慡㕡㕢㍤㉤ㄷ㌶㉢㡣戴㑤敦晡㘲㜲㘸捣㈸㤶挵挷㔶ぢ㌵㤳㜵㘹㠸ㄴ扣愶㔸搴愲敥扡㔸㙣愶㤱㑣敥㑤㘶㌱㙦㘶㤹〹ㅢ慦愷㑥㐸㌰戱愰慦㠰攳搴㠶つ愳㘶搹㕤㠳㔵㘱㉥㝡ㄷ㐹〰㐴㥢〳㌲㙦㘸㝢戸摢捣㘵㑡挴戹㍢㙤㈴愱挱晡㕣㡡捣〳㔱慤㉦愱慢搵㈷攱ㅤ㌵扣愳〹敦㘸搲㍢㥡昲㡥㥡摥搱戴㜷㜴慦㜷㜴捣㍢㥡昱㡥㕥攷ㅤ摤㠷㤸捥搳摥搶收戵㥦摥昰㥤㝢づ㝣㜲晦昰㐷摥㍥昹㑡晣搱挷㕡㝣散㕤戱㘶昵愹㠷㙡戰㔴ㅡ捦敤㘷户戶㥢㔱晡㘰㙥㕤愹扣挳㈸收㑡愷戶扤搱摡㌳㌵昸㘰㈹昷摢㙦㜰㘴㜲㑡ㅡ㕣㍢〳㌰㉦摡㔶㈸收㌰攸㙣㌵㡤晣慡㔰㕦㌰戸㘲愴㥣㕡㘷ㅥ㕣ㄵ敢敦ㅤ搰ㄷ㐰㐲㍦ㄳ㐴㍢ぢ㘴挱愶㝣愹㤰㌵〸㜷昷攷㍦搱㥤㉢愴挶戳㘶㜷㐸㍦㥢㔲ぢ㐱㤴晡〱戴㠲㥡昱捣攲㔷敦㕢昶攸换㐳㡦㤷摥㜲昵㌷户㍥户㕣㜱慣㘴戳㙡㡢㐰挲㕢ち㝢敤㝣㌷㤸〵挹㍡搸ㅢ㡡て挴㔷挰㙢攷ㅦ敡つ挶㔶㙣㈹㈴㈵扢㔵㐱晤㕣挴搳ㄷ㌳㠵昳㐰捥戵㌳㌷搳改㑣㌲㠳晥㍣㔹㔳愲㙥ち㉦〱㔱敡㕦敤ㄲ扤㜷搷㠷づ㝣㍡㍡戱攵㡥㘷收㍣昲愵㙦昵摥愷㌸㜰换㔸㝥㍥㠵㤷㠲㘸换㐰㕡㠷㜷慣摤慤㕦㐰摥㠵㈰㑡㍤㘷㈷昰挴㉦戶扥昳㈳㑦〷〶摦昳㥦㜳㥦㝢敤㘷摦昸㘳挵ㄱ㐵慡戴ㅣ㡥㘰戳㉡昵挵㙡㉡ㄴ㡥戸㉢㜴ㄱ戳攸〱搱㔶㠰㥣扢摦㉣愶搹ㄴㄸ㥡扡㡢慣㜴㑤㠵㔶㔲戸ㄷ㐴愹慦搸攵㔹㝢敥〷㌷㝦晤捥㈵㕢晦昴㌳ㅦ扡昵昶挱㡢㘷㉢敡扥㤴㈷〸挷捡挶昲搴ㄶ㈶㔴㠳㙥㠸改㠷㐱戴〸挸晣㙣㈶㙤㤶㌳㌹戳愶っ㔱捡挴㐰㤴㝡捡㉥挳户㝥㜰晢ㄷ㡦㠵挶摦昴挱搲㔹挳㜷㙣㜹㕦㔹㜱晡㤳㌲昴挱㜱㘹㘳ㄹ挲㤸昶〶愲愱㐸戰扦㍦ㄲ㠹㐷愲攱㠱ㅡ㠴㐲㈱㌷㐲晤捣㜰〰㐴㝢〳㐸ㄷ〷㈴户摡㕤挲攰㌷㠲㈸㜵挴㉥捦攳㡦㑤㙣敥挸㥥戳昱昱㙤改捦晤㜷敡捥㕢ㄴ㘷㘲㈹捦愵㜰㌴㈹㑦愴㉦摣ㅢ㡦㘲㙥㡤愳㔴攱晥㐸㝣扡昲慣㘶㠶㙢㐰戴㐱㤰ぢ昶ㄷ㌳㌹愳㌸搹㙤收捤攲摥挹敥㈴㙣ぢ㝢㌰慡㈹收㕡挶ㅡ〲㔱敡㔳㜶㌱昷晥换攳㕢昷扣㌸戴晥愱戵㘳㝦㌵晣挴㤱挱㡥㘱〴敦戴挷攳㜵㐵攳㄰㈶戵敡㝣ㄹ敥つ昲㙦㘶㐳〱㜶㐲㍡㤶敥㑢㠷㐲愹㔸搰㠸ㄸ㍥㡥攸挷㍢㍤捤㠷㙣㐷晡㡡㑣㍥㔵㌸㘴捤㔷改昵㤹㙣搹㉣㡡愷㉢㡤㉦㙢捥ㄵ㝦㘷㝡㜸〲挶㑡搲㥡摡收愷㠷捣㘲ㄹ㤳㝣㜹戲㍡晣㉤㕡㙢㤴捣慡户挷㑥㝢㙤㘱㍣㥦㉡㥤搳㍣㜰愴㙣㤴捤㠵昵㘱搵㐴ㅡ愲㡤挰〰㌰㑢㔲愴挵昵搱㉥㌷戲攳收攰㐴挶ち㍥户㉥ㄸ愶㐰㈱㌱㜵攸晡愲㜹愰ㄲ摡㔰愲㐱㤸㤲〷㈵敤㠶㕡㕡㐱㔶戹扡㠷挶ち㈵㌳㉦挵敢挹敤挸㈴昷㤹挵ㄱ㤳㠶愸㤹㤲慡㥥挱㈰摢ㅥ改搹㥥㐷㐵㘱㘱愴㕥攷收ㄲ㘸㌳㥦㌲㔳㈸㉦挶㠸昲攴㙥㈳㤱㌵ㄷ搴㠸㔸㜹㈲攰散ㅡ昶晡㐲㜲扣㌴㔴挸㤷㡢㠵㙣㙤挸㘰敡㈰〷㥡搴搶㐲捡㙣㤵挷㘳㔱攵㘹㘹㔱捡昳晡㘶㤳㉦搳㉥搱摣㜰㉢〹戴㘶㝡㘱㤷ㄲ搱〲㙡㙡愶㔴㔲㠶挳愵㘴㤴㕦㍥㙤㐹摣㑡㐸改攰戴搲㑤㤴㤴㤱捥慡敤㜸扤扢搰㍥㘸㠷慣挹㕥改㕤㍡㜵㤲㔵扤㥣愱愴慥㔶攱扡㠳搲搳㠰㈶挹㔶㜴敦户㉢散昵捥戳㙢㍦㝣㄰㤶敥㐶㈳㥦捡㥡挵㘹㔷㑤㡡㈵搲搷㤳㙣㈰搹㐸戲㠹㘴㌳㠸敦㘳ㄸ攳愶㐴㤴㐳戱㥡㔰㤳扥㐳㤹㔴㜹㑣ㅢ㌳㌳㝢挷捡攰㘱戵搵摥㑥戸㔷㐲㈲㡣㠵摢㤳㔸㙥㝤㥦ぢ㌸㝤ぢ挹㔶㤲㙤㈰㝥扦㐷摢㡥㙦㡦收搷㜷昰㙢㈷㤹㠲㔸昷敥挹晤愶㕦昹㘸挱㥥戸㥤捤攵㥤㉥㘶㍤搶㕤㈵㕦づ慢㠷㔲㑢㑢㌳㈰㌶ㅡ愵戱㌲晢攰戴㠱㘲㔱敦㘲愲㈳㈰ㅤ扢㐱戶㙤㌴戳攸挱愷㙡挹收愳㌱㍥攳搲㠰㐲ぢ㜲㈳㤳昹攴㔸戱㤰挷ㅡ㜷㥤㔱㌶〶㤳㔸晦㤴㤴愱攵戶ㄴ㠶挶换㕡㙥㘳〶㕦ㅤ戹㕤收㝥搳㈸て㘱㠴㉥㜷收戶㘰敤㈴㐳攸愶搴㠴㉦㘷㉤㝢搶㤹愵愴捥昵搱㈶㡣㐸ㄳㅡ㕣ㄸ㘲㍢㜲ㅣ㘳捣㠹㌲㤳㙥换挱昲㠶㈶改㄰敡㤱㔸㤶㡢㌱㍢㠵攷挴昶摢㍥愴㄰㄰愷㉢㤵㔹挲戰㔲㤲昹ㅢ㤳㈷慣戵㔶㥢搶㜷㥥换捡㤹㙣愹搷㠶户㜷㕤〱敢㘷㔳㔶昹㠴㕤搳愰㕢摡戴㡤㔵摦挷戹挰摡㥥㑣㔸挹愲㈸ㅢ㡡㠵昱晤戴戹㑦㔵㍡㑣换愳㕦〶昲㠱㔷ㅥ戸㘴搹晢ㅥ㌹㘶㝦ㅦ㐶敦㤱㐷攷ㅡ㑣愷慡搳㡢㉦㜹昴㍤昸昲㑦ㄷ收攳敡慣改㈰㍢挵㕡搰〷昹㡥ㅣ㙡扢扢㘸捡攲戶㕤㍣攸㑢㥤戹㉢ち挵㝤㠹㐲㘱ㅦㅢ㝦戶昸㑡㘳愶㔹㤶ㄵ愳扤㐰愶㕢㈹搵搲㔲戳ㄶ㜴㉤㉤戹搶搴慥〲改ㅣ捣㘶扢㥤ㄴ㑢摡搵㘰戵㘰㌲搱慥㠱㘳ㄱ㈶㈲慣㈵㐶㐳愳㕢搶㡥㙣ㅦ挵㉣㌰㤹捣㜲㘵㍦㤱㉤攵搴扤㐰㠰㡢㡡戱㉦㜶捤㔷㙤昷㙥扡敤愵扤㘳愳㉢ㄷ攷搴㍤㜶㐰挳〲㤲敢㤶㘹っ㥦㥡㘵ㅡ挷㡢ㅡ挳愷㘱㑡户收扢晦㌷㕣㑥㍢挳愵搶㘸戹㘸㠶㤹扡捥㙣㤹㜲㤲晡晦㘹扦搹㘶愹㌵敤ㅢ攸㉣敡晤攸㜶㥣收攱慥㝤昴㈴晣㝡㡡挴〴挱㘴㉤㈳ㄸ收敡扤㤶㔷㜱㉦㠱ㅤ㑥ㅦ㈳挹㠰昸戸㝢㌰晤㌴㠶敥捡㤵㑣㉢昷㜵㍡㜳敢捣戴㠱ㅤ㔳㤹㝡㤴昱㝦㌹㌳戵㘲㡦搹㌵㉤㑤㕦〹㤶ㅤ㤵搰敡つ摡摡捤㍣㙣㌱愶㌶㤸㜹㥡㌲愵㔳㌹攱㥣捡㠹㑢扦づ昵㜰ㅥ摦㥤㔰㠴攳慦ㄳ㑤扡戶㠳戴ㅡ㐶㐷㍤敤慣㈱㌹㍡㜷㤷ㅡ㈷扢㍣戸晥改挲ㄴ㌷㥤㌸攱改㥣㘰戴ㄲ㐸ぢ㤴㐵攷㤴愲晥搰㥥ㅣㅡ㘶㡤㜷摢〱つ㝢㔴摣㘲㤲ㅤ慦㐳㡣晦㑥㠸㌵搷昲㐹〴敢㙦㈶㜹ぢ㠸㑢换摦㘶㜹ㄵ户愹㐴换慦愷搰㘱㄰搵つ㈲晢㘴㌷挰攱㍣敡㌰昲㈰㠰〲挲㜹㘰㌷㠲㜰㈳戸㝥㝤㥡㌰戵〴ㄲㄵ㄰㜴㠲㘰〱㌰㡥㠴㥢㑥㥢㘵㍢愰㘱㑢㡣㍢㘱散㘹晡㝢㐸㙥㈲戹㤹攴ㄶ㤲㕢㐱㔴ㅥ㔱〹捡〸㑡ㅣ挷攷〸散收敦㐹改㙦愷捣ㅤ㈴㜷㠲戸㐰昹ㄳ昲挴㑣㔷㙡㈹摣〲捣㕤㘴摥つ愲戸搳㐶㈳搵愳晦㈹挸㤴收搰㌲㑡㌴㤸㐳敦〷搷慦㑦ㄳ愶戸㠷㔷〵㠷㐶㠷〵捥㤵㔳㠱昳扢㜶㐰挳㜶ㅦ昷敢㐴㍢㍥っ㠷摡㘳〳〱㜷敤愳摦て扦晥〰挹㠳㈰㉥㈰ㅥ戲扣㡡㝢㝥〲挲挳ㄴ㝡〴㐴慤〴ㄱ敤㜸ㄴづ攷㔱摢㤱㐷㐵㍢㔶㠰摤〸挰㕦㠳敢搷愷〹㔳扤㤰愸〲㔰搵㡥攱愹〰㔸㘷〷㌴散㉦㠶㤰㤲〰昰㘹㌸搴摡㈹〱㜸〲挱晡㘷㐹㍥〷攲〲攰㠸攵㔵㘱㝣ぢ〰㑦㔲攸敦㐰㔴ㄴ㐴〰昸㝢㌸㥣㐷つ戸〱㠸㠰摤〸挰㔳攰晡昵㘹挲ㄴ㜷㉣㥢〱㜰昱㔴〰昴摡〱つ㥢㥢摣㡦ㄴ〰㥥㠵㐳慤㤸ㄲ㠰㝦㐶戰晥㜵㤲㙦㠰戸〰㜸摥昲慡〱㝣ぢ〰摦愴搰扦㠰㈸㙥㘶ち〰摦㠲挳㜹搴昹㙥〰摥〰㜶㈳〰摦〶搷慦㑦ㄳ愶戸㐵摡っ㠰戳愷〲攰㉣㍢愰㘱㌷㜵㌵㔲ㄲ〰㕥㠰㐳㉤㤸ㄲ㠰ㅦ㈳㔸㝦㠹攴㘵㄰ㄷ〰㍦戱扣㙡つ扥〵㠰愳㜰攸慦㠰㈸㙥㤳ち〰慦挲攱㍣慡搳つ挰㈰搸㡤〰晣〲㕣扦㍥㑤㤸ㅡ㠲㐴㌳〰㕡愶〲挰㙢〷搴敦搳晡戸敢㔱扦昸㤴㠳戶捡づ㤶换挸㥣つ㘱㉤㝤㔹㍥㔳㉥捤㑡て㡥㤷ぢ敢㌳㘵㔸〱ㅤ㘹㄰㌸㈵捡㐲搹扡㜰㐵敡㐹㕦㥥㌱て㜱晥㍦慦㌱〸㘷㤰㐳攳愵㜲㐱搶搵㡢ㅢ挳搷ㄵ戶ㄵ捡敢㌲愵晤㔹㘳㜲㘹㤳㘰㉢攴㡡㌱㌳㡦摤挷㈲㌶㈱㘷ㄲ㉡散摦㙦愶㥡㤴㜱愴㌰㕥㑣㥡㥢搶㥤づ晢㤷捡摡㈰昰㘰つち㙢㑣㉤㥢㝡ㄵ攰挲扤〳㙤攳挵扡㔵㥤摣昶㤷㜶っ昱㍢昶㜶攳㐸㘲愵㜹攰攲㝤㔷㡣㜹㜴戱㘴㔰〰攸扢㑥戳㄰㙡敦攳〶搹昴晡攲摡ㅥ攵㤶㤱㍦㡤㌶戶㜸㥤昶晥㍢づ摤㌲㈹搳㙦晢戶㘶昲戳㙤攷昶昱㜲㑤㠸㌱㌱捦づ挱㑡㝢㝢ㅥ㝡㤰㌴㡡愹搳愱㠹㔰㌱㍣㔶晢㈸つ㝦㈷㠷扡㤵㡣挷㜳搴戹攳㜱昴㌰㝡扥搷挶㥡晢㤰㑤㌷㍥㉡㝤ㄳづ搷敥㜲ㄷ攴㍢〹㜷㠵摤㑥ㅦ㑦㈳愵ㄵ慣㜳挸搹㈲㘱㐲摢㜱て㈰㙢捥慢昵捡㈲㐴㑦て㈶㜰㉥㍡㕥㌶㘷㔷㕣搲敢昵昴㉥㤳挷愵〷捤㡥㡡㙢㐷戲㡣戳㤴㑡㝡㍣〵㌸㝤㕡〸㠸戴摡慤愴愴㥤戴㘹㤴户戶ㄲ散㔰㈷搹慡㘸扦戴㍣晦戱㕡摤㝤ㄷ㥦晢㔷㝢ㅣ㠷㥦㡦挷挷晤攵晡㔵㐶敤挰敢㍥ち㘰㑦㥡攷㥣㔰㔹挳㥤㡣㘴ㅤづ㡦扢昰㥤㘹ㄹ〴戱换挴扢〳㕤散㍡㔹摣捦㈹㘷㤲㐶㌶㍢㌹㍢扤㈹㥦捣㡥愷捣㉤㐶挲捣㍡〳㌸て㘸㑦㡦昶㤲摢㑤㔶㕢㑤㠳㡢つ捡㈶㕣㜱㜲づㅥ㑥㝡捣昳攸㉤㘸㈹㤹㝦㤱㠶㕦昷搹晤㙥㌳挰㍥攱㜳ㄷ㍦㈲捤慤㥥ㅡ捡捤ㅡっ㙤つ㉣㡥㘹摣㠸慥ㅣ摤㐸㡦㜳㠹㙤㈹攰㡥挰㍥㌳攵㘲㙤捣㔸慣搳愶㕦㐹㌳㘹㥡㜶戲戳捤㌷㝥㍥晣攵㥢ㄷ㕣戸愶晦昹㤷㥥扦㘲攱攰ㅡ愷户㜰㡥㘱攷搸〲㌰敢户戰㕤㥤㐳っ〱ㄹ〴㘹㜲㜵㜱〴戳慣㠸摤㤹㜲搶㥣㤵㤶㜰㜱户戳㑢㄰捤戶昴敥㌱㙣〷慦敢㑣㙦㈸㘶㔲搸㠹㌵㘹㤱攰㤸㤷户㤹戶㤸㝢㜱㈰戹愳㔰捡昰㈶㐸㘷㝡㜷搱挸㤷昶㜳搷㍦㌹㌹户挶㈷㡤攵㑢慦捤攴搱㠱慣㍣改敥㑡㡦㡣ㄵづ攱㑡摥㜸㉥扦挱搸㕦㍡㉤ㅡち摡㙣㍦㔶慦昲㉡慦㔷戵㝢摢㑦㜲慥㔲㘸㙥っ㐲ㅢ㌶㙥愸扦㐴㈵戹㜰〹搴㐲㘲㌷攱㔶戸愶改挷㙣㍤晢㤸㤸晤㤸㘵慤戹摢搴昴愰慡㜲捦㤱㘳戳摥㠶㐸ㅤ敤㈰㥢㌷㕣戶愹㝡戹攰㝦㜵ㄳ搱户つ㈹㑦㌳㐵㠸扡㔴㑥㌲捦㠰昰㙣㑢㠵挸愳㐶改愲〹昴搵慢愵㍦㉤㌲搴㔰捣慡ㄴ愷㜳㍤づ㥡㍡㌰㈰㘰㐸挶〱ㅤ挶攲搹㤶㠷㌶ㅦ㙥㌱㤵散戰愱㐲㉥㘷㔰攵愸慥㈳ㄸ捦捤㜶㌱挰㌱挲攸㘹㄰搱㑢㥢㘵㑣㠰㘵㑣〸ぢ搳㌴㙦㈷㠸㥢㘹ㄵ昶ㅡ挵㑣㜹㉣㤷㐹戶搳挳ㅢ〴愷㠵慥㘲戹搴ち㌰㥤㐷ㄴㄶ搶㙣晤〶愴㜵㝥㠵收敥挵〲㠳搰戱昹愱搱㕥㤹摢搵㐹ㅥ晤挲挲搵㘹晥敡㝥愴收攳戹㈹愶〳慢㈸㉥挳っㅣㄹ㥣搴づち㔰㝣ㄶ㈸ㅤ晣戴敥〲㤹昶㐸慥つ〲晥㉤〵㈳戵ㅥ㤷㑣ち挵㌶晢收㙣㍢㥡㤶㐳㑤㌱挰㘳搸㈱㕣㕦挰戵㠸㠳戰㡦㡢敤㘴㡣攰㠰戳㤵〷戸㥡搵㠶㌴㍡㍤㍥摦慣昶㘶㜹㙤㜲搲㕡㙡ㅦ㔷戹㉦〹㙦㙡㐸晦愵㥤晤㕣晦愲㕡㉤愰㝡〷敡愱㜷戲㑥㈳昰戲㍥㜵〲戳㈹搰〵攲扢っ㠱昵扤㘴捡㈳㑢㈶敥换昱㈸戵㍤挷敡挰っ搱㜰挰㡡㈳㔹㐰愲捤㙡攷㤱愶ㅥ㐰戲㕦㝡晡改㔵㜰㘳㉢ち挴挹㝦〹摣㝥㍦挱搳攷㌰晦戹捣摦㠰昷〴づ㐷㘸㍤改㤵㘵愸ㄸ挰搵㔵㘷㘷摡扤挸㥣㤷戶㔷㥢慥㌵㘵ㅤ㑦っ㉦昴昳搳㘸挵㠸晡〱㌶愷搷㥣散慣㉣㙡㑦ㅤ昷㝢㔴ㄲ〹㜲ㄶ昶㘸昳〰昸㍣敢㙥㘳㌷戰㈹ㄷ㌳㠹㜱㑥㤳っ昴㜰挰㙦㈵戱晢㐶ち㉥㡥晣晡㝣挴㔲㍣㌲攱㠰㡡㠴挵捡搲ㄷ戰昱㘶散㘰㝢ㄹ〳ㅦ晤㑣㈶㘲㝢ㄴ捦㔷ㅣ愵㘰ㄲ戶搶㥥〵〱晤㙣ち昲散愵㠹挰㐲ち㥣〳攲扢づ〲昵㈳㑡敤㘱〵搶搳㍡㠴㕡攵搶㌴て昸摢㜱㔶㉥㌷〳㝣搲晤㘶戹㑥昴㌵敢㌰扦ㅤ㜱攰捡㤵戴ㄱ㡣捤㘶捡㙦㘹ㄶ搵㥤㠳㠸搷摢㡡〱㑡慢㍦扡㙤挸㤶㐹㡣㤸㜲愰愲㍡㔱〴㙤ㄱ㈲㉦收ㅥぢ搲ㅦ㥤攲㥡敡㜶〸㘲㘳㠷㘳㤷㍣㔸愷㉦㐶㌴㡦㕦戱㜵ㅣ㉣㉥㈶挷敡㐱攷㈱㔴敦〶㔱㍣㄰㌰昰㜱户昹㈴扣㔶㥢㉦㠱挸〲捣て㜹戹㑡㍢㜳戳扦ㄹ㌱愵搹㕦挷戴㜹㠶㔰搳散㑢挱㥤戹搹㜹搶〰㐱㡦扥㡣㠹搸ㅥ挵〳〷愷㈶慥㘶扦〰〲晡㠵ㄴ㍣摣㕣攰昵ㄴ㔸㑥㠱ㅢ㈰挰愶搷㉥㠲㙦㤹〳改昴搷㙤㥢㈰扢〲戱㠱散㡤愰㑥㜹㔶㤲㘳㈱扢㤲搹昵㌲扢昷㠰挹㕤㌵敤㘲昸㕡㈷㑤愳攸搱㠳㡣㙢敦愴㠴攰㘶て扢〹慣つ昸㌸㡦㙢慡挱ㅥ〰慦っ㔱敡㘶〴㜳ㅦ㠰㠰㌸㔶昲㔴㙢㑡㜵ぢ攴戸慥昴攸ㄱ㠸㔷ㄷ㌶㌱㍢㌱ㅥ㜸㜰㜱昳搵㠱愷㤷晣㌴昰昱搵挷㥥晣敢㥦㕦戳昹改搵㑥挲捣㤲㤹摥づㄹ㔱〴㌹㠸㠰挷敡攸㉤㘱扡㉣ㄱ㥥㡢㐸㡢昷㈱㙤㜵㈷㝣㔶㡢㝢㜴㔶㕢ㅦ〰㤹戹挵㜹㤰〲㐱㡦晥〶㈶㘲㝢搴㕤㜰㌸〸挳㠹っ㘵㝡扡〴〲晡ㅢ㈹㜸㜷㜳㠱㔵ㄴ戸㤴〲㍣㜷攱ㄴ愵慦㠶慦㌲慢昰㘸挵㐹昷㍣戸敤㤶㕢挳㘸㠳㡣昶㘱㌰つ㝣摣㝤攲㝥㜸慤㍥戱ㄶ㈲㈷搲㈷ㅥ㐰㑣㐱㘸㠸㘹㍦〸㕦㑤㥦ㄸ〶㜷㘶㠴ㅥ㘲㘹昰搱搷㌳ㄱ摢愳ㅥ㠶挳愹㠹慢㑦㙣㠰㠰扥㤱㠲㡦㌴ㄷ搸㐴㠱捤ㄴ㜸ㄴ〲搲㈷摥〴㕦愵㑦攰㉥搷㌴㌷戶㥢昴㠹慤㠸㡤㍥挱㌳ㅢ愷㍣㉢挹戱晡挴㌶㘶户㥤搹昱㝣挵挰挷㡤散ㄳ昰㕡挸敥㠰挸㠹㈰晢㔹挴ㄴ㘴㜷㌲敤捦挱㔷㠳㉣㑦昲㘶㐶昶〸愲㐱搰愳敦㘶㈲戶㐷昱晣挶愹〹つ㔲㕢昷㉥㠳㠰㝥㌹〵㜹戶搳㐴攰ちち散愱〰㡦㝢〴搹摦㠱㙦㤱㌳摡㌴扤㝥摥〴搰㉢ㄱ〹㠰㍥攵捡㠵〷㐹㌶愰㔷㌱㤷慢㤹换戳㘰ㅡ昸戸〱晤㘷㜸㉤㐰慦㠱挸㠹〰捡㤳ㅤ〱㜴㤴㘹昳㠸愷〶㔰〳摣㤹〱㝤㥥愵挱㐷㑦㌰ㄱ摢愳扥〹㠷㠳㤷㑢㔵㤳㄰搰㔳ㄴ攴㔹㔱ㄳ〱㤳〲㘹ち昰昸㐸〰摤ぢ摦㤹づ愰昵㔷攷㥢㘰㤹㠱㍣戰晣戶㉢㠳㕥㜲㉣攵扣㡥ㄹ散㘳〶㉦㠰㘹攰攳挶昲挷昰㕡㔸㘶㈱㜲㈲㔸扥㠴㤸㠲㘵㡥㘹扦っ㕦つ㤶〵㜰㘷挶昲㈷㉣つ㍥晡㝥㈶㘲㝢搴㔱㌸㥡㐰㜵〰〲㝡㤱㠲㍣㜶㙡㈲㔰愲〰㤷搸敡㔵〸〸㤶攳昰昵㍡㔸ㅥ攷戵晦㈶㄰ㅦ㐲㌲㠰㤸〷㔶㑥扥㉥㠸㈷㤸敦㈴㠸㡦㜵㌸扥㘳っㅡ晡〱搷搹㤲摣ㅢ㤹㤳摥㌹㙥㘴昱搲摡㜶散㘹㤶挹㍡ㅤㄶ慤慤搶捥昲㡣愶㥤㔴攱捡慢㍢㔱戳㝡っ㙡捤㐰扢㙥㜲㑤收攴㜶㥥晤扥㜷晣收搸戱攳换㠵㑤㔷㝢㜱㠵搳慣㕦㝦ぢ〲㘸〴搰㝡愵㡣晥㔶㔲晢挱㑡扢〹搷搷〲敥㌴㥢㍤㜵㥢戶㑣㙦㕥㜵㘹捡㑤㠸㥥㉣㔶ㄶ挷戱攷昳㌶㘶捦㝤㕡愶㔱㕢戲㌶㠷㝢搸㜶㉣㠴㠸㡦㑢晡㝡㥢扦㘱ㄷ㐱㐶晡㌴昷ㄳ㐶捡㤳㔹散攱搰挹㌵㠰攵攲愲ㄵ愷㔵攰愱搰㠵㈲㌶慡㕢敢慦摡㔵攲づ㈳搳㔹昳敢敥摦㑢㌴㠶㜰扢挲㜷〳㥡㘸捡昸㄰㜰戵ち攳昰搱㝥て晣昹㕢㌳挹㘲愱㔴㐸㤷扢㐷戰㍦搹捤㌷㌲搲搸愹ㅥ昴㕤㡦ㄴ㥢收挹㡡戵收昹㝥攷㐱摥㔰昲敦换ㄷづ攵愵㌴扥ㄲ㕦㑣㘱㙥㝡㕢ㅢ戳昱攳㈳捦昹挰㌶挰慤つ㐶搶摦づ㐷㘷㑢㠰㝢〳㝣〲摣ㅦ㄰〷㌷〳挴搱㘵㍢扡戸㠴㘷㉡㥡ㄵ㜰敡㘸㠰ぢ㝦㉡愷㜶㈳ㅣ戳㠷搶㡥扡㜶て戵㍦〰慦〳㍣㔹愰敤挲ぢㅤ摡㍢挰㤹〳㑥敤ぢ慦〱敥ㅣ㠸㈵搹㠵愴攴戵㔰晤㕤㘰㈹㔹慡㤲昵㙥晡攰愰㤰攲㔲㤵捡愳挶〱㉥㥢っ㑣㡦昶㐷攰㑣搹づ慡〴㌱戶㐵㉤㤶㕣挵ち㤶㌷挱〱㉣戹㘲攵㔴愸摤っ挷戲愱戵㐳扢㐶攳㘶㜴㈰ㄴ㡡㈶㈲晤愱㐸㌴㥤散ㅢ㠸〶㐳愱扥晥㔴㌲㥤㡣愴晡㔲㈹敤㤶㡡㘸㉣㤶㡣㐴㤳㠹㘰㉡㤴㑥㐰㌴㤴〸㈶挲昱㔴㌲ㅣ㌷〶挲㘹愳㍦ㄶ攰㕡㤸挹敢户挲愱摦〶ㄲ攰ㄲ㔸㔸户㤳㜵〷㔹㕣㄰ぢ㡢〲㈲敡攳搲㜱挶挱捣㕥愷戲㍥㉡愱㤲㉡愵捣搶戶戶㠶㌳敡摡㠱つ㑢㔸ㄹ〴㌹〴㙡ㅡ愹㉦〳㤸愶ㅦ愷㥣㐸㈸㤵慢㐷㌰戲㌴攲㝢㔹敥扢㐰晣〱慥㙡㔹㈰敤㙥㌸收愲攱㜱㘳捥戹㤶㉤扤㤸㉡愲㔳㜷㜴慡㐶愰ㅢ㐴ㅡ攴ㅡ㐴㤲㤷㐱慤搷㐲敦〵㕦挹ち㤶晣晢攸戳㜳㔳㑢攱ㄲ㙤戸ㅡ攵㜶戴㐱愷㌶戰〳慡㉢㥢㌶晣㌲〴㑢㍥㝦〱〷ㅡ晥〲㝣㐹挳㝦ㄸづ慢攱㐳〳戱㜸㌰㌲㄰㡥㐵搱收搱㜸㌲㘱ㄸ㝤㝤㝤挹扥㝥搳ㅣ㐸挷挳㘱敤㈳ㄵ搱㘸㘲㈰摥ㅦ敡㌷㤲㌱戳㉦ㅡ敥㌳ㄳ㤱扥晥扥㘴㌴ㄲ㌴㘲晤㐶捡攸て㕣㘸㈷慦摦て㠷晥〰㐸㠰㡢㘰㘹攵〷挹晡㑢戲㤶㍢㉣ち㠸愸㕡〱ㄷㅢ㕦敤㐴㌵搸㌰㔲攸㐷ㄹ晥ㄸ㠸㍦挰挵慤昰〸戰㕥㠷㈶ㄷ扤㔵㌴ㄷㄳ扡㜳㐹ㅥ〷㕦〵㐱㠸愲㕦慤㐷扡㥣㥣搸㜸㝥晤㙦挹挳㈴ㄳ愲㄰愵㙢㈶㤹㜰㔳㉥搷戴㥣㘸昴㑦㌳㤸㙢㕡晣搷挵㤴搵㈸戹㑦搸挱㉢攰㔱〳昰㐸敢慤㐱〱㉡慤挷㌱㔵㕡敦㔲㜰ㅢ扢㉤搷愴㔲慦㈳㜰愰昵㉥ㄱ㜱㈰挸㌵㈸㥦〰ㄷ㥣攲攰愲㤳㑦搷㙡㌸㝥㍢㐳攰ㅡ愴㉣㝡㉦㙡㉣㑤㈰扡㍣攸昰捦㐷晥昲捥慦晥て㘰愹㈱ㄲ戲㥥戲ㅤ㡣慣㠶攱ㄱ㈰㘲㙥㈰㉡㙡ㅣ㘹ち挴㝡㐴ㄲ㈰㥥㠱〳㐰㙣挰㤷愸昱㍦挱㘱愹㜱〲㍦攴㄰挴愸㌴㤰㡡㈷愲攱㐸戴㍦㙥㐶㐲戱㤴㤹㐸〷愳〳㠹㘰㔲晢㜲㐵㌴ㅣ㑢㘱㕣㡢㐷捣㔴㌴ㅥ㑤挴攳〳〳㠹㘸㙡㈰ㄸ㑡っ〴晢㐲〳搱㔸㠰ぢ㔸搱搹慦挰愱㝦ㄵ㈴戰挹㘱㍤㑢搶搷挸摡散戰㈸愰㔳㔴㜱㌱㉡㙡扣ㅣ搵愸愸昱㜳っ㝦ㅥ挴ㅦ搸〶㍡愵ㅡ㙦㜷〲㘵㔰攸㈱㜴ㄷ㤱㝣〷㝣戵㤳㠴扥敦摡づ㐱㜳〴ㅥ㐱昳摣愶㘸㥥搳ㄴ捤摤㠸㈴㠵昸㜷㌸㠰㈶㤷㤶㠲收て攱戰搰㑣昶〷㠳昱㜸搰㑣㠶㡤㔰㌴ㅡ㐹昴〳捥㘰摣っ㈵㘲㝤㠹㐴摡㌰戴ㅦ㔵㐴㔳搱㔰慣㉦㘶〶愳戱挸㐰搴㠸㐷つ㌳㤵〲㡣㤱㌴攲挷㡤晥㔴㠰㡢㔶㐱昳〵㌸昴ㄷ㐱〲㕣慢ち敢挷㘴扤㐴搶ㅥ㠷㔵㤱㔲㔷㠲㈵㘸捥㜱愳㜹㤴㔱㕥〱昱〷戸ㄸ㥤ㄲ㑤㉥㔲㈵㔰搰っㄳ㍡㕥戶搴㝦〵扥ㅡ㈵愱敦扦㙣㠷愰㘹挰㈳㘸晡㥡愲搹搲ㄴ捤〴㈲㐹㍥扦㠱〳㘸㈶昱㈵㘸ㅥ㠳挳㐲㌳搲㘷〶㘳㌱㡥㥤㐹〳昸愴ㄳ攱㐸㌰㥣敡ぢ挷㤳㠶㤱㡡㠵㘲ㅡ㈳㔸愲㜱扥挰ㅤ㡢昴ㅢ㤸㑢愳晤挹㜴扦ㄹ敥ㅦ〰攲㈱㈳㙡㠶㐳搱㘰㈰㘵㈷慦㉢挴搱扤㈰〱搳㘱戵㤰搵㑡㔶摡㘱㔵愴㔴〶㉣㐱昳㔷扦㜶改㘶㍢愳昰㐷㔹晣㠱敢㈰㌰㈵㥡㕣愶㔶搱ㅣ㈰㜴扣戹愹捦㐱㔴㈵敢㑣晡收搲〷㠷愰㔹㠰㑢搰㝣ㄹㄹ㔶㠶扣㑡㑦晦㌱戸㡤㐳摥㝥㈷㥦〵㐸ち㘸ㅥ㠰ㅦ㉥㡦㜶㈶愸㡤㈶㜴慤慦㉦搴㍦㄰㑡昶㐱㌵攳㠹㐸㉡ㄵ㡡つ愴㈲改㍥㈳ㄴ㌳晡戵戳㉡愲攱㔰㌰㙣昴ㄹ愹㠱扥㜴㍡ち㈳㘵㈰㤱㠸㐷㘲㠹㈰㝥晤㈵㥣㡥挷晡〲㐵㍢㜹晤㙣挴搱ㄷ㠲〴㑡づ敢ㅣ戲ㄶ㤱㔵㜶㔸ㄵ㈹挵㘵愷愰昹ㅤ㌷㥡摤㡣戲〴挴ㅦ㤸㠰挰㤴㘸㑥㍡㠱愲㥢㙢〸摤㙡㤲攵㠸慡摥㠲㐰晣愳昳挳㐷㈴昹〹㌸戳㤳㤲昵〷㠳ㅤ㡥〴ㅦ㜶㔲㕣㠱㐸㥤㉤扥户挳㝦挹搴户昶㕣搶㙢て㤶㐶㌵敦㐲て攳摤收㐹愴攲㘹挱愱㥦㜵攸搰敡㝤挳挹愵㐵㥢慢〳㐹昱攳㝢ㄶ㔰晤㉦搲㈱㈶搵搵㈲㔳攴ㄶ慡摥㑢捣摥㠵挰敡㙤搴慢挹㈷戴敡ㄹ㘴搹昴扡晥㤷散㠰晡户摣〲敦㜶㠰㡣ち㤰㡡ㄶ㌳挱㔴晦㠸ㄸ慣㠱㘴ㅡ㐷愰敦㔶戰㥢㕥搲愹晦㐵ㄵ昷㡦捦㜰㘹㜲㐶㙥㔳〹换〴扣戶扡扢㌰㔸昹〱㥣㌹捥昲愱挷㜹㘵㜶㔹㤵攳摣㠶㜳愲㙤㉦㔶攲攱つ㔰㉣慣㄰搰挳ㄷ㙣捦愸晡㕣㈷㐵攷㔴戹㌸挸挱㠵㉣㌳攵愴㔸挲㍡扢搵摢愲敡て㔳攵戲㡢晤㝥㈳㑤㙥愶㠶㜷摥㌷愵㘶愳〶攷㌴㌹摤㕤㥢㈹换敤〸ㅥ㜵㉡㥤㉢ぢ慤㥦㌰慤㕡㍡扣㌴散晢〲愰㍢敥㉣㄰搷搵搴捣㤰㑡㡥ㅢ搹㙣敢摢㄰㑡攸㤵㝥ぢ昳㜸愳㤵挷搰搲戰㍡㠲㍣㤸て㌸㄰扥㤴挲户㐳挴㘱㈹㉥㍢攸㘱㘲㕤戴摥㝤㜰搴慤ㄵ㡦戲㈳昲㔹㈳搴搳㙥㝦〷搶㜴摤攵挴戸㕡㉤戹㙤搰昷敤挳昵㉦㔶㐸㡣㕢敥㕥ㄳ攱㔳摡扡㐶摤㡢ㄸ㔵戵㉣㈱摣㔲换捦愰㄰㑤搵昲搳㜶㐰晤㙢㌴〱㉥〵㘴㌸㔹㠷㕡㜵戶愸扦㠰㕦搴昲㙦ㄱ愳愲㤶敢㔹攵晢ㄱ㘴攱㐳㈳㕦摢〸㥥戴㐱㔴㝤〲戲㑥晤晤晡㘶ち㍦㔰ㄱ愶㤹慦㙤戱㠴㠷㤶㐶搵㐷㙤㘱㜰〰收㌶ち搳㠴慦㠰昹㤷戶㐷挰㝣ㄴ㥥攳〰㜳㤱つ㘶昷㥡慥挷敡㘳搴㠳㜹敦摥㡦扥㔸晡搸摦慤挶攱〹㥥愳慢搵攳㠸搱っ捣㠷㙤捣ㅡ摥㐹㝡挸づ㘸㜸㈵㠷愶㍦晥戱昱㡥㕡戱晣晣㈸戱改挹㜵〶㔶搶㍣昰〴〴〵昸换攱〵昰㐷攰ㄷ攰敦㐷敡ㄵ攰昷㄰㥥㝦㐰㔰戵㠰搵㐱攸㠳㔳ㄵ昰捦敤㠰晡搷㘲〲㑦㌹㤹㕥㘳㘵㑡戳㔷㌲扤搷㥤改戵捣昴㉢〸戲㕡㥢戶戰㤶〰㑦㕡㍢愲摥〷搹㙡㙢愷㈸㑣㑢搵ㄲ晥㌲㠵搳㤶昰搰搲㠸扡换ㄶ〶〷慤㍤㐶㘱㕡扡㤵搶愶挵敢㈴搶㐵㠳昶挴㕡晢昹晡ㄸ昵慤㡤㙣昱晣㘸昵挳ㅢ扥昳收昹て晦㜴戵愲搱㕢〵戳摡㜵敥戰㌱㙢㘸敤摢敤㠰晡㔷㙣〲㌴㤸愵〵昳愸ㄵ㕡㤰㔶慦㠰㜹㉢㘲㔴㕡㜰㍦慢晣〲㠲㉣㝣㘸ち㙢㐵昰〰收搰搲戸㝡㑦つ㍥㘵ち扦㔸ㄱ愶㌱慣ㅤ戴㠴㠷㈱晣㉥㕢㤸㙡攵搷㈷㈸㑣㐳户〲㈶つ摥ち㤸㐷攱㌹㌱㌰㕦愹㡦搱ㅣ捣昹昶㥤挶㔷㔷慢㕦㈱㐶㌳㌰㙦戴㌱㙢〰昳敤㜶㐰晤敢㍡〱摡换〲收昵愸ㄵ挰愴搱㉢㘰晥ㅥ㘲㔴挰扣㠱㔵愶改㘹㠱㐹㑢㔸晢㝤㜸〵捣㝥昵㌶ㅢㅦ㜰㠰捦㡤ㄴ愶㈱㙢〹㝢攰搲摥〱㈲㙡摣慦㈶㙤㘱ぢ捣㜷㔲㤸㜶㙥〵㑣摡扢ㄵ㌰㘹捥㥥ㄸ㤸戴㝤㙢㘲搴㠳戹昳搷㌷㕦㜵昸晡搸㥡㈳㍦㝦晤㔵㌷㝦晥㤵搵㡡㈶㙦㌳㌰换㌶㘶つ㘰㤶散㠰晡㔷㝦〲㌴㤷〵捣㥢攰〰㤸戴㜹〵捣〳㠸㔱〱昳ㄶ㜰ㄵ㉤㑦ぢㅦㅡ挲摡㙤㈰〲㘶㥦捡搹昸㠰〳㌰敦挰㤷愲ㅤ㙢〹搳ㄴ搶晥ㄸ㐴挰散㔳ㄹ㕢搸〲昳扤ㄴ愶㤹㕢〱㤳收㙥〵捣㙥挶㐳慡㌳捣㤰慥㐱㥤愶㙦㑤㡣㝡㌰摦昱攰慤㍤㍢㌷ㅦ慡㠲㐹㡢户ㄹ㤸㈹ㅢ戳〶㌰㤳㜶㐰晤㙢㐴〱㕡换〲收晢攱搰㍦㐰㜲て㠸摦㐷㡢㜸愶㥢㕡慥㥦㍣攲搶慣㉦捤㑤扢㔹㘹㡢㑤㈳㔶㕥ㄵ挹捡扥㜵〷慥㌶ㄶ昱愳㐳㕢㜰㠳ㄷㄷㅡ昱愳㠱昶㉥㉦㙥昶昲捥㡤㜳㜹㑥ㄷㅦ㈳㙢改敤㐵摣愶㙢㑢㙦㉡攱㥥㜰慡ㅤ㍦攷㔱挶㡦㐰攵㑦㠷㈳㈴㥣㈴戰〷攱戱敥㙥㌵摤挴ㅦ㐶㜰㔳攳㑤㙥㐰昷㔶昱㜰㉥挴㝢㜹㈳昲攴づ㤰戴㝢㔱㥣㉥㔸戲昲㐳㤳摤〷㘹摣㤶扣敡ㅡ戴扢㉣ㄷ㥦㝤散㠶㘳㔲㕥っㄴ晡㥦㐳㔶攷㑣换挱〶ㄴ㍤攰㐳㘴昱愰㔰㠸挷挷昵㐱㝤愵㜸㥣㐲㕢挹㔳昷㥢㌹戳㘶戱愶㈳㜷晤捤㥡㕦㐷慥ㅥ㔴㕣〲㔰㝢戴て㠳㌸ㄷ搰㔲慥ぢ㘸慤㙡㡦㔳㉣捦つ㥥㙡戱敥㠷扣扣㌴㉣㘶㠶ㄴ敢㐱戲慡挵㔲㜱昸㔹㌴攷㘹愵㙤㍢㥤㔹捤㉥摢㤶ㅢ㌵昸㐳慢敤戹搱慣㤹摦㕢ㅥ慢晣戸㉡づ㉤昱㡢㉣晡㐳㐸㠴㠹昲愳㘸〰㌳㔵晤㘱㄰㜲昸㔱敢㐰愵㔲㡦挰攱㍡㔶慥慤搷㡥愶昵㝡っ㔱敡敡昵㔱戲㕣昵㈲慣敥㝡㈹㥡㤹㔲㡡㡦挱㠱㝦慢ㄴ摢ㅣ敥挷㕤摣〰敤㌱改挳㥦㠰㐳晦㈴挹攳㈰㝥㜵㌹㈸ぢ慤㔳㌹扣㙡搸㈹㕤㡤㌲㝣㡡〲戵捡昰ㄹ戲㕣愵摢〳㍦㑢㔷㘹攲㙢攰ㄱ㌴㍥ぢ挷㤴㘸慣㜶昲慢㘹攵捦㈳㑡ㅤㅡ㑦㤲攵捡敦㕡昸㙢搰㐸㠱㈱㘸晣㍤ㅣ昸户搰愰扤㈵摣㉦戸戹㜹㜸愴㙣㕦㠴㘳捡戲昵㌵㉤摢㔳㠸㔲㔷戶愷挹㜲㤵㡤ㄶ㑦㑤搹㘸搵㐸㈹㥥㠱〳晦㔶搹㈶ㅣ敥㍦戹戹搷挳㈳㘵晢㌲ㅣ㔳㤶敤攲愶㘵晢㉡愲搴㤵敤㙢㘴戹捡㜶〳晣㌵㘵扢ㄱっ㈹摢搷攱挰扦㔵㌶㕡〳挲晤㠶㥢㝢ㄳ㍣㔲戶攷攰㤸戲㙣ㄷ㌶㉤摢㌷ㄱ愵慥㙣摦㈲换㔵㌶捥挷㌵㘵扢〳っ㈹挵扦挲㠱㝦慢㙣敦㜵戸晦收收扥ㅦㅥ㤹攲扢㤱㍤愷㜸扥㐸摣敥搵ㄴ㈷㉣〹㌸捦づ㔸㈵〱㑡摤攳〴㉣戶〳戸㐰搵扦〷慥㡦愳摦㜱て换戰挱㑥昶挸晢晢挸㐷㜱㕣㘵ㅡ晡て攰挰扦㔵㑢㡥㜴㌲〸晦㍢㠳㌹挸㠹捣て㙤〷㍤㕤ㅣ㤴攸㘸攷㄰搶昵戰摢愷㌸愲㐸晣ㅦ㤱捤挱㐴攲扦㘰㍢㈴㍥〷㡥㙡㝣づㄸㄵ㥦攲㐰㈱戰㉤愸挳昳㤳㑥挰ㄹ㜵㜸㜲㐰㤱ㄸ昳摤㜸扥捣㔴㌹㠰㐸㘱晥㠳扥捦㤰愰挴晡㑦攰挰扦㔵㘱㜶㝡㤱㌹捡㘰昶㜷㤱㜹挵㜶搰搳挵扥㕤㈹㘲ㄷ晢㜴挵愷搸㌱㈵晥慢㘴戳㑦㑡晣㥦摡づ㠹晦㡣敤戱〰㘳扦慢挶㘷攷㤱昸㍦㈳㥢晤㐶攲晦摣㜶㐸㝣昶㤱㑡㡣㉥昶㡤㡡㑦㔱挱㈵晥㉦挸愶㙥㑢晣晦戴ㅤㄲ㥦㝡㕣㠹搱㐵晤慤晡扥〷摦ㄵ〴㘳㐲㈵慦㑤㕤㝢敤㉦扢㕡扢ㄷ戶敥㔹搳㜱搷户㥦晡敥㙤㕦扢㙡搵て㕦晢戳㍦晢摡昷㙦㝢晡戵㑦㈵㔶㝤攱扥晢㥥摣晣㠱愷扦㍢㌷㝤㡦昷攳扦摣㜲捦㕢㐳晢摥㝡㈰㝤搹㐵ㅢ摥晡㍢搷敤っ敤㤸搳搳搲搲搶㜶攱扣㉦㥥昵晡挰つ〷㍥愹㍥昷晣㤹㜹㈵捡㐶搸㝦㠹㥣昰敦㤱晢㌸㔴㍡㤹ㄹ㝥〵㠷晥㕦㈰㥤㕥㈵㍡㐷㔱㘷挵づ户㈷㐰摤ㄳ搱搷㈸搵愲㐴戳ㅡ愴愸㘱㈲昵ㅢ㤱敡愲〲晣㔶敢㈵㍡挵㘲ㅣ㐳㑥昸户敡㐵摤㤲㘲㜰て㐲㔷㈰愸㤷愸㔶㐳㠹愹㘲㈲㡡搷㉦㔸㉦㔱愰〶㈹㉡㤲㐸昱㐷扤㈱㈵㙡搲㈰㐵㜵ㄱ愹㌶㑢㑡㤴愱㐱㡡㑡㈱㔲晣㝤㜶㙣挶戳㐵挴捦敢戰晡㉣㌲扤㡡つ㈲晤改㘷慦㔹㈳摡㕡愴搳㡥㥢挶㙣㈴〹昸愹ㅤ㄰㘰〶戳ㄱ㑢戱㘵㈴攸㤵扡㌸㙣っ〹㌸㕡ㅢ㄰㈰㘸㤲昵ㅣ㘶㍤搷捡㥡㤸㠹昴换戵搲昸改㌴㍢攰㈵㜷搶㘷㠰㡢㌷ㄴ散愰ㄷ敢攲㄰㉦㐹散㠵扡〰㐲㈴〱㍦慡ぢ㈰㉡ㄲ昰挳摡〰ㅦ攱㤹收摤挱慡戹摣㑥㐴㜲㝣㕦㤹㠶戳㍦㌷㥣ㅦ户㝥晥㑦换昱㙤扥晣ㅣ晢摡㔲㑦㐵㘶㙥㠵㔳㤱㥤㕤㘱㐹㥣戳慤㌷㜰昸㘳㡡ㄴ改愹㈶㝡㐶㝤㠸挸〳㔵〲敢㜹摤搴㍢晣㑥〱戹攷摥慥㡥㕢戰摤晡㜹慢㠵㐰㠳㡦搲㉢㉥昱㉡㉡㤰㘸搲㌹㜰㔰㐸改ㄵ㤷㜸ㄵ㤵㐵〶慢㐵㜰㈸㌶扤挸㥦换㔰㤱慦戸挴慢愸ㄷ㈲戱ㄸづち㈹扤攲ㄲ慦愲づ㐸㡡攷挱攱㘳㠱㡥愳㍡ㅣ晤㑥昲戶㔸㌷㜲㔰慣ㄵ戳搲㤷搰㈷㜵㐱㡡㤵㔱敢㑣ㄶ㤴㌵ㄱ㤹昳㈹挳㔲㡢㙦㈹㝤㉣㉢换㔰㠹戱㥣㌱㈴㘹㜲㉦㐰戰昳㈸挹㠲摣ぢ敤㐸㡣愸㈴㔱㜲㙢㘴㈵㜱㜲㤷扢㘴〳㡥㐸㠰㈹㐸㥦扢〸づ㜴㝦㑡㠹扦㐷晣㍥戲愷㔱㜳敢㕤㝦敡づ敦㈳㜴收慣户㔲攴㈰〲扦〵㉡晣慡㙥摡ち㍦㤷散㥥ㅡ㔱扦挵㈲敤戲㥣ㄵ捤㥦㘵〷戱慢㥣愸摡户愱㈶晣㘰㜵户㜸㝡捤户戴晥昸愴㙣㤵㕦〱㘴晣ㄸ戱愰㝦㔵愷昸ㄵ戱㈳㜰晡捡慡㑣搵㈹㌲㕤㡣挳㘶戳㌷㕥㡥慥敥愲㐴つ㘷搶晦〰㥥㝤㠱愴</t>
  </si>
  <si>
    <t>Energy consumption of electrode sputtering, kWh (0.389)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</si>
</sst>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
    <numFmt numFmtId="166" formatCode="0.000E+00"/>
    <numFmt numFmtId="167" formatCode="0.000"/>
    <numFmt numFmtId="168" formatCode="0.000%"/>
  </numFmts>
  <fonts count="19">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name val="Calibri"/>
      <family val="2"/>
      <scheme val="minor"/>
    </font>
    <font>
      <sz val="11"/>
      <name val="Calibri"/>
      <family val="2"/>
      <scheme val="minor"/>
    </font>
    <font>
      <sz val="11"/>
      <color rgb="FF9C0006"/>
      <name val="Calibri"/>
      <family val="2"/>
      <scheme val="minor"/>
    </font>
    <font>
      <sz val="9"/>
      <name val="Calibri"/>
      <family val="3"/>
      <charset val="134"/>
      <scheme val="minor"/>
    </font>
    <font>
      <sz val="11"/>
      <color theme="0"/>
      <name val="Calibri"/>
      <family val="2"/>
      <scheme val="minor"/>
    </font>
    <font>
      <sz val="11"/>
      <color rgb="FF3F3F76"/>
      <name val="Calibri"/>
      <family val="2"/>
      <scheme val="minor"/>
    </font>
    <font>
      <sz val="11"/>
      <name val="Calibri"/>
      <family val="2"/>
      <scheme val="minor"/>
    </font>
    <font>
      <sz val="11"/>
      <name val="Times New Roman"/>
      <family val="1"/>
    </font>
    <font>
      <sz val="11"/>
      <color rgb="FFFF0000"/>
      <name val="Times New Roman"/>
      <family val="1"/>
    </font>
    <font>
      <b/>
      <sz val="14"/>
      <color rgb="FF000000"/>
      <name val="Calibri"/>
      <family val="2"/>
    </font>
  </fonts>
  <fills count="14">
    <fill>
      <patternFill patternType="none"/>
    </fill>
    <fill>
      <patternFill patternType="gray125"/>
    </fill>
    <fill>
      <patternFill patternType="solid">
        <fgColor rgb="FF00FF00"/>
        <bgColor indexed="64"/>
      </patternFill>
    </fill>
    <fill>
      <patternFill patternType="solid">
        <fgColor rgb="FF00FFFF"/>
        <bgColor indexed="64"/>
      </patternFill>
    </fill>
    <fill>
      <patternFill patternType="solid">
        <fgColor rgb="FFFFC7CE"/>
        <bgColor indexed="64"/>
      </patternFill>
    </fill>
    <fill>
      <patternFill patternType="solid">
        <fgColor theme="4"/>
      </patternFill>
    </fill>
    <fill>
      <patternFill patternType="solid">
        <fgColor theme="5"/>
      </patternFill>
    </fill>
    <fill>
      <patternFill patternType="solid">
        <fgColor theme="7"/>
      </patternFill>
    </fill>
    <fill>
      <patternFill patternType="solid">
        <fgColor theme="8"/>
      </patternFill>
    </fill>
    <fill>
      <patternFill patternType="solid">
        <fgColor theme="9"/>
      </patternFill>
    </fill>
    <fill>
      <patternFill patternType="solid">
        <fgColor theme="9" tint="0.59999389629810485"/>
        <bgColor indexed="65"/>
      </patternFill>
    </fill>
    <fill>
      <patternFill patternType="solid">
        <fgColor rgb="FFFFCC99"/>
      </patternFill>
    </fill>
    <fill>
      <patternFill patternType="solid">
        <fgColor theme="7" tint="0.59999389629810485"/>
        <bgColor indexed="65"/>
      </patternFill>
    </fill>
    <fill>
      <patternFill patternType="solid">
        <fgColor theme="9" tint="0.79998168889431442"/>
        <bgColor indexed="65"/>
      </patternFill>
    </fill>
  </fills>
  <borders count="27">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1">
    <xf numFmtId="0" fontId="0" fillId="0" borderId="0"/>
    <xf numFmtId="0" fontId="11"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3" fillId="10" borderId="0" applyNumberFormat="0" applyBorder="0" applyAlignment="0" applyProtection="0"/>
    <xf numFmtId="0" fontId="14" fillId="11" borderId="11" applyNumberFormat="0" applyAlignment="0" applyProtection="0"/>
    <xf numFmtId="0" fontId="2" fillId="12" borderId="0" applyNumberFormat="0" applyBorder="0" applyAlignment="0" applyProtection="0"/>
    <xf numFmtId="0" fontId="2" fillId="13" borderId="0" applyNumberFormat="0" applyBorder="0" applyAlignment="0" applyProtection="0"/>
  </cellStyleXfs>
  <cellXfs count="147">
    <xf numFmtId="0" fontId="0" fillId="0" borderId="0" xfId="0"/>
    <xf numFmtId="166" fontId="0" fillId="0" borderId="0" xfId="0" applyNumberFormat="1" applyAlignment="1">
      <alignment horizontal="center"/>
    </xf>
    <xf numFmtId="0" fontId="7" fillId="0" borderId="0" xfId="0" applyFont="1" applyAlignment="1">
      <alignment horizontal="center"/>
    </xf>
    <xf numFmtId="166" fontId="10" fillId="0" borderId="0" xfId="0" applyNumberFormat="1" applyFont="1" applyAlignment="1">
      <alignment horizontal="center" vertical="center"/>
    </xf>
    <xf numFmtId="1" fontId="0" fillId="2" borderId="0" xfId="0" applyNumberFormat="1" applyFill="1"/>
    <xf numFmtId="9" fontId="0" fillId="2" borderId="0" xfId="0" applyNumberFormat="1" applyFill="1"/>
    <xf numFmtId="10" fontId="0" fillId="2" borderId="0" xfId="0" applyNumberFormat="1" applyFill="1"/>
    <xf numFmtId="2" fontId="0" fillId="0" borderId="0" xfId="0" applyNumberFormat="1"/>
    <xf numFmtId="0" fontId="0" fillId="3" borderId="0" xfId="0" applyFill="1"/>
    <xf numFmtId="10" fontId="0" fillId="0" borderId="0" xfId="0" applyNumberFormat="1"/>
    <xf numFmtId="0" fontId="8" fillId="0" borderId="0" xfId="0" applyFont="1"/>
    <xf numFmtId="164" fontId="0" fillId="0" borderId="0" xfId="0" applyNumberFormat="1"/>
    <xf numFmtId="166" fontId="0" fillId="0" borderId="0" xfId="0" applyNumberFormat="1" applyAlignment="1">
      <alignment horizontal="center" vertical="center"/>
    </xf>
    <xf numFmtId="166" fontId="7" fillId="0" borderId="0" xfId="0" applyNumberFormat="1" applyFont="1" applyAlignment="1">
      <alignment horizontal="center" vertical="center"/>
    </xf>
    <xf numFmtId="166" fontId="0" fillId="0" borderId="0" xfId="0" applyNumberFormat="1"/>
    <xf numFmtId="165" fontId="0" fillId="0" borderId="0" xfId="0" applyNumberFormat="1"/>
    <xf numFmtId="0" fontId="0" fillId="0" borderId="0" xfId="0" applyAlignment="1">
      <alignment horizontal="center" vertical="center" wrapText="1"/>
    </xf>
    <xf numFmtId="0" fontId="0" fillId="0" borderId="0" xfId="0" applyAlignment="1">
      <alignment horizontal="center" vertical="center"/>
    </xf>
    <xf numFmtId="165" fontId="0" fillId="0" borderId="0" xfId="0" applyNumberFormat="1" applyAlignment="1">
      <alignment horizontal="center" vertical="center"/>
    </xf>
    <xf numFmtId="0" fontId="0" fillId="0" borderId="0" xfId="0" quotePrefix="1"/>
    <xf numFmtId="165" fontId="0" fillId="2" borderId="0" xfId="0" applyNumberFormat="1" applyFill="1"/>
    <xf numFmtId="9" fontId="0" fillId="0" borderId="0" xfId="0" applyNumberFormat="1"/>
    <xf numFmtId="167" fontId="0" fillId="0" borderId="0" xfId="0" applyNumberFormat="1" applyAlignment="1">
      <alignment horizontal="center"/>
    </xf>
    <xf numFmtId="168" fontId="0" fillId="0" borderId="0" xfId="0" applyNumberFormat="1"/>
    <xf numFmtId="0" fontId="6" fillId="0" borderId="0" xfId="0" applyFont="1"/>
    <xf numFmtId="0" fontId="5" fillId="0" borderId="0" xfId="0" applyFont="1"/>
    <xf numFmtId="10" fontId="0" fillId="0" borderId="0" xfId="0" applyNumberFormat="1" applyAlignment="1">
      <alignment horizontal="center" vertical="center"/>
    </xf>
    <xf numFmtId="0" fontId="4" fillId="0" borderId="0" xfId="0" applyFont="1"/>
    <xf numFmtId="0" fontId="0" fillId="0" borderId="0" xfId="0" applyAlignment="1">
      <alignment horizontal="center"/>
    </xf>
    <xf numFmtId="166" fontId="13" fillId="5" borderId="0" xfId="2" applyNumberFormat="1"/>
    <xf numFmtId="166" fontId="13" fillId="5" borderId="0" xfId="2" applyNumberFormat="1" applyAlignment="1">
      <alignment horizontal="center" vertical="center"/>
    </xf>
    <xf numFmtId="0" fontId="13" fillId="5" borderId="0" xfId="2" applyAlignment="1">
      <alignment horizontal="center"/>
    </xf>
    <xf numFmtId="0" fontId="13" fillId="6" borderId="0" xfId="3"/>
    <xf numFmtId="0" fontId="13" fillId="8" borderId="0" xfId="5"/>
    <xf numFmtId="0" fontId="13" fillId="5" borderId="0" xfId="2"/>
    <xf numFmtId="0" fontId="11" fillId="0" borderId="0" xfId="1" applyFill="1"/>
    <xf numFmtId="167" fontId="13" fillId="9" borderId="2" xfId="6" applyNumberFormat="1" applyBorder="1"/>
    <xf numFmtId="9" fontId="13" fillId="9" borderId="2" xfId="6" applyNumberFormat="1" applyBorder="1"/>
    <xf numFmtId="0" fontId="13" fillId="7" borderId="2" xfId="4" applyBorder="1"/>
    <xf numFmtId="9" fontId="13" fillId="7" borderId="2" xfId="4" applyNumberFormat="1" applyBorder="1"/>
    <xf numFmtId="167" fontId="13" fillId="6" borderId="2" xfId="3" applyNumberFormat="1" applyBorder="1"/>
    <xf numFmtId="0" fontId="13" fillId="5" borderId="1" xfId="2" applyBorder="1"/>
    <xf numFmtId="0" fontId="13" fillId="9" borderId="0" xfId="6"/>
    <xf numFmtId="166" fontId="0" fillId="0" borderId="3" xfId="0" applyNumberFormat="1" applyBorder="1" applyAlignment="1">
      <alignment horizontal="center" vertical="center"/>
    </xf>
    <xf numFmtId="166" fontId="0" fillId="0" borderId="4" xfId="0" applyNumberFormat="1" applyBorder="1" applyAlignment="1">
      <alignment horizontal="center" vertical="center"/>
    </xf>
    <xf numFmtId="166" fontId="0" fillId="0" borderId="5" xfId="0" applyNumberFormat="1" applyBorder="1" applyAlignment="1">
      <alignment horizontal="center"/>
    </xf>
    <xf numFmtId="166" fontId="13" fillId="6" borderId="6" xfId="3" applyNumberFormat="1" applyBorder="1" applyAlignment="1">
      <alignment horizontal="center" vertical="center"/>
    </xf>
    <xf numFmtId="166" fontId="13" fillId="6" borderId="7" xfId="3" applyNumberFormat="1" applyBorder="1" applyAlignment="1">
      <alignment horizontal="center" vertical="center"/>
    </xf>
    <xf numFmtId="3" fontId="13" fillId="6" borderId="7" xfId="3" applyNumberFormat="1" applyBorder="1" applyAlignment="1">
      <alignment horizontal="center" vertical="center"/>
    </xf>
    <xf numFmtId="167" fontId="13" fillId="6" borderId="7" xfId="3" applyNumberFormat="1" applyBorder="1" applyAlignment="1">
      <alignment horizontal="center" vertical="center"/>
    </xf>
    <xf numFmtId="167" fontId="13" fillId="6" borderId="8" xfId="3" applyNumberFormat="1" applyBorder="1" applyAlignment="1">
      <alignment horizontal="center"/>
    </xf>
    <xf numFmtId="3" fontId="0" fillId="0" borderId="4" xfId="0" applyNumberFormat="1" applyBorder="1" applyAlignment="1">
      <alignment horizontal="center" vertical="center"/>
    </xf>
    <xf numFmtId="167" fontId="0" fillId="0" borderId="4" xfId="0" applyNumberFormat="1" applyBorder="1" applyAlignment="1">
      <alignment horizontal="center" vertical="center"/>
    </xf>
    <xf numFmtId="167" fontId="0" fillId="0" borderId="5" xfId="0" applyNumberFormat="1" applyBorder="1" applyAlignment="1">
      <alignment horizontal="center"/>
    </xf>
    <xf numFmtId="166" fontId="7" fillId="0" borderId="6" xfId="0" applyNumberFormat="1" applyFont="1" applyBorder="1" applyAlignment="1">
      <alignment horizontal="center" vertical="center"/>
    </xf>
    <xf numFmtId="166" fontId="0" fillId="0" borderId="7" xfId="0" applyNumberFormat="1" applyBorder="1" applyAlignment="1">
      <alignment horizontal="center" vertical="center"/>
    </xf>
    <xf numFmtId="3" fontId="0" fillId="0" borderId="7" xfId="0" applyNumberFormat="1" applyBorder="1" applyAlignment="1">
      <alignment horizontal="center" vertical="center"/>
    </xf>
    <xf numFmtId="167" fontId="0" fillId="0" borderId="7" xfId="0" applyNumberFormat="1" applyBorder="1" applyAlignment="1">
      <alignment horizontal="center" vertical="center"/>
    </xf>
    <xf numFmtId="167" fontId="0" fillId="0" borderId="8" xfId="0" applyNumberFormat="1" applyBorder="1" applyAlignment="1">
      <alignment horizontal="center"/>
    </xf>
    <xf numFmtId="166" fontId="13" fillId="8" borderId="9" xfId="5" applyNumberFormat="1" applyBorder="1" applyAlignment="1">
      <alignment horizontal="center" vertical="center"/>
    </xf>
    <xf numFmtId="166" fontId="13" fillId="8" borderId="0" xfId="5" applyNumberFormat="1" applyBorder="1" applyAlignment="1">
      <alignment horizontal="center"/>
    </xf>
    <xf numFmtId="3" fontId="13" fillId="8" borderId="0" xfId="5" applyNumberFormat="1" applyBorder="1" applyAlignment="1">
      <alignment horizontal="center" vertical="center"/>
    </xf>
    <xf numFmtId="167" fontId="13" fillId="8" borderId="0" xfId="5" applyNumberFormat="1" applyBorder="1" applyAlignment="1">
      <alignment horizontal="center" vertical="center"/>
    </xf>
    <xf numFmtId="167" fontId="13" fillId="8" borderId="10" xfId="5" applyNumberFormat="1" applyBorder="1" applyAlignment="1">
      <alignment horizontal="center"/>
    </xf>
    <xf numFmtId="166" fontId="0" fillId="0" borderId="7" xfId="0" applyNumberFormat="1" applyBorder="1" applyAlignment="1">
      <alignment horizontal="center"/>
    </xf>
    <xf numFmtId="166" fontId="0" fillId="0" borderId="4" xfId="0" applyNumberFormat="1" applyBorder="1" applyAlignment="1">
      <alignment horizontal="center"/>
    </xf>
    <xf numFmtId="166" fontId="13" fillId="8" borderId="6" xfId="5" applyNumberFormat="1" applyBorder="1" applyAlignment="1">
      <alignment horizontal="center" vertical="center"/>
    </xf>
    <xf numFmtId="166" fontId="13" fillId="8" borderId="7" xfId="5" applyNumberFormat="1" applyBorder="1" applyAlignment="1">
      <alignment horizontal="center"/>
    </xf>
    <xf numFmtId="3" fontId="13" fillId="8" borderId="7" xfId="5" applyNumberFormat="1" applyBorder="1" applyAlignment="1">
      <alignment horizontal="center" vertical="center"/>
    </xf>
    <xf numFmtId="167" fontId="13" fillId="8" borderId="7" xfId="5" applyNumberFormat="1" applyBorder="1" applyAlignment="1">
      <alignment horizontal="center" vertical="center"/>
    </xf>
    <xf numFmtId="167" fontId="13" fillId="8" borderId="8" xfId="5" applyNumberFormat="1" applyBorder="1" applyAlignment="1">
      <alignment horizontal="center"/>
    </xf>
    <xf numFmtId="166" fontId="8" fillId="0" borderId="3" xfId="0" applyNumberFormat="1" applyFont="1" applyBorder="1" applyAlignment="1">
      <alignment horizontal="center" vertical="center"/>
    </xf>
    <xf numFmtId="166" fontId="9" fillId="0" borderId="3" xfId="0" applyNumberFormat="1" applyFont="1" applyBorder="1" applyAlignment="1">
      <alignment horizontal="center" vertical="center"/>
    </xf>
    <xf numFmtId="0" fontId="13" fillId="7" borderId="0" xfId="4"/>
    <xf numFmtId="0" fontId="0" fillId="0" borderId="0" xfId="0" applyAlignment="1">
      <alignment horizontal="center" vertical="center"/>
    </xf>
    <xf numFmtId="3" fontId="0" fillId="0" borderId="0" xfId="0" applyNumberFormat="1" applyBorder="1" applyAlignment="1">
      <alignment horizontal="center" vertical="center"/>
    </xf>
    <xf numFmtId="0" fontId="0" fillId="0" borderId="0" xfId="0" applyAlignment="1">
      <alignment horizontal="center" vertical="center"/>
    </xf>
    <xf numFmtId="0" fontId="9" fillId="0" borderId="0" xfId="0" applyFont="1" applyFill="1" applyAlignment="1">
      <alignment horizontal="center" vertical="center" wrapText="1"/>
    </xf>
    <xf numFmtId="166" fontId="9" fillId="0" borderId="0" xfId="0" applyNumberFormat="1" applyFont="1" applyFill="1" applyAlignment="1">
      <alignment horizontal="center" vertical="center" wrapText="1"/>
    </xf>
    <xf numFmtId="0" fontId="9" fillId="0" borderId="0" xfId="0" applyFont="1" applyFill="1" applyAlignment="1">
      <alignment horizontal="center" vertical="center"/>
    </xf>
    <xf numFmtId="0" fontId="15" fillId="0" borderId="0" xfId="0" applyFont="1" applyFill="1" applyAlignment="1">
      <alignment horizontal="center" vertical="center"/>
    </xf>
    <xf numFmtId="166" fontId="15" fillId="0" borderId="0" xfId="0" applyNumberFormat="1" applyFont="1" applyFill="1" applyAlignment="1">
      <alignment horizontal="center" vertical="center"/>
    </xf>
    <xf numFmtId="0" fontId="10" fillId="0" borderId="0" xfId="2" applyFont="1" applyFill="1" applyAlignment="1">
      <alignment horizontal="center" vertical="center"/>
    </xf>
    <xf numFmtId="166" fontId="10" fillId="0" borderId="0" xfId="2" applyNumberFormat="1" applyFont="1" applyFill="1" applyAlignment="1">
      <alignment horizontal="left"/>
    </xf>
    <xf numFmtId="166" fontId="10" fillId="0" borderId="0" xfId="2" applyNumberFormat="1" applyFont="1" applyFill="1" applyAlignment="1">
      <alignment horizontal="left" vertical="center"/>
    </xf>
    <xf numFmtId="0" fontId="10" fillId="0" borderId="0" xfId="2" applyFont="1" applyFill="1" applyAlignment="1">
      <alignment horizontal="left"/>
    </xf>
    <xf numFmtId="0" fontId="10" fillId="0" borderId="0" xfId="0" applyFont="1" applyFill="1" applyAlignment="1">
      <alignment horizontal="center" vertical="center"/>
    </xf>
    <xf numFmtId="0" fontId="10" fillId="0" borderId="0" xfId="6" applyFont="1" applyFill="1" applyAlignment="1">
      <alignment horizontal="center" vertical="center"/>
    </xf>
    <xf numFmtId="166" fontId="10" fillId="0" borderId="0" xfId="6" applyNumberFormat="1" applyFont="1" applyFill="1" applyAlignment="1">
      <alignment horizontal="center" vertical="center"/>
    </xf>
    <xf numFmtId="0" fontId="10" fillId="0" borderId="0" xfId="7" applyFont="1" applyFill="1" applyAlignment="1">
      <alignment horizontal="center" vertical="center"/>
    </xf>
    <xf numFmtId="166" fontId="10" fillId="0" borderId="0" xfId="7" applyNumberFormat="1" applyFont="1" applyFill="1" applyAlignment="1">
      <alignment horizontal="center" vertical="center"/>
    </xf>
    <xf numFmtId="0" fontId="15" fillId="0" borderId="0" xfId="0" applyFont="1" applyFill="1" applyAlignment="1">
      <alignment horizontal="center" vertical="center" wrapText="1"/>
    </xf>
    <xf numFmtId="0" fontId="10" fillId="0" borderId="0" xfId="5" applyFont="1" applyFill="1" applyAlignment="1">
      <alignment horizontal="center" vertical="center"/>
    </xf>
    <xf numFmtId="166" fontId="10" fillId="0" borderId="0" xfId="5" applyNumberFormat="1" applyFont="1" applyFill="1" applyAlignment="1">
      <alignment horizontal="center" vertical="center"/>
    </xf>
    <xf numFmtId="2" fontId="10" fillId="0" borderId="0" xfId="5" applyNumberFormat="1" applyFont="1" applyFill="1" applyAlignment="1">
      <alignment horizontal="center" vertical="center"/>
    </xf>
    <xf numFmtId="0" fontId="10" fillId="0" borderId="0" xfId="3" applyFont="1" applyFill="1" applyAlignment="1">
      <alignment horizontal="center" vertical="center"/>
    </xf>
    <xf numFmtId="166" fontId="10" fillId="0" borderId="0" xfId="3" applyNumberFormat="1" applyFont="1" applyFill="1" applyAlignment="1">
      <alignment horizontal="center" vertical="center"/>
    </xf>
    <xf numFmtId="166" fontId="10" fillId="0" borderId="0" xfId="0" applyNumberFormat="1" applyFont="1" applyFill="1" applyAlignment="1">
      <alignment horizontal="center" vertical="center"/>
    </xf>
    <xf numFmtId="167" fontId="15" fillId="0" borderId="0" xfId="0" applyNumberFormat="1" applyFont="1" applyFill="1" applyAlignment="1">
      <alignment horizontal="center" vertical="center"/>
    </xf>
    <xf numFmtId="165" fontId="15" fillId="0" borderId="0" xfId="0" applyNumberFormat="1" applyFont="1" applyFill="1" applyAlignment="1">
      <alignment horizontal="center" vertical="center"/>
    </xf>
    <xf numFmtId="9" fontId="0" fillId="0" borderId="0" xfId="0" applyNumberFormat="1" applyAlignment="1">
      <alignment horizontal="center" vertical="center"/>
    </xf>
    <xf numFmtId="9" fontId="15" fillId="0" borderId="0" xfId="0" applyNumberFormat="1" applyFont="1" applyFill="1" applyAlignment="1">
      <alignment horizontal="center" vertical="center"/>
    </xf>
    <xf numFmtId="9" fontId="14" fillId="11" borderId="2" xfId="8" applyNumberFormat="1" applyBorder="1" applyAlignment="1">
      <alignment horizontal="center" vertical="center"/>
    </xf>
    <xf numFmtId="9" fontId="14" fillId="11" borderId="18" xfId="8" applyNumberFormat="1" applyBorder="1" applyAlignment="1">
      <alignment horizontal="center" vertical="center"/>
    </xf>
    <xf numFmtId="9" fontId="14" fillId="11" borderId="20" xfId="8" applyNumberFormat="1" applyBorder="1" applyAlignment="1">
      <alignment horizontal="center" vertical="center"/>
    </xf>
    <xf numFmtId="0" fontId="2" fillId="0" borderId="0" xfId="0" applyFont="1"/>
    <xf numFmtId="0" fontId="13" fillId="5" borderId="14" xfId="2" applyBorder="1"/>
    <xf numFmtId="0" fontId="13" fillId="5" borderId="15" xfId="2" applyBorder="1"/>
    <xf numFmtId="0" fontId="0" fillId="0" borderId="14" xfId="0" applyBorder="1"/>
    <xf numFmtId="0" fontId="0" fillId="0" borderId="15" xfId="0" applyBorder="1"/>
    <xf numFmtId="0" fontId="13" fillId="6" borderId="14" xfId="3" applyBorder="1"/>
    <xf numFmtId="0" fontId="13" fillId="6" borderId="15" xfId="3" applyBorder="1"/>
    <xf numFmtId="0" fontId="13" fillId="8" borderId="16" xfId="5" applyBorder="1"/>
    <xf numFmtId="0" fontId="13" fillId="8" borderId="17" xfId="5" applyBorder="1"/>
    <xf numFmtId="0" fontId="8" fillId="0" borderId="22" xfId="0" applyFont="1" applyBorder="1" applyAlignment="1">
      <alignment horizontal="center" vertical="center"/>
    </xf>
    <xf numFmtId="0" fontId="8" fillId="0" borderId="23" xfId="0" applyFont="1" applyBorder="1" applyAlignment="1">
      <alignment horizontal="center" vertical="center"/>
    </xf>
    <xf numFmtId="0" fontId="8" fillId="0" borderId="24" xfId="0" applyFont="1" applyBorder="1" applyAlignment="1">
      <alignment horizontal="center" vertical="center"/>
    </xf>
    <xf numFmtId="9" fontId="13" fillId="6" borderId="2" xfId="3" applyNumberFormat="1" applyBorder="1"/>
    <xf numFmtId="0" fontId="13" fillId="8" borderId="25" xfId="5" applyNumberFormat="1" applyBorder="1"/>
    <xf numFmtId="0" fontId="13" fillId="8" borderId="26" xfId="5" applyNumberFormat="1" applyBorder="1"/>
    <xf numFmtId="0" fontId="0" fillId="0" borderId="0" xfId="0" applyBorder="1"/>
    <xf numFmtId="0" fontId="2" fillId="0" borderId="0" xfId="0" applyFont="1" applyBorder="1"/>
    <xf numFmtId="9" fontId="0" fillId="0" borderId="0" xfId="0" applyNumberFormat="1" applyBorder="1"/>
    <xf numFmtId="0" fontId="2" fillId="13" borderId="21" xfId="10" applyBorder="1" applyAlignment="1">
      <alignment horizontal="center" vertical="center"/>
    </xf>
    <xf numFmtId="0" fontId="2" fillId="13" borderId="15" xfId="10" applyBorder="1" applyAlignment="1">
      <alignment horizontal="center" vertical="center"/>
    </xf>
    <xf numFmtId="0" fontId="2" fillId="13" borderId="19" xfId="10" applyBorder="1" applyAlignment="1">
      <alignment horizontal="center" vertical="center"/>
    </xf>
    <xf numFmtId="0" fontId="2" fillId="13" borderId="14" xfId="10" applyBorder="1" applyAlignment="1">
      <alignment horizontal="center" vertical="center"/>
    </xf>
    <xf numFmtId="0" fontId="2" fillId="13" borderId="16" xfId="10" applyBorder="1" applyAlignment="1">
      <alignment horizontal="center" vertical="center"/>
    </xf>
    <xf numFmtId="0" fontId="2" fillId="13" borderId="17" xfId="10" applyBorder="1" applyAlignment="1">
      <alignment horizontal="center" vertical="center"/>
    </xf>
    <xf numFmtId="0" fontId="2" fillId="12" borderId="14" xfId="9" applyBorder="1" applyAlignment="1">
      <alignment horizontal="center" vertical="center"/>
    </xf>
    <xf numFmtId="0" fontId="2" fillId="12" borderId="15" xfId="9" applyBorder="1" applyAlignment="1">
      <alignment horizontal="center" vertical="center"/>
    </xf>
    <xf numFmtId="166" fontId="10" fillId="0" borderId="0" xfId="5" applyNumberFormat="1" applyFont="1" applyFill="1" applyAlignment="1">
      <alignment horizontal="center" vertical="center"/>
    </xf>
    <xf numFmtId="0" fontId="13" fillId="8" borderId="0" xfId="5" applyAlignment="1">
      <alignment horizontal="center" vertical="center"/>
    </xf>
    <xf numFmtId="166" fontId="13" fillId="8" borderId="0" xfId="5" applyNumberFormat="1" applyAlignment="1">
      <alignment horizontal="center" vertical="center"/>
    </xf>
    <xf numFmtId="0" fontId="1" fillId="0" borderId="0" xfId="0" applyFont="1"/>
    <xf numFmtId="0" fontId="9" fillId="0" borderId="0" xfId="0" applyFont="1" applyFill="1" applyAlignment="1">
      <alignment horizontal="center" vertical="center" wrapText="1"/>
    </xf>
    <xf numFmtId="0" fontId="10" fillId="0" borderId="0" xfId="5" applyFont="1" applyFill="1" applyAlignment="1">
      <alignment horizontal="center" vertical="center"/>
    </xf>
    <xf numFmtId="166" fontId="10" fillId="0" borderId="0" xfId="5" applyNumberFormat="1" applyFont="1" applyFill="1" applyAlignment="1">
      <alignment horizontal="center" vertical="center"/>
    </xf>
    <xf numFmtId="0" fontId="15" fillId="0" borderId="0" xfId="0" applyFont="1" applyFill="1" applyAlignment="1">
      <alignment horizontal="center" vertical="center"/>
    </xf>
    <xf numFmtId="0" fontId="10" fillId="0" borderId="0" xfId="6" applyFont="1" applyFill="1" applyAlignment="1">
      <alignment horizontal="center" vertical="center"/>
    </xf>
    <xf numFmtId="166" fontId="8" fillId="0" borderId="0" xfId="0" applyNumberFormat="1" applyFont="1" applyAlignment="1">
      <alignment horizontal="center" vertical="center"/>
    </xf>
    <xf numFmtId="0" fontId="9" fillId="0" borderId="0" xfId="0" applyFont="1" applyAlignment="1">
      <alignment horizontal="center"/>
    </xf>
    <xf numFmtId="166" fontId="9" fillId="0" borderId="0" xfId="0" applyNumberFormat="1" applyFont="1" applyAlignment="1">
      <alignment horizontal="center" vertical="center"/>
    </xf>
    <xf numFmtId="0" fontId="2" fillId="0" borderId="12" xfId="0" applyFont="1" applyBorder="1" applyAlignment="1">
      <alignment horizontal="center"/>
    </xf>
    <xf numFmtId="0" fontId="0" fillId="0" borderId="13" xfId="0" applyBorder="1" applyAlignment="1">
      <alignment horizontal="center"/>
    </xf>
    <xf numFmtId="9" fontId="0" fillId="0" borderId="0" xfId="0" applyNumberFormat="1" applyAlignment="1">
      <alignment horizontal="center"/>
    </xf>
    <xf numFmtId="0" fontId="0" fillId="0" borderId="0" xfId="0" applyAlignment="1">
      <alignment horizontal="center"/>
    </xf>
  </cellXfs>
  <cellStyles count="11">
    <cellStyle name="20% - Accent6" xfId="10" builtinId="50"/>
    <cellStyle name="40% - Accent4" xfId="9" builtinId="43"/>
    <cellStyle name="40% - Accent6" xfId="7" builtinId="51"/>
    <cellStyle name="Accent1" xfId="2" builtinId="29"/>
    <cellStyle name="Accent2" xfId="3" builtinId="33"/>
    <cellStyle name="Accent4" xfId="4" builtinId="41"/>
    <cellStyle name="Accent5" xfId="5" builtinId="45"/>
    <cellStyle name="Accent6" xfId="6" builtinId="49"/>
    <cellStyle name="Bad" xfId="1" builtinId="27"/>
    <cellStyle name="Input" xfId="8" builtinId="20"/>
    <cellStyle name="Normal" xfId="0" builtinId="0"/>
  </cellStyles>
  <dxfs count="0"/>
  <tableStyles count="0" defaultTableStyle="TableStyleMedium2" defaultPivotStyle="PivotStyleLight16"/>
  <colors>
    <mruColors>
      <color rgb="FF8DD3C7"/>
      <color rgb="FF3886CC"/>
      <color rgb="FFFB8072"/>
      <color rgb="FF80B1D3"/>
      <color rgb="FFBEBADA"/>
      <color rgb="FFFDB462"/>
      <color rgb="FFD9D9D9"/>
      <color rgb="FF66C2A5"/>
      <color rgb="FFB3DE69"/>
      <color rgb="FFFCCD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zh-CN"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00954527615049"/>
          <c:y val="0.15004482348553599"/>
          <c:w val="0.47839933323870598"/>
          <c:h val="0.71054498884690398"/>
        </c:manualLayout>
      </c:layout>
      <c:pieChart>
        <c:varyColors val="1"/>
        <c:ser>
          <c:idx val="0"/>
          <c:order val="0"/>
          <c:tx>
            <c:strRef>
              <c:f>'material inventory'!$K$13</c:f>
              <c:strCache>
                <c:ptCount val="1"/>
                <c:pt idx="0">
                  <c:v>Primary energy consumption</c:v>
                </c:pt>
              </c:strCache>
            </c:strRef>
          </c:tx>
          <c:dPt>
            <c:idx val="0"/>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C3C-4F98-9DCF-5185B6B8EA2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C3C-4F98-9DCF-5185B6B8EA2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C3C-4F98-9DCF-5185B6B8EA2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C3C-4F98-9DCF-5185B6B8EA2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C3C-4F98-9DCF-5185B6B8EA2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C3C-4F98-9DCF-5185B6B8EA2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C3C-4F98-9DCF-5185B6B8EA20}"/>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C3C-4F98-9DCF-5185B6B8EA20}"/>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9C3C-4F98-9DCF-5185B6B8EA20}"/>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9C3C-4F98-9DCF-5185B6B8EA20}"/>
              </c:ext>
            </c:extLst>
          </c:dPt>
          <c:dPt>
            <c:idx val="10"/>
            <c:bubble3D val="0"/>
            <c:spPr>
              <a:solidFill>
                <a:schemeClr val="bg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9C3C-4F98-9DCF-5185B6B8EA20}"/>
              </c:ext>
            </c:extLst>
          </c:dPt>
          <c:dPt>
            <c:idx val="11"/>
            <c:bubble3D val="0"/>
            <c:spPr>
              <a:solidFill>
                <a:srgbClr val="BC80BD"/>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9C3C-4F98-9DCF-5185B6B8EA20}"/>
              </c:ext>
            </c:extLst>
          </c:dPt>
          <c:dPt>
            <c:idx val="12"/>
            <c:bubble3D val="0"/>
            <c:spPr>
              <a:solidFill>
                <a:srgbClr val="66C2A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9C3C-4F98-9DCF-5185B6B8EA20}"/>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9C3C-4F98-9DCF-5185B6B8EA20}"/>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DE33-47F9-A49A-6FED848BAE41}"/>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F4D2-4158-A648-DD7F2B6520BB}"/>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F4D2-4158-A648-DD7F2B6520BB}"/>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F4D2-4158-A648-DD7F2B6520BB}"/>
              </c:ext>
            </c:extLst>
          </c:dPt>
          <c:dLbls>
            <c:dLbl>
              <c:idx val="0"/>
              <c:layout>
                <c:manualLayout>
                  <c:x val="-6.9038712671629393E-2"/>
                  <c:y val="0.16112670902732301"/>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C3C-4F98-9DCF-5185B6B8EA20}"/>
                </c:ext>
              </c:extLst>
            </c:dLbl>
            <c:dLbl>
              <c:idx val="1"/>
              <c:delete val="1"/>
              <c:extLst>
                <c:ext xmlns:c15="http://schemas.microsoft.com/office/drawing/2012/chart" uri="{CE6537A1-D6FC-4f65-9D91-7224C49458BB}"/>
                <c:ext xmlns:c16="http://schemas.microsoft.com/office/drawing/2014/chart" uri="{C3380CC4-5D6E-409C-BE32-E72D297353CC}">
                  <c16:uniqueId val="{00000003-9C3C-4F98-9DCF-5185B6B8EA20}"/>
                </c:ext>
              </c:extLst>
            </c:dLbl>
            <c:dLbl>
              <c:idx val="2"/>
              <c:delete val="1"/>
              <c:extLst>
                <c:ext xmlns:c15="http://schemas.microsoft.com/office/drawing/2012/chart" uri="{CE6537A1-D6FC-4f65-9D91-7224C49458BB}"/>
                <c:ext xmlns:c16="http://schemas.microsoft.com/office/drawing/2014/chart" uri="{C3380CC4-5D6E-409C-BE32-E72D297353CC}">
                  <c16:uniqueId val="{00000005-9C3C-4F98-9DCF-5185B6B8EA20}"/>
                </c:ext>
              </c:extLst>
            </c:dLbl>
            <c:dLbl>
              <c:idx val="3"/>
              <c:delete val="1"/>
              <c:extLst>
                <c:ext xmlns:c15="http://schemas.microsoft.com/office/drawing/2012/chart" uri="{CE6537A1-D6FC-4f65-9D91-7224C49458BB}"/>
                <c:ext xmlns:c16="http://schemas.microsoft.com/office/drawing/2014/chart" uri="{C3380CC4-5D6E-409C-BE32-E72D297353CC}">
                  <c16:uniqueId val="{00000007-9C3C-4F98-9DCF-5185B6B8EA20}"/>
                </c:ext>
              </c:extLst>
            </c:dLbl>
            <c:dLbl>
              <c:idx val="4"/>
              <c:delete val="1"/>
              <c:extLst>
                <c:ext xmlns:c15="http://schemas.microsoft.com/office/drawing/2012/chart" uri="{CE6537A1-D6FC-4f65-9D91-7224C49458BB}"/>
                <c:ext xmlns:c16="http://schemas.microsoft.com/office/drawing/2014/chart" uri="{C3380CC4-5D6E-409C-BE32-E72D297353CC}">
                  <c16:uniqueId val="{00000009-9C3C-4F98-9DCF-5185B6B8EA20}"/>
                </c:ext>
              </c:extLst>
            </c:dLbl>
            <c:dLbl>
              <c:idx val="5"/>
              <c:delete val="1"/>
              <c:extLst>
                <c:ext xmlns:c15="http://schemas.microsoft.com/office/drawing/2012/chart" uri="{CE6537A1-D6FC-4f65-9D91-7224C49458BB}"/>
                <c:ext xmlns:c16="http://schemas.microsoft.com/office/drawing/2014/chart" uri="{C3380CC4-5D6E-409C-BE32-E72D297353CC}">
                  <c16:uniqueId val="{0000000B-9C3C-4F98-9DCF-5185B6B8EA20}"/>
                </c:ext>
              </c:extLst>
            </c:dLbl>
            <c:dLbl>
              <c:idx val="6"/>
              <c:delete val="1"/>
              <c:extLst>
                <c:ext xmlns:c15="http://schemas.microsoft.com/office/drawing/2012/chart" uri="{CE6537A1-D6FC-4f65-9D91-7224C49458BB}"/>
                <c:ext xmlns:c16="http://schemas.microsoft.com/office/drawing/2014/chart" uri="{C3380CC4-5D6E-409C-BE32-E72D297353CC}">
                  <c16:uniqueId val="{0000000D-9C3C-4F98-9DCF-5185B6B8EA20}"/>
                </c:ext>
              </c:extLst>
            </c:dLbl>
            <c:dLbl>
              <c:idx val="7"/>
              <c:delete val="1"/>
              <c:extLst>
                <c:ext xmlns:c15="http://schemas.microsoft.com/office/drawing/2012/chart" uri="{CE6537A1-D6FC-4f65-9D91-7224C49458BB}"/>
                <c:ext xmlns:c16="http://schemas.microsoft.com/office/drawing/2014/chart" uri="{C3380CC4-5D6E-409C-BE32-E72D297353CC}">
                  <c16:uniqueId val="{0000000F-9C3C-4F98-9DCF-5185B6B8EA20}"/>
                </c:ext>
              </c:extLst>
            </c:dLbl>
            <c:dLbl>
              <c:idx val="8"/>
              <c:delete val="1"/>
              <c:extLst>
                <c:ext xmlns:c15="http://schemas.microsoft.com/office/drawing/2012/chart" uri="{CE6537A1-D6FC-4f65-9D91-7224C49458BB}"/>
                <c:ext xmlns:c16="http://schemas.microsoft.com/office/drawing/2014/chart" uri="{C3380CC4-5D6E-409C-BE32-E72D297353CC}">
                  <c16:uniqueId val="{00000011-9C3C-4F98-9DCF-5185B6B8EA20}"/>
                </c:ext>
              </c:extLst>
            </c:dLbl>
            <c:dLbl>
              <c:idx val="9"/>
              <c:delete val="1"/>
              <c:extLst>
                <c:ext xmlns:c15="http://schemas.microsoft.com/office/drawing/2012/chart" uri="{CE6537A1-D6FC-4f65-9D91-7224C49458BB}"/>
                <c:ext xmlns:c16="http://schemas.microsoft.com/office/drawing/2014/chart" uri="{C3380CC4-5D6E-409C-BE32-E72D297353CC}">
                  <c16:uniqueId val="{00000013-9C3C-4F98-9DCF-5185B6B8EA20}"/>
                </c:ext>
              </c:extLst>
            </c:dLbl>
            <c:dLbl>
              <c:idx val="10"/>
              <c:delete val="1"/>
              <c:extLst>
                <c:ext xmlns:c15="http://schemas.microsoft.com/office/drawing/2012/chart" uri="{CE6537A1-D6FC-4f65-9D91-7224C49458BB}"/>
                <c:ext xmlns:c16="http://schemas.microsoft.com/office/drawing/2014/chart" uri="{C3380CC4-5D6E-409C-BE32-E72D297353CC}">
                  <c16:uniqueId val="{00000015-9C3C-4F98-9DCF-5185B6B8EA20}"/>
                </c:ext>
              </c:extLst>
            </c:dLbl>
            <c:dLbl>
              <c:idx val="11"/>
              <c:layout>
                <c:manualLayout>
                  <c:x val="1.42338678882529E-3"/>
                  <c:y val="-1.718350889784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7-9C3C-4F98-9DCF-5185B6B8EA20}"/>
                </c:ext>
              </c:extLst>
            </c:dLbl>
            <c:dLbl>
              <c:idx val="13"/>
              <c:delete val="1"/>
              <c:extLst>
                <c:ext xmlns:c15="http://schemas.microsoft.com/office/drawing/2012/chart" uri="{CE6537A1-D6FC-4f65-9D91-7224C49458BB}"/>
                <c:ext xmlns:c16="http://schemas.microsoft.com/office/drawing/2014/chart" uri="{C3380CC4-5D6E-409C-BE32-E72D297353CC}">
                  <c16:uniqueId val="{0000001B-9C3C-4F98-9DCF-5185B6B8EA20}"/>
                </c:ext>
              </c:extLst>
            </c:dLbl>
            <c:spPr>
              <a:noFill/>
              <a:ln>
                <a:noFill/>
              </a:ln>
              <a:effectLst/>
            </c:spPr>
            <c:txPr>
              <a:bodyPr rot="0" spcFirstLastPara="1" vertOverflow="ellipsis" vert="horz" wrap="square" lIns="38100" tIns="19050" rIns="38100" bIns="19050" anchor="ctr" anchorCtr="1">
                <a:spAutoFit/>
              </a:bodyPr>
              <a:lstStyle/>
              <a:p>
                <a:pPr>
                  <a:defRPr lang="zh-CN" sz="1200" b="1"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inventory'!$I$14:$I$30,'material inventory'!$I$62)</c:f>
              <c:strCache>
                <c:ptCount val="18"/>
                <c:pt idx="0">
                  <c:v>FTO glass</c:v>
                </c:pt>
                <c:pt idx="1">
                  <c:v>Zinc powder</c:v>
                </c:pt>
                <c:pt idx="2">
                  <c:v>Dilute HCl</c:v>
                </c:pt>
                <c:pt idx="3">
                  <c:v>Ethanol</c:v>
                </c:pt>
                <c:pt idx="4">
                  <c:v>Deionized water</c:v>
                </c:pt>
                <c:pt idx="5">
                  <c:v>Acetone</c:v>
                </c:pt>
                <c:pt idx="6">
                  <c:v>BL-TiO₂ ink</c:v>
                </c:pt>
                <c:pt idx="7">
                  <c:v>La-doped BSO NPs</c:v>
                </c:pt>
                <c:pt idx="8">
                  <c:v>PbI₂</c:v>
                </c:pt>
                <c:pt idx="9">
                  <c:v>Dimethylformamide</c:v>
                </c:pt>
                <c:pt idx="10">
                  <c:v>CH₃NH₃I</c:v>
                </c:pt>
                <c:pt idx="11">
                  <c:v>Isopropanol</c:v>
                </c:pt>
                <c:pt idx="12">
                  <c:v>Toluene</c:v>
                </c:pt>
                <c:pt idx="13">
                  <c:v>PTAA solution</c:v>
                </c:pt>
                <c:pt idx="14">
                  <c:v>Cu</c:v>
                </c:pt>
                <c:pt idx="15">
                  <c:v>Ar</c:v>
                </c:pt>
                <c:pt idx="16">
                  <c:v>O₂</c:v>
                </c:pt>
                <c:pt idx="17">
                  <c:v>Treatment</c:v>
                </c:pt>
              </c:strCache>
            </c:strRef>
          </c:cat>
          <c:val>
            <c:numRef>
              <c:f>('material inventory'!$K$14:$K$30,'material inventory'!$K$62)</c:f>
              <c:numCache>
                <c:formatCode>0.000E+00</c:formatCode>
                <c:ptCount val="18"/>
                <c:pt idx="0">
                  <c:v>8.5029036949120105</c:v>
                </c:pt>
                <c:pt idx="1">
                  <c:v>4.1800508549599992E-4</c:v>
                </c:pt>
                <c:pt idx="2">
                  <c:v>4.6518874375235582E-4</c:v>
                </c:pt>
                <c:pt idx="3">
                  <c:v>0.21431605553399993</c:v>
                </c:pt>
                <c:pt idx="4">
                  <c:v>1.5662186060911998E-4</c:v>
                </c:pt>
                <c:pt idx="5">
                  <c:v>0.99018946488503967</c:v>
                </c:pt>
                <c:pt idx="6">
                  <c:v>7.1984448963916634E-2</c:v>
                </c:pt>
                <c:pt idx="7">
                  <c:v>1.7988103397984439E-2</c:v>
                </c:pt>
                <c:pt idx="8">
                  <c:v>4.7072556356068052E-2</c:v>
                </c:pt>
                <c:pt idx="9">
                  <c:v>0.13851702479781283</c:v>
                </c:pt>
                <c:pt idx="10">
                  <c:v>1.0266332358578762</c:v>
                </c:pt>
                <c:pt idx="11">
                  <c:v>1.4153077578552065</c:v>
                </c:pt>
                <c:pt idx="12">
                  <c:v>5.4955341728023827E-2</c:v>
                </c:pt>
                <c:pt idx="13">
                  <c:v>3.2878661442403283</c:v>
                </c:pt>
                <c:pt idx="14">
                  <c:v>5.4579072598579199E-2</c:v>
                </c:pt>
                <c:pt idx="15">
                  <c:v>4.3659558183030303</c:v>
                </c:pt>
                <c:pt idx="16">
                  <c:v>1.7448388645818179E-3</c:v>
                </c:pt>
                <c:pt idx="17">
                  <c:v>5.4601869797269277E-4</c:v>
                </c:pt>
              </c:numCache>
            </c:numRef>
          </c:val>
          <c:extLst>
            <c:ext xmlns:c16="http://schemas.microsoft.com/office/drawing/2014/chart" uri="{C3380CC4-5D6E-409C-BE32-E72D297353CC}">
              <c16:uniqueId val="{0000001C-9C3C-4F98-9DCF-5185B6B8EA2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715273421286539"/>
          <c:y val="0"/>
          <c:w val="0.26699555937979147"/>
          <c:h val="1"/>
        </c:manualLayout>
      </c:layout>
      <c:overlay val="0"/>
      <c:spPr>
        <a:solidFill>
          <a:schemeClr val="bg1">
            <a:alpha val="39000"/>
          </a:schemeClr>
        </a:solidFill>
        <a:ln>
          <a:noFill/>
        </a:ln>
        <a:effectLst/>
      </c:spPr>
      <c:txPr>
        <a:bodyPr rot="0" spcFirstLastPara="1" vertOverflow="ellipsis" vert="horz" wrap="square" anchor="ctr" anchorCtr="1"/>
        <a:lstStyle/>
        <a:p>
          <a:pPr rtl="0">
            <a:defRPr lang="zh-CN"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zh-CN"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017294634482199"/>
          <c:y val="0.160768684075349"/>
          <c:w val="0.48941368646641198"/>
          <c:h val="0.74986581100954897"/>
        </c:manualLayout>
      </c:layout>
      <c:pieChart>
        <c:varyColors val="1"/>
        <c:ser>
          <c:idx val="0"/>
          <c:order val="0"/>
          <c:tx>
            <c:strRef>
              <c:f>'material inventory'!$J$13</c:f>
              <c:strCache>
                <c:ptCount val="1"/>
                <c:pt idx="0">
                  <c:v>Carbon footprint</c:v>
                </c:pt>
              </c:strCache>
            </c:strRef>
          </c:tx>
          <c:dPt>
            <c:idx val="0"/>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521-4030-BDF2-DCCC5C3F18F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521-4030-BDF2-DCCC5C3F18F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521-4030-BDF2-DCCC5C3F18F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521-4030-BDF2-DCCC5C3F18F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521-4030-BDF2-DCCC5C3F18F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521-4030-BDF2-DCCC5C3F18F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6521-4030-BDF2-DCCC5C3F18F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6521-4030-BDF2-DCCC5C3F18F6}"/>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6521-4030-BDF2-DCCC5C3F18F6}"/>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6521-4030-BDF2-DCCC5C3F18F6}"/>
              </c:ext>
            </c:extLst>
          </c:dPt>
          <c:dPt>
            <c:idx val="10"/>
            <c:bubble3D val="0"/>
            <c:spPr>
              <a:solidFill>
                <a:schemeClr val="bg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6521-4030-BDF2-DCCC5C3F18F6}"/>
              </c:ext>
            </c:extLst>
          </c:dPt>
          <c:dPt>
            <c:idx val="11"/>
            <c:bubble3D val="0"/>
            <c:spPr>
              <a:solidFill>
                <a:srgbClr val="BC80BD"/>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6521-4030-BDF2-DCCC5C3F18F6}"/>
              </c:ext>
            </c:extLst>
          </c:dPt>
          <c:dPt>
            <c:idx val="12"/>
            <c:bubble3D val="0"/>
            <c:spPr>
              <a:solidFill>
                <a:srgbClr val="66C2A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521-4030-BDF2-DCCC5C3F18F6}"/>
              </c:ext>
            </c:extLst>
          </c:dPt>
          <c:dPt>
            <c:idx val="13"/>
            <c:bubble3D val="0"/>
            <c:spPr>
              <a:solidFill>
                <a:srgbClr val="D9D9D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6521-4030-BDF2-DCCC5C3F18F6}"/>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6521-4030-BDF2-DCCC5C3F18F6}"/>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DBCF-4A34-84E1-809F752FA27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9921-4BF2-B6AE-86FF5ED5A1C3}"/>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3C78-4E1D-A0CB-E619E02A9DE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3C78-4E1D-A0CB-E619E02A9DED}"/>
              </c:ext>
            </c:extLst>
          </c:dPt>
          <c:dLbls>
            <c:dLbl>
              <c:idx val="0"/>
              <c:layout>
                <c:manualLayout>
                  <c:x val="-6.3953627218180598E-2"/>
                  <c:y val="0.15364590150091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521-4030-BDF2-DCCC5C3F18F6}"/>
                </c:ext>
              </c:extLst>
            </c:dLbl>
            <c:dLbl>
              <c:idx val="1"/>
              <c:delete val="1"/>
              <c:extLst>
                <c:ext xmlns:c15="http://schemas.microsoft.com/office/drawing/2012/chart" uri="{CE6537A1-D6FC-4f65-9D91-7224C49458BB}"/>
                <c:ext xmlns:c16="http://schemas.microsoft.com/office/drawing/2014/chart" uri="{C3380CC4-5D6E-409C-BE32-E72D297353CC}">
                  <c16:uniqueId val="{00000003-6521-4030-BDF2-DCCC5C3F18F6}"/>
                </c:ext>
              </c:extLst>
            </c:dLbl>
            <c:dLbl>
              <c:idx val="2"/>
              <c:delete val="1"/>
              <c:extLst>
                <c:ext xmlns:c15="http://schemas.microsoft.com/office/drawing/2012/chart" uri="{CE6537A1-D6FC-4f65-9D91-7224C49458BB}"/>
                <c:ext xmlns:c16="http://schemas.microsoft.com/office/drawing/2014/chart" uri="{C3380CC4-5D6E-409C-BE32-E72D297353CC}">
                  <c16:uniqueId val="{00000005-6521-4030-BDF2-DCCC5C3F18F6}"/>
                </c:ext>
              </c:extLst>
            </c:dLbl>
            <c:dLbl>
              <c:idx val="3"/>
              <c:delete val="1"/>
              <c:extLst>
                <c:ext xmlns:c15="http://schemas.microsoft.com/office/drawing/2012/chart" uri="{CE6537A1-D6FC-4f65-9D91-7224C49458BB}"/>
                <c:ext xmlns:c16="http://schemas.microsoft.com/office/drawing/2014/chart" uri="{C3380CC4-5D6E-409C-BE32-E72D297353CC}">
                  <c16:uniqueId val="{00000007-6521-4030-BDF2-DCCC5C3F18F6}"/>
                </c:ext>
              </c:extLst>
            </c:dLbl>
            <c:dLbl>
              <c:idx val="4"/>
              <c:delete val="1"/>
              <c:extLst>
                <c:ext xmlns:c15="http://schemas.microsoft.com/office/drawing/2012/chart" uri="{CE6537A1-D6FC-4f65-9D91-7224C49458BB}"/>
                <c:ext xmlns:c16="http://schemas.microsoft.com/office/drawing/2014/chart" uri="{C3380CC4-5D6E-409C-BE32-E72D297353CC}">
                  <c16:uniqueId val="{00000009-6521-4030-BDF2-DCCC5C3F18F6}"/>
                </c:ext>
              </c:extLst>
            </c:dLbl>
            <c:dLbl>
              <c:idx val="5"/>
              <c:delete val="1"/>
              <c:extLst>
                <c:ext xmlns:c15="http://schemas.microsoft.com/office/drawing/2012/chart" uri="{CE6537A1-D6FC-4f65-9D91-7224C49458BB}"/>
                <c:ext xmlns:c16="http://schemas.microsoft.com/office/drawing/2014/chart" uri="{C3380CC4-5D6E-409C-BE32-E72D297353CC}">
                  <c16:uniqueId val="{0000000B-6521-4030-BDF2-DCCC5C3F18F6}"/>
                </c:ext>
              </c:extLst>
            </c:dLbl>
            <c:dLbl>
              <c:idx val="6"/>
              <c:delete val="1"/>
              <c:extLst>
                <c:ext xmlns:c15="http://schemas.microsoft.com/office/drawing/2012/chart" uri="{CE6537A1-D6FC-4f65-9D91-7224C49458BB}"/>
                <c:ext xmlns:c16="http://schemas.microsoft.com/office/drawing/2014/chart" uri="{C3380CC4-5D6E-409C-BE32-E72D297353CC}">
                  <c16:uniqueId val="{0000000D-6521-4030-BDF2-DCCC5C3F18F6}"/>
                </c:ext>
              </c:extLst>
            </c:dLbl>
            <c:dLbl>
              <c:idx val="7"/>
              <c:delete val="1"/>
              <c:extLst>
                <c:ext xmlns:c15="http://schemas.microsoft.com/office/drawing/2012/chart" uri="{CE6537A1-D6FC-4f65-9D91-7224C49458BB}"/>
                <c:ext xmlns:c16="http://schemas.microsoft.com/office/drawing/2014/chart" uri="{C3380CC4-5D6E-409C-BE32-E72D297353CC}">
                  <c16:uniqueId val="{0000000F-6521-4030-BDF2-DCCC5C3F18F6}"/>
                </c:ext>
              </c:extLst>
            </c:dLbl>
            <c:dLbl>
              <c:idx val="8"/>
              <c:delete val="1"/>
              <c:extLst>
                <c:ext xmlns:c15="http://schemas.microsoft.com/office/drawing/2012/chart" uri="{CE6537A1-D6FC-4f65-9D91-7224C49458BB}"/>
                <c:ext xmlns:c16="http://schemas.microsoft.com/office/drawing/2014/chart" uri="{C3380CC4-5D6E-409C-BE32-E72D297353CC}">
                  <c16:uniqueId val="{00000011-6521-4030-BDF2-DCCC5C3F18F6}"/>
                </c:ext>
              </c:extLst>
            </c:dLbl>
            <c:dLbl>
              <c:idx val="9"/>
              <c:delete val="1"/>
              <c:extLst>
                <c:ext xmlns:c15="http://schemas.microsoft.com/office/drawing/2012/chart" uri="{CE6537A1-D6FC-4f65-9D91-7224C49458BB}"/>
                <c:ext xmlns:c16="http://schemas.microsoft.com/office/drawing/2014/chart" uri="{C3380CC4-5D6E-409C-BE32-E72D297353CC}">
                  <c16:uniqueId val="{00000013-6521-4030-BDF2-DCCC5C3F18F6}"/>
                </c:ext>
              </c:extLst>
            </c:dLbl>
            <c:dLbl>
              <c:idx val="10"/>
              <c:delete val="1"/>
              <c:extLst>
                <c:ext xmlns:c15="http://schemas.microsoft.com/office/drawing/2012/chart" uri="{CE6537A1-D6FC-4f65-9D91-7224C49458BB}"/>
                <c:ext xmlns:c16="http://schemas.microsoft.com/office/drawing/2014/chart" uri="{C3380CC4-5D6E-409C-BE32-E72D297353CC}">
                  <c16:uniqueId val="{00000015-6521-4030-BDF2-DCCC5C3F18F6}"/>
                </c:ext>
              </c:extLst>
            </c:dLbl>
            <c:dLbl>
              <c:idx val="11"/>
              <c:layout>
                <c:manualLayout>
                  <c:x val="7.7943793172748996E-3"/>
                  <c:y val="-2.665737828347860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7-6521-4030-BDF2-DCCC5C3F18F6}"/>
                </c:ext>
              </c:extLst>
            </c:dLbl>
            <c:dLbl>
              <c:idx val="12"/>
              <c:layout>
                <c:manualLayout>
                  <c:x val="0.12088828993202599"/>
                  <c:y val="-0.19142513352050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9-6521-4030-BDF2-DCCC5C3F18F6}"/>
                </c:ext>
              </c:extLst>
            </c:dLbl>
            <c:dLbl>
              <c:idx val="13"/>
              <c:delete val="1"/>
              <c:extLst>
                <c:ext xmlns:c15="http://schemas.microsoft.com/office/drawing/2012/chart" uri="{CE6537A1-D6FC-4f65-9D91-7224C49458BB}"/>
                <c:ext xmlns:c16="http://schemas.microsoft.com/office/drawing/2014/chart" uri="{C3380CC4-5D6E-409C-BE32-E72D297353CC}">
                  <c16:uniqueId val="{0000001B-6521-4030-BDF2-DCCC5C3F18F6}"/>
                </c:ext>
              </c:extLst>
            </c:dLbl>
            <c:dLbl>
              <c:idx val="14"/>
              <c:delete val="1"/>
              <c:extLst>
                <c:ext xmlns:c15="http://schemas.microsoft.com/office/drawing/2012/chart" uri="{CE6537A1-D6FC-4f65-9D91-7224C49458BB}"/>
                <c:ext xmlns:c16="http://schemas.microsoft.com/office/drawing/2014/chart" uri="{C3380CC4-5D6E-409C-BE32-E72D297353CC}">
                  <c16:uniqueId val="{0000001D-6521-4030-BDF2-DCCC5C3F18F6}"/>
                </c:ext>
              </c:extLst>
            </c:dLbl>
            <c:spPr>
              <a:noFill/>
              <a:ln>
                <a:noFill/>
              </a:ln>
              <a:effectLst/>
            </c:spPr>
            <c:txPr>
              <a:bodyPr rot="0" spcFirstLastPara="1" vertOverflow="ellipsis" vert="horz" wrap="square" lIns="38100" tIns="19050" rIns="38100" bIns="19050" anchor="ctr" anchorCtr="1">
                <a:spAutoFit/>
              </a:bodyPr>
              <a:lstStyle/>
              <a:p>
                <a:pPr>
                  <a:defRPr lang="zh-CN" sz="12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inventory'!$I$14:$I$31,'material inventory'!$I$62)</c:f>
              <c:strCache>
                <c:ptCount val="19"/>
                <c:pt idx="0">
                  <c:v>FTO glass</c:v>
                </c:pt>
                <c:pt idx="1">
                  <c:v>Zinc powder</c:v>
                </c:pt>
                <c:pt idx="2">
                  <c:v>Dilute HCl</c:v>
                </c:pt>
                <c:pt idx="3">
                  <c:v>Ethanol</c:v>
                </c:pt>
                <c:pt idx="4">
                  <c:v>Deionized water</c:v>
                </c:pt>
                <c:pt idx="5">
                  <c:v>Acetone</c:v>
                </c:pt>
                <c:pt idx="6">
                  <c:v>BL-TiO₂ ink</c:v>
                </c:pt>
                <c:pt idx="7">
                  <c:v>La-doped BSO NPs</c:v>
                </c:pt>
                <c:pt idx="8">
                  <c:v>PbI₂</c:v>
                </c:pt>
                <c:pt idx="9">
                  <c:v>Dimethylformamide</c:v>
                </c:pt>
                <c:pt idx="10">
                  <c:v>CH₃NH₃I</c:v>
                </c:pt>
                <c:pt idx="11">
                  <c:v>Isopropanol</c:v>
                </c:pt>
                <c:pt idx="12">
                  <c:v>Toluene</c:v>
                </c:pt>
                <c:pt idx="13">
                  <c:v>PTAA solution</c:v>
                </c:pt>
                <c:pt idx="14">
                  <c:v>Cu</c:v>
                </c:pt>
                <c:pt idx="15">
                  <c:v>Ar</c:v>
                </c:pt>
                <c:pt idx="16">
                  <c:v>O₂</c:v>
                </c:pt>
                <c:pt idx="17">
                  <c:v>Direct emissions</c:v>
                </c:pt>
                <c:pt idx="18">
                  <c:v>Treatment</c:v>
                </c:pt>
              </c:strCache>
            </c:strRef>
          </c:cat>
          <c:val>
            <c:numRef>
              <c:f>('material inventory'!$J$14:$J$31,'material inventory'!$J$62)</c:f>
              <c:numCache>
                <c:formatCode>0.000E+00</c:formatCode>
                <c:ptCount val="19"/>
                <c:pt idx="0">
                  <c:v>0.34780676817599987</c:v>
                </c:pt>
                <c:pt idx="1">
                  <c:v>3.6278152999999992E-5</c:v>
                </c:pt>
                <c:pt idx="2">
                  <c:v>3.2090210384615382E-5</c:v>
                </c:pt>
                <c:pt idx="3">
                  <c:v>7.2135383999999978E-3</c:v>
                </c:pt>
                <c:pt idx="4">
                  <c:v>1.1383316399999998E-5</c:v>
                </c:pt>
                <c:pt idx="5">
                  <c:v>3.4079009999999986E-2</c:v>
                </c:pt>
                <c:pt idx="6">
                  <c:v>2.6559624141444444E-3</c:v>
                </c:pt>
                <c:pt idx="7">
                  <c:v>1.1164755298477922E-3</c:v>
                </c:pt>
                <c:pt idx="8">
                  <c:v>3.9586132131698096E-3</c:v>
                </c:pt>
                <c:pt idx="9">
                  <c:v>5.0926724710400008E-3</c:v>
                </c:pt>
                <c:pt idx="10">
                  <c:v>4.8331611864973173E-2</c:v>
                </c:pt>
                <c:pt idx="11">
                  <c:v>4.2817186702605578E-2</c:v>
                </c:pt>
                <c:pt idx="12">
                  <c:v>1.3551209999999999E-3</c:v>
                </c:pt>
                <c:pt idx="13">
                  <c:v>0.194226136277663</c:v>
                </c:pt>
                <c:pt idx="14">
                  <c:v>3.7954882559999999E-3</c:v>
                </c:pt>
                <c:pt idx="15">
                  <c:v>0.29058656969696967</c:v>
                </c:pt>
                <c:pt idx="16">
                  <c:v>1.2806957575757575E-4</c:v>
                </c:pt>
                <c:pt idx="17">
                  <c:v>0</c:v>
                </c:pt>
                <c:pt idx="18">
                  <c:v>6.5339114634350737E-5</c:v>
                </c:pt>
              </c:numCache>
            </c:numRef>
          </c:val>
          <c:extLst>
            <c:ext xmlns:c16="http://schemas.microsoft.com/office/drawing/2014/chart" uri="{C3380CC4-5D6E-409C-BE32-E72D297353CC}">
              <c16:uniqueId val="{0000001E-6521-4030-BDF2-DCCC5C3F18F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6429164267798"/>
          <c:y val="0.134671141978566"/>
          <c:w val="0.26790737935511799"/>
          <c:h val="0.81993399618613405"/>
        </c:manualLayout>
      </c:layout>
      <c:overlay val="0"/>
      <c:spPr>
        <a:solidFill>
          <a:schemeClr val="bg1">
            <a:alpha val="39000"/>
          </a:schemeClr>
        </a:solidFill>
        <a:ln>
          <a:noFill/>
        </a:ln>
        <a:effectLst/>
      </c:spPr>
      <c:txPr>
        <a:bodyPr rot="0" spcFirstLastPara="1" vertOverflow="ellipsis" vert="horz" wrap="square" anchor="ctr" anchorCtr="1"/>
        <a:lstStyle/>
        <a:p>
          <a:pPr>
            <a:defRPr lang="zh-CN"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zh-CN"/>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8FB-4FAF-A940-887B5EE4E2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8FB-4FAF-A940-887B5EE4E2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8FB-4FAF-A940-887B5EE4E2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8FB-4FAF-A940-887B5EE4E2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8FB-4FAF-A940-887B5EE4E2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8FB-4FAF-A940-887B5EE4E2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8FB-4FAF-A940-887B5EE4E2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8FB-4FAF-A940-887B5EE4E2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8FB-4FAF-A940-887B5EE4E2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8FB-4FAF-A940-887B5EE4E27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8FB-4FAF-A940-887B5EE4E27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8FB-4FAF-A940-887B5EE4E27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8FB-4FAF-A940-887B5EE4E27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E8FB-4FAF-A940-887B5EE4E27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874-412B-9978-76B61C99F557}"/>
              </c:ext>
            </c:extLst>
          </c:dPt>
          <c:cat>
            <c:strRef>
              <c:f>'material inventory'!$I$14:$I$28</c:f>
              <c:strCache>
                <c:ptCount val="15"/>
                <c:pt idx="0">
                  <c:v>FTO glass</c:v>
                </c:pt>
                <c:pt idx="1">
                  <c:v>Zinc powder</c:v>
                </c:pt>
                <c:pt idx="2">
                  <c:v>Dilute HCl</c:v>
                </c:pt>
                <c:pt idx="3">
                  <c:v>Ethanol</c:v>
                </c:pt>
                <c:pt idx="4">
                  <c:v>Deionized water</c:v>
                </c:pt>
                <c:pt idx="5">
                  <c:v>Acetone</c:v>
                </c:pt>
                <c:pt idx="6">
                  <c:v>BL-TiO₂ ink</c:v>
                </c:pt>
                <c:pt idx="7">
                  <c:v>La-doped BSO NPs</c:v>
                </c:pt>
                <c:pt idx="8">
                  <c:v>PbI₂</c:v>
                </c:pt>
                <c:pt idx="9">
                  <c:v>Dimethylformamide</c:v>
                </c:pt>
                <c:pt idx="10">
                  <c:v>CH₃NH₃I</c:v>
                </c:pt>
                <c:pt idx="11">
                  <c:v>Isopropanol</c:v>
                </c:pt>
                <c:pt idx="12">
                  <c:v>Toluene</c:v>
                </c:pt>
                <c:pt idx="13">
                  <c:v>PTAA solution</c:v>
                </c:pt>
                <c:pt idx="14">
                  <c:v>Cu</c:v>
                </c:pt>
              </c:strCache>
            </c:strRef>
          </c:cat>
          <c:val>
            <c:numRef>
              <c:f>'material inventory'!$K$14:$K$28</c:f>
              <c:numCache>
                <c:formatCode>0.000E+00</c:formatCode>
                <c:ptCount val="15"/>
                <c:pt idx="0">
                  <c:v>8.5029036949120105</c:v>
                </c:pt>
                <c:pt idx="1">
                  <c:v>4.1800508549599992E-4</c:v>
                </c:pt>
                <c:pt idx="2">
                  <c:v>4.6518874375235582E-4</c:v>
                </c:pt>
                <c:pt idx="3">
                  <c:v>0.21431605553399993</c:v>
                </c:pt>
                <c:pt idx="4">
                  <c:v>1.5662186060911998E-4</c:v>
                </c:pt>
                <c:pt idx="5">
                  <c:v>0.99018946488503967</c:v>
                </c:pt>
                <c:pt idx="6">
                  <c:v>7.1984448963916634E-2</c:v>
                </c:pt>
                <c:pt idx="7">
                  <c:v>1.7988103397984439E-2</c:v>
                </c:pt>
                <c:pt idx="8">
                  <c:v>4.7072556356068052E-2</c:v>
                </c:pt>
                <c:pt idx="9">
                  <c:v>0.13851702479781283</c:v>
                </c:pt>
                <c:pt idx="10">
                  <c:v>1.0266332358578762</c:v>
                </c:pt>
                <c:pt idx="11">
                  <c:v>1.4153077578552065</c:v>
                </c:pt>
                <c:pt idx="12">
                  <c:v>5.4955341728023827E-2</c:v>
                </c:pt>
                <c:pt idx="13">
                  <c:v>3.2878661442403283</c:v>
                </c:pt>
                <c:pt idx="14">
                  <c:v>5.4579072598579199E-2</c:v>
                </c:pt>
              </c:numCache>
            </c:numRef>
          </c:val>
          <c:extLst>
            <c:ext xmlns:c16="http://schemas.microsoft.com/office/drawing/2014/chart" uri="{C3380CC4-5D6E-409C-BE32-E72D297353CC}">
              <c16:uniqueId val="{00000000-44AF-4A03-A78C-2ACEE10E7F32}"/>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59CA0FAE-7C7D-4EDC-8DF5-7140BBDD61F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664-4BA1-82F5-BDC04D8652B2}"/>
                </c:ext>
              </c:extLst>
            </c:dLbl>
            <c:dLbl>
              <c:idx val="1"/>
              <c:tx>
                <c:rich>
                  <a:bodyPr/>
                  <a:lstStyle/>
                  <a:p>
                    <a:fld id="{43457466-CF60-431A-A970-0D5AA2314EB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664-4BA1-82F5-BDC04D8652B2}"/>
                </c:ext>
              </c:extLst>
            </c:dLbl>
            <c:dLbl>
              <c:idx val="2"/>
              <c:tx>
                <c:rich>
                  <a:bodyPr/>
                  <a:lstStyle/>
                  <a:p>
                    <a:fld id="{F86F4F7D-B774-43CB-8C0C-EAF9EEDBFA3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664-4BA1-82F5-BDC04D8652B2}"/>
                </c:ext>
              </c:extLst>
            </c:dLbl>
            <c:dLbl>
              <c:idx val="3"/>
              <c:tx>
                <c:rich>
                  <a:bodyPr/>
                  <a:lstStyle/>
                  <a:p>
                    <a:fld id="{71D162F9-4772-404C-8AE4-22508096EBB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664-4BA1-82F5-BDC04D8652B2}"/>
                </c:ext>
              </c:extLst>
            </c:dLbl>
            <c:dLbl>
              <c:idx val="4"/>
              <c:tx>
                <c:rich>
                  <a:bodyPr/>
                  <a:lstStyle/>
                  <a:p>
                    <a:fld id="{694858C0-2E5D-4022-9532-B127FBB84B3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64-4BA1-82F5-BDC04D8652B2}"/>
                </c:ext>
              </c:extLst>
            </c:dLbl>
            <c:dLbl>
              <c:idx val="5"/>
              <c:tx>
                <c:rich>
                  <a:bodyPr/>
                  <a:lstStyle/>
                  <a:p>
                    <a:fld id="{DFB33AF4-4516-4D8B-9060-CE87FDF0178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664-4BA1-82F5-BDC04D8652B2}"/>
                </c:ext>
              </c:extLst>
            </c:dLbl>
            <c:dLbl>
              <c:idx val="6"/>
              <c:tx>
                <c:rich>
                  <a:bodyPr/>
                  <a:lstStyle/>
                  <a:p>
                    <a:fld id="{0F1367C8-2866-4E88-B843-D816A234707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664-4BA1-82F5-BDC04D8652B2}"/>
                </c:ext>
              </c:extLst>
            </c:dLbl>
            <c:dLbl>
              <c:idx val="7"/>
              <c:tx>
                <c:rich>
                  <a:bodyPr/>
                  <a:lstStyle/>
                  <a:p>
                    <a:fld id="{FCF9DFA6-29FC-47FD-B96E-E79789650D2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664-4BA1-82F5-BDC04D8652B2}"/>
                </c:ext>
              </c:extLst>
            </c:dLbl>
            <c:dLbl>
              <c:idx val="8"/>
              <c:tx>
                <c:rich>
                  <a:bodyPr/>
                  <a:lstStyle/>
                  <a:p>
                    <a:fld id="{2893B7A8-E37F-4EEF-A1D9-3ECC0AD398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664-4BA1-82F5-BDC04D8652B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SA!$A$5:$A$13</c:f>
              <c:strCache>
                <c:ptCount val="9"/>
                <c:pt idx="0">
                  <c:v>Utilization efficiency of spin coating (80%)</c:v>
                </c:pt>
                <c:pt idx="1">
                  <c:v>Energy consumption of ETL spin coating, kWh (0.322)</c:v>
                </c:pt>
                <c:pt idx="2">
                  <c:v>Energy consumption of electrode sputtering, kWh (0.389)</c:v>
                </c:pt>
                <c:pt idx="3">
                  <c:v>Energy consumption of sonication, kWh (0.400)</c:v>
                </c:pt>
                <c:pt idx="4">
                  <c:v>Recycling level of electrode (95%)</c:v>
                </c:pt>
                <c:pt idx="5">
                  <c:v>Energy consumption of HTL spin coating, kWh (3.217)</c:v>
                </c:pt>
                <c:pt idx="6">
                  <c:v>Energy consumption of PL 2nd-step spin coating, kWh (5.957)</c:v>
                </c:pt>
                <c:pt idx="7">
                  <c:v>Energy consumption of ETL calcining, kWh (7.200)</c:v>
                </c:pt>
                <c:pt idx="8">
                  <c:v>Recycling level of substrate (90%)</c:v>
                </c:pt>
              </c:strCache>
            </c:strRef>
          </c:cat>
          <c:val>
            <c:numRef>
              <c:f>SA!$C$5:$C$13</c:f>
              <c:numCache>
                <c:formatCode>General</c:formatCode>
                <c:ptCount val="9"/>
                <c:pt idx="0">
                  <c:v>21.508604677617949</c:v>
                </c:pt>
                <c:pt idx="1">
                  <c:v>21.448459695145967</c:v>
                </c:pt>
                <c:pt idx="2">
                  <c:v>21.438914883319256</c:v>
                </c:pt>
                <c:pt idx="3">
                  <c:v>21.437337283317994</c:v>
                </c:pt>
                <c:pt idx="4">
                  <c:v>21.770391621120293</c:v>
                </c:pt>
                <c:pt idx="5">
                  <c:v>21.037419001188816</c:v>
                </c:pt>
                <c:pt idx="6">
                  <c:v>20.648368138595629</c:v>
                </c:pt>
                <c:pt idx="7">
                  <c:v>20.471846082545603</c:v>
                </c:pt>
                <c:pt idx="8">
                  <c:v>27.509310362082864</c:v>
                </c:pt>
              </c:numCache>
            </c:numRef>
          </c:val>
          <c:extLst>
            <c:ext xmlns:c15="http://schemas.microsoft.com/office/drawing/2012/chart" uri="{02D57815-91ED-43cb-92C2-25804820EDAC}">
              <c15:datalabelsRange>
                <c15:f>SA!$B$5:$B$13</c15:f>
                <c15:dlblRangeCache>
                  <c:ptCount val="9"/>
                  <c:pt idx="0">
                    <c:v>70%</c:v>
                  </c:pt>
                  <c:pt idx="1">
                    <c:v>0.258</c:v>
                  </c:pt>
                  <c:pt idx="2">
                    <c:v>0.311</c:v>
                  </c:pt>
                  <c:pt idx="3">
                    <c:v>0.320</c:v>
                  </c:pt>
                  <c:pt idx="4">
                    <c:v>90%</c:v>
                  </c:pt>
                  <c:pt idx="5">
                    <c:v>2.574</c:v>
                  </c:pt>
                  <c:pt idx="6">
                    <c:v>4.766</c:v>
                  </c:pt>
                  <c:pt idx="7">
                    <c:v>5.760</c:v>
                  </c:pt>
                  <c:pt idx="8">
                    <c:v>80%</c:v>
                  </c:pt>
                </c15:dlblRangeCache>
              </c15:datalabelsRange>
            </c:ext>
            <c:ext xmlns:c16="http://schemas.microsoft.com/office/drawing/2014/chart" uri="{C3380CC4-5D6E-409C-BE32-E72D297353CC}">
              <c16:uniqueId val="{00000000-1664-4BA1-82F5-BDC04D8652B2}"/>
            </c:ext>
          </c:extLst>
        </c:ser>
        <c:ser>
          <c:idx val="1"/>
          <c:order val="1"/>
          <c:spPr>
            <a:solidFill>
              <a:schemeClr val="accent2"/>
            </a:solidFill>
            <a:ln>
              <a:noFill/>
            </a:ln>
            <a:effectLst/>
          </c:spPr>
          <c:invertIfNegative val="0"/>
          <c:dLbls>
            <c:dLbl>
              <c:idx val="0"/>
              <c:tx>
                <c:rich>
                  <a:bodyPr/>
                  <a:lstStyle/>
                  <a:p>
                    <a:fld id="{6396AB16-006E-43EF-97A8-EF2EA268F6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664-4BA1-82F5-BDC04D8652B2}"/>
                </c:ext>
              </c:extLst>
            </c:dLbl>
            <c:dLbl>
              <c:idx val="1"/>
              <c:tx>
                <c:rich>
                  <a:bodyPr/>
                  <a:lstStyle/>
                  <a:p>
                    <a:fld id="{B0D31835-8202-4300-95FE-79A99BA745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664-4BA1-82F5-BDC04D8652B2}"/>
                </c:ext>
              </c:extLst>
            </c:dLbl>
            <c:dLbl>
              <c:idx val="2"/>
              <c:tx>
                <c:rich>
                  <a:bodyPr/>
                  <a:lstStyle/>
                  <a:p>
                    <a:fld id="{BB6A50E1-025D-4131-BD74-20FB680EC4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664-4BA1-82F5-BDC04D8652B2}"/>
                </c:ext>
              </c:extLst>
            </c:dLbl>
            <c:dLbl>
              <c:idx val="3"/>
              <c:tx>
                <c:rich>
                  <a:bodyPr/>
                  <a:lstStyle/>
                  <a:p>
                    <a:fld id="{D83E7CC3-AF81-478B-80F2-EA6F39FBC0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664-4BA1-82F5-BDC04D8652B2}"/>
                </c:ext>
              </c:extLst>
            </c:dLbl>
            <c:dLbl>
              <c:idx val="4"/>
              <c:tx>
                <c:rich>
                  <a:bodyPr/>
                  <a:lstStyle/>
                  <a:p>
                    <a:fld id="{49208B25-79A5-4CEC-B13B-7963B6EBD3D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664-4BA1-82F5-BDC04D8652B2}"/>
                </c:ext>
              </c:extLst>
            </c:dLbl>
            <c:dLbl>
              <c:idx val="5"/>
              <c:tx>
                <c:rich>
                  <a:bodyPr/>
                  <a:lstStyle/>
                  <a:p>
                    <a:fld id="{00420E4B-6948-4636-B1DE-790891D29C6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664-4BA1-82F5-BDC04D8652B2}"/>
                </c:ext>
              </c:extLst>
            </c:dLbl>
            <c:dLbl>
              <c:idx val="6"/>
              <c:tx>
                <c:rich>
                  <a:bodyPr/>
                  <a:lstStyle/>
                  <a:p>
                    <a:fld id="{3A8EE6A1-339E-445E-B1CC-8B07400F9AC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664-4BA1-82F5-BDC04D8652B2}"/>
                </c:ext>
              </c:extLst>
            </c:dLbl>
            <c:dLbl>
              <c:idx val="7"/>
              <c:tx>
                <c:rich>
                  <a:bodyPr/>
                  <a:lstStyle/>
                  <a:p>
                    <a:fld id="{042C0F3F-D28F-402D-BA73-B37A5CADA6F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664-4BA1-82F5-BDC04D8652B2}"/>
                </c:ext>
              </c:extLst>
            </c:dLbl>
            <c:dLbl>
              <c:idx val="8"/>
              <c:tx>
                <c:rich>
                  <a:bodyPr/>
                  <a:lstStyle/>
                  <a:p>
                    <a:fld id="{5E35F656-75FA-4029-AFAE-72D6E4D83E4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664-4BA1-82F5-BDC04D8652B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SA!$A$5:$A$13</c:f>
              <c:strCache>
                <c:ptCount val="9"/>
                <c:pt idx="0">
                  <c:v>Utilization efficiency of spin coating (80%)</c:v>
                </c:pt>
                <c:pt idx="1">
                  <c:v>Energy consumption of ETL spin coating, kWh (0.322)</c:v>
                </c:pt>
                <c:pt idx="2">
                  <c:v>Energy consumption of electrode sputtering, kWh (0.389)</c:v>
                </c:pt>
                <c:pt idx="3">
                  <c:v>Energy consumption of sonication, kWh (0.400)</c:v>
                </c:pt>
                <c:pt idx="4">
                  <c:v>Recycling level of electrode (95%)</c:v>
                </c:pt>
                <c:pt idx="5">
                  <c:v>Energy consumption of HTL spin coating, kWh (3.217)</c:v>
                </c:pt>
                <c:pt idx="6">
                  <c:v>Energy consumption of PL 2nd-step spin coating, kWh (5.957)</c:v>
                </c:pt>
                <c:pt idx="7">
                  <c:v>Energy consumption of ETL calcining, kWh (7.200)</c:v>
                </c:pt>
                <c:pt idx="8">
                  <c:v>Recycling level of substrate (90%)</c:v>
                </c:pt>
              </c:strCache>
            </c:strRef>
          </c:cat>
          <c:val>
            <c:numRef>
              <c:f>SA!$G$5:$G$13</c:f>
              <c:numCache>
                <c:formatCode>General</c:formatCode>
                <c:ptCount val="9"/>
                <c:pt idx="0">
                  <c:v>21.482873487832137</c:v>
                </c:pt>
                <c:pt idx="1">
                  <c:v>21.53980207158089</c:v>
                </c:pt>
                <c:pt idx="2">
                  <c:v>21.549346883407605</c:v>
                </c:pt>
                <c:pt idx="3">
                  <c:v>21.550924483408863</c:v>
                </c:pt>
                <c:pt idx="4">
                  <c:v>21.217870145606565</c:v>
                </c:pt>
                <c:pt idx="5">
                  <c:v>21.950842765538042</c:v>
                </c:pt>
                <c:pt idx="6">
                  <c:v>22.339893628131232</c:v>
                </c:pt>
                <c:pt idx="7">
                  <c:v>22.516415684181258</c:v>
                </c:pt>
                <c:pt idx="8">
                  <c:v>15.478951404643997</c:v>
                </c:pt>
              </c:numCache>
            </c:numRef>
          </c:val>
          <c:extLst>
            <c:ext xmlns:c15="http://schemas.microsoft.com/office/drawing/2012/chart" uri="{02D57815-91ED-43cb-92C2-25804820EDAC}">
              <c15:datalabelsRange>
                <c15:f>SA!$F$5:$F$13</c15:f>
                <c15:dlblRangeCache>
                  <c:ptCount val="9"/>
                  <c:pt idx="0">
                    <c:v>90%</c:v>
                  </c:pt>
                  <c:pt idx="1">
                    <c:v>0.386</c:v>
                  </c:pt>
                  <c:pt idx="2">
                    <c:v>0.467</c:v>
                  </c:pt>
                  <c:pt idx="3">
                    <c:v>0.480</c:v>
                  </c:pt>
                  <c:pt idx="4">
                    <c:v>100%</c:v>
                  </c:pt>
                  <c:pt idx="5">
                    <c:v>3.860</c:v>
                  </c:pt>
                  <c:pt idx="6">
                    <c:v>7.148</c:v>
                  </c:pt>
                  <c:pt idx="7">
                    <c:v>8.640</c:v>
                  </c:pt>
                  <c:pt idx="8">
                    <c:v>100%</c:v>
                  </c:pt>
                </c15:dlblRangeCache>
              </c15:datalabelsRange>
            </c:ext>
            <c:ext xmlns:c16="http://schemas.microsoft.com/office/drawing/2014/chart" uri="{C3380CC4-5D6E-409C-BE32-E72D297353CC}">
              <c16:uniqueId val="{00000002-1664-4BA1-82F5-BDC04D8652B2}"/>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21.494130879999997"/>
        <c:auto val="1"/>
        <c:lblAlgn val="ctr"/>
        <c:lblOffset val="100"/>
        <c:noMultiLvlLbl val="0"/>
      </c:catAx>
      <c:valAx>
        <c:axId val="338742815"/>
        <c:scaling>
          <c:orientation val="minMax"/>
          <c:max val="28"/>
          <c:min val="14"/>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C1A834D5-30AD-4B67-8C63-8E5999224B2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1F2-4BC2-931A-362C837498A4}"/>
                </c:ext>
              </c:extLst>
            </c:dLbl>
            <c:dLbl>
              <c:idx val="1"/>
              <c:tx>
                <c:rich>
                  <a:bodyPr/>
                  <a:lstStyle/>
                  <a:p>
                    <a:fld id="{097EAA07-C75E-4B47-9ACC-E565FB2C13F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1F2-4BC2-931A-362C837498A4}"/>
                </c:ext>
              </c:extLst>
            </c:dLbl>
            <c:dLbl>
              <c:idx val="2"/>
              <c:tx>
                <c:rich>
                  <a:bodyPr/>
                  <a:lstStyle/>
                  <a:p>
                    <a:fld id="{B00DAE8D-4746-4A3E-ADC4-365DB21D3A5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1F2-4BC2-931A-362C837498A4}"/>
                </c:ext>
              </c:extLst>
            </c:dLbl>
            <c:dLbl>
              <c:idx val="3"/>
              <c:tx>
                <c:rich>
                  <a:bodyPr/>
                  <a:lstStyle/>
                  <a:p>
                    <a:fld id="{6D6A444E-DBC4-47BC-A0CE-C37147A1B3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1F2-4BC2-931A-362C837498A4}"/>
                </c:ext>
              </c:extLst>
            </c:dLbl>
            <c:dLbl>
              <c:idx val="4"/>
              <c:tx>
                <c:rich>
                  <a:bodyPr/>
                  <a:lstStyle/>
                  <a:p>
                    <a:fld id="{A804AE9D-C917-483A-A51F-2DE872DB9BE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1F2-4BC2-931A-362C837498A4}"/>
                </c:ext>
              </c:extLst>
            </c:dLbl>
            <c:dLbl>
              <c:idx val="5"/>
              <c:tx>
                <c:rich>
                  <a:bodyPr/>
                  <a:lstStyle/>
                  <a:p>
                    <a:fld id="{0A88ED1C-AEF7-4324-BB81-EFBE798380B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1F2-4BC2-931A-362C837498A4}"/>
                </c:ext>
              </c:extLst>
            </c:dLbl>
            <c:dLbl>
              <c:idx val="6"/>
              <c:tx>
                <c:rich>
                  <a:bodyPr/>
                  <a:lstStyle/>
                  <a:p>
                    <a:fld id="{24B84609-BFF2-4D2C-90DC-27C6BC6BE6B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1F2-4BC2-931A-362C837498A4}"/>
                </c:ext>
              </c:extLst>
            </c:dLbl>
            <c:dLbl>
              <c:idx val="7"/>
              <c:tx>
                <c:rich>
                  <a:bodyPr/>
                  <a:lstStyle/>
                  <a:p>
                    <a:fld id="{A7EF7D57-5387-4EE0-B334-D06520BC75A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1F2-4BC2-931A-362C837498A4}"/>
                </c:ext>
              </c:extLst>
            </c:dLbl>
            <c:dLbl>
              <c:idx val="8"/>
              <c:tx>
                <c:rich>
                  <a:bodyPr/>
                  <a:lstStyle/>
                  <a:p>
                    <a:fld id="{CC44E4B7-8916-4483-BDAF-DBE3569A946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1F2-4BC2-931A-362C837498A4}"/>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SA!$A$17:$A$25</c:f>
              <c:strCache>
                <c:ptCount val="9"/>
                <c:pt idx="0">
                  <c:v>Utilization efficiency of spin coating (80%)</c:v>
                </c:pt>
                <c:pt idx="1">
                  <c:v>Energy consumption of ETL spin coating, kWh (0.322)</c:v>
                </c:pt>
                <c:pt idx="2">
                  <c:v>Energy consumption of electrode sputtering, kWh (0.389)</c:v>
                </c:pt>
                <c:pt idx="3">
                  <c:v>Energy consumption of sonication, kWh (0.400)</c:v>
                </c:pt>
                <c:pt idx="4">
                  <c:v>Recycling level of electrode (95%)</c:v>
                </c:pt>
                <c:pt idx="5">
                  <c:v>Energy consumption of HTL spin coating, kWh (3.217)</c:v>
                </c:pt>
                <c:pt idx="6">
                  <c:v>Energy consumption of PL 2nd-step spin coating, kWh (5.957)</c:v>
                </c:pt>
                <c:pt idx="7">
                  <c:v>Energy consumption of ETL calcining, kWh (7.200)</c:v>
                </c:pt>
                <c:pt idx="8">
                  <c:v>Recycling level of substrate (90%)</c:v>
                </c:pt>
              </c:strCache>
            </c:strRef>
          </c:cat>
          <c:val>
            <c:numRef>
              <c:f>SA!$C$17:$C$25</c:f>
              <c:numCache>
                <c:formatCode>General</c:formatCode>
                <c:ptCount val="9"/>
                <c:pt idx="0">
                  <c:v>373.02274818103581</c:v>
                </c:pt>
                <c:pt idx="1">
                  <c:v>371.84119633733576</c:v>
                </c:pt>
                <c:pt idx="2">
                  <c:v>371.67324783973532</c:v>
                </c:pt>
                <c:pt idx="3">
                  <c:v>371.64548872254824</c:v>
                </c:pt>
                <c:pt idx="4">
                  <c:v>377.50526145248261</c:v>
                </c:pt>
                <c:pt idx="5">
                  <c:v>364.60861090180475</c:v>
                </c:pt>
                <c:pt idx="6">
                  <c:v>357.76295390521159</c:v>
                </c:pt>
                <c:pt idx="7">
                  <c:v>354.65690900404542</c:v>
                </c:pt>
                <c:pt idx="8">
                  <c:v>481.37017352710581</c:v>
                </c:pt>
              </c:numCache>
            </c:numRef>
          </c:val>
          <c:extLst>
            <c:ext xmlns:c15="http://schemas.microsoft.com/office/drawing/2012/chart" uri="{02D57815-91ED-43cb-92C2-25804820EDAC}">
              <c15:datalabelsRange>
                <c15:f>SA!$B$17:$B$25</c15:f>
                <c15:dlblRangeCache>
                  <c:ptCount val="9"/>
                  <c:pt idx="0">
                    <c:v>70%</c:v>
                  </c:pt>
                  <c:pt idx="1">
                    <c:v>0.258</c:v>
                  </c:pt>
                  <c:pt idx="2">
                    <c:v>0.311</c:v>
                  </c:pt>
                  <c:pt idx="3">
                    <c:v>0.320</c:v>
                  </c:pt>
                  <c:pt idx="4">
                    <c:v>90%</c:v>
                  </c:pt>
                  <c:pt idx="5">
                    <c:v>2.574</c:v>
                  </c:pt>
                  <c:pt idx="6">
                    <c:v>4.766</c:v>
                  </c:pt>
                  <c:pt idx="7">
                    <c:v>5.760</c:v>
                  </c:pt>
                  <c:pt idx="8">
                    <c:v>80%</c:v>
                  </c:pt>
                </c15:dlblRangeCache>
              </c15:datalabelsRange>
            </c:ext>
            <c:ext xmlns:c16="http://schemas.microsoft.com/office/drawing/2014/chart" uri="{C3380CC4-5D6E-409C-BE32-E72D297353CC}">
              <c16:uniqueId val="{00000000-A1F2-4BC2-931A-362C837498A4}"/>
            </c:ext>
          </c:extLst>
        </c:ser>
        <c:ser>
          <c:idx val="1"/>
          <c:order val="1"/>
          <c:spPr>
            <a:solidFill>
              <a:schemeClr val="accent2"/>
            </a:solidFill>
            <a:ln>
              <a:noFill/>
            </a:ln>
            <a:effectLst/>
          </c:spPr>
          <c:invertIfNegative val="0"/>
          <c:dLbls>
            <c:dLbl>
              <c:idx val="0"/>
              <c:tx>
                <c:rich>
                  <a:bodyPr/>
                  <a:lstStyle/>
                  <a:p>
                    <a:fld id="{BA5923BE-06B2-47E5-85FF-563A94E7DF6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1F2-4BC2-931A-362C837498A4}"/>
                </c:ext>
              </c:extLst>
            </c:dLbl>
            <c:dLbl>
              <c:idx val="1"/>
              <c:tx>
                <c:rich>
                  <a:bodyPr/>
                  <a:lstStyle/>
                  <a:p>
                    <a:fld id="{0F1F6958-9A1A-4AD2-A380-D3BBA325D66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1F2-4BC2-931A-362C837498A4}"/>
                </c:ext>
              </c:extLst>
            </c:dLbl>
            <c:dLbl>
              <c:idx val="2"/>
              <c:tx>
                <c:rich>
                  <a:bodyPr/>
                  <a:lstStyle/>
                  <a:p>
                    <a:fld id="{75BF0564-6CF4-4DD0-AD94-0638036A943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1F2-4BC2-931A-362C837498A4}"/>
                </c:ext>
              </c:extLst>
            </c:dLbl>
            <c:dLbl>
              <c:idx val="3"/>
              <c:tx>
                <c:rich>
                  <a:bodyPr/>
                  <a:lstStyle/>
                  <a:p>
                    <a:fld id="{E6AF9026-8309-4804-B8C2-5DC6FD810FD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1F2-4BC2-931A-362C837498A4}"/>
                </c:ext>
              </c:extLst>
            </c:dLbl>
            <c:dLbl>
              <c:idx val="4"/>
              <c:tx>
                <c:rich>
                  <a:bodyPr/>
                  <a:lstStyle/>
                  <a:p>
                    <a:fld id="{3E270D65-C739-484D-80B4-634A5DC7FBE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1F2-4BC2-931A-362C837498A4}"/>
                </c:ext>
              </c:extLst>
            </c:dLbl>
            <c:dLbl>
              <c:idx val="5"/>
              <c:tx>
                <c:rich>
                  <a:bodyPr/>
                  <a:lstStyle/>
                  <a:p>
                    <a:fld id="{E5B6B8F7-3717-4297-A48C-7442B5068FD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1F2-4BC2-931A-362C837498A4}"/>
                </c:ext>
              </c:extLst>
            </c:dLbl>
            <c:dLbl>
              <c:idx val="6"/>
              <c:tx>
                <c:rich>
                  <a:bodyPr/>
                  <a:lstStyle/>
                  <a:p>
                    <a:fld id="{E5963D0C-6E3F-4ACC-9351-5C5464C03A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1F2-4BC2-931A-362C837498A4}"/>
                </c:ext>
              </c:extLst>
            </c:dLbl>
            <c:dLbl>
              <c:idx val="7"/>
              <c:tx>
                <c:rich>
                  <a:bodyPr/>
                  <a:lstStyle/>
                  <a:p>
                    <a:fld id="{7F087E34-9456-4BBC-895F-015E720F541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1F2-4BC2-931A-362C837498A4}"/>
                </c:ext>
              </c:extLst>
            </c:dLbl>
            <c:dLbl>
              <c:idx val="8"/>
              <c:tx>
                <c:rich>
                  <a:bodyPr/>
                  <a:lstStyle/>
                  <a:p>
                    <a:fld id="{9C4E14FF-40E1-46A2-B6F7-5004D08CEC9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1F2-4BC2-931A-362C837498A4}"/>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SA!$A$17:$A$25</c:f>
              <c:strCache>
                <c:ptCount val="9"/>
                <c:pt idx="0">
                  <c:v>Utilization efficiency of spin coating (80%)</c:v>
                </c:pt>
                <c:pt idx="1">
                  <c:v>Energy consumption of ETL spin coating, kWh (0.322)</c:v>
                </c:pt>
                <c:pt idx="2">
                  <c:v>Energy consumption of electrode sputtering, kWh (0.389)</c:v>
                </c:pt>
                <c:pt idx="3">
                  <c:v>Energy consumption of sonication, kWh (0.400)</c:v>
                </c:pt>
                <c:pt idx="4">
                  <c:v>Recycling level of electrode (95%)</c:v>
                </c:pt>
                <c:pt idx="5">
                  <c:v>Energy consumption of HTL spin coating, kWh (3.217)</c:v>
                </c:pt>
                <c:pt idx="6">
                  <c:v>Energy consumption of PL 2nd-step spin coating, kWh (5.957)</c:v>
                </c:pt>
                <c:pt idx="7">
                  <c:v>Energy consumption of ETL calcining, kWh (7.200)</c:v>
                </c:pt>
                <c:pt idx="8">
                  <c:v>Recycling level of substrate (90%)</c:v>
                </c:pt>
              </c:strCache>
            </c:strRef>
          </c:cat>
          <c:val>
            <c:numRef>
              <c:f>SA!$G$17:$G$25</c:f>
              <c:numCache>
                <c:formatCode>General</c:formatCode>
                <c:ptCount val="9"/>
                <c:pt idx="0">
                  <c:v>372.35087042147643</c:v>
                </c:pt>
                <c:pt idx="1">
                  <c:v>373.44843754523157</c:v>
                </c:pt>
                <c:pt idx="2">
                  <c:v>373.61638604283206</c:v>
                </c:pt>
                <c:pt idx="3">
                  <c:v>373.64414516001915</c:v>
                </c:pt>
                <c:pt idx="4">
                  <c:v>367.78437243008477</c:v>
                </c:pt>
                <c:pt idx="5">
                  <c:v>380.68102298076263</c:v>
                </c:pt>
                <c:pt idx="6">
                  <c:v>387.5266799773558</c:v>
                </c:pt>
                <c:pt idx="7">
                  <c:v>390.63272487852197</c:v>
                </c:pt>
                <c:pt idx="8">
                  <c:v>263.91946035546164</c:v>
                </c:pt>
              </c:numCache>
            </c:numRef>
          </c:val>
          <c:extLst>
            <c:ext xmlns:c15="http://schemas.microsoft.com/office/drawing/2012/chart" uri="{02D57815-91ED-43cb-92C2-25804820EDAC}">
              <c15:datalabelsRange>
                <c15:f>SA!$F$17:$F$25</c15:f>
                <c15:dlblRangeCache>
                  <c:ptCount val="9"/>
                  <c:pt idx="0">
                    <c:v>90%</c:v>
                  </c:pt>
                  <c:pt idx="1">
                    <c:v>0.386</c:v>
                  </c:pt>
                  <c:pt idx="2">
                    <c:v>0.467</c:v>
                  </c:pt>
                  <c:pt idx="3">
                    <c:v>0.480</c:v>
                  </c:pt>
                  <c:pt idx="4">
                    <c:v>100%</c:v>
                  </c:pt>
                  <c:pt idx="5">
                    <c:v>3.860</c:v>
                  </c:pt>
                  <c:pt idx="6">
                    <c:v>7.148</c:v>
                  </c:pt>
                  <c:pt idx="7">
                    <c:v>8.640</c:v>
                  </c:pt>
                  <c:pt idx="8">
                    <c:v>100%</c:v>
                  </c:pt>
                </c15:dlblRangeCache>
              </c15:datalabelsRange>
            </c:ext>
            <c:ext xmlns:c16="http://schemas.microsoft.com/office/drawing/2014/chart" uri="{C3380CC4-5D6E-409C-BE32-E72D297353CC}">
              <c16:uniqueId val="{00000004-A1F2-4BC2-931A-362C837498A4}"/>
            </c:ext>
          </c:extLst>
        </c:ser>
        <c:dLbls>
          <c:dLblPos val="outEnd"/>
          <c:showLegendKey val="0"/>
          <c:showVal val="1"/>
          <c:showCatName val="0"/>
          <c:showSerName val="0"/>
          <c:showPercent val="0"/>
          <c:showBubbleSize val="0"/>
        </c:dLbls>
        <c:gapWidth val="182"/>
        <c:overlap val="100"/>
        <c:axId val="226197807"/>
        <c:axId val="1519138671"/>
      </c:barChart>
      <c:catAx>
        <c:axId val="226197807"/>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19138671"/>
        <c:crossesAt val="372.64481690000002"/>
        <c:auto val="1"/>
        <c:lblAlgn val="ctr"/>
        <c:lblOffset val="100"/>
        <c:noMultiLvlLbl val="0"/>
      </c:catAx>
      <c:valAx>
        <c:axId val="1519138671"/>
        <c:scaling>
          <c:orientation val="minMax"/>
          <c:max val="490"/>
          <c:min val="240"/>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261978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zh-CN"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9.0695438367135298E-2"/>
          <c:y val="0.18226966310062301"/>
          <c:w val="0.45303164285553499"/>
          <c:h val="0.70020247469066399"/>
        </c:manualLayout>
      </c:layout>
      <c:pieChart>
        <c:varyColors val="1"/>
        <c:ser>
          <c:idx val="0"/>
          <c:order val="0"/>
          <c:tx>
            <c:strRef>
              <c:f>'energy consumption'!$O$5</c:f>
              <c:strCache>
                <c:ptCount val="1"/>
                <c:pt idx="0">
                  <c:v>Primary energy consumption</c:v>
                </c:pt>
              </c:strCache>
            </c:strRef>
          </c:tx>
          <c:dPt>
            <c:idx val="0"/>
            <c:bubble3D val="0"/>
            <c:spPr>
              <a:solidFill>
                <a:srgbClr val="FCCDE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AD-4408-A693-B638211EEAFC}"/>
              </c:ext>
            </c:extLst>
          </c:dPt>
          <c:dPt>
            <c:idx val="1"/>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AD-4408-A693-B638211EEAFC}"/>
              </c:ext>
            </c:extLst>
          </c:dPt>
          <c:dPt>
            <c:idx val="2"/>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AD-4408-A693-B638211EEAFC}"/>
              </c:ext>
            </c:extLst>
          </c:dPt>
          <c:dPt>
            <c:idx val="3"/>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AD-4408-A693-B638211EEAFC}"/>
              </c:ext>
            </c:extLst>
          </c:dPt>
          <c:dPt>
            <c:idx val="4"/>
            <c:bubble3D val="0"/>
            <c:spPr>
              <a:solidFill>
                <a:srgbClr val="D9D9D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AAD-4408-A693-B638211EEAFC}"/>
              </c:ext>
            </c:extLst>
          </c:dPt>
          <c:dPt>
            <c:idx val="5"/>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AAD-4408-A693-B638211EEAFC}"/>
              </c:ext>
            </c:extLst>
          </c:dPt>
          <c:dPt>
            <c:idx val="6"/>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6AAD-4408-A693-B638211EEAFC}"/>
              </c:ext>
            </c:extLst>
          </c:dPt>
          <c:dPt>
            <c:idx val="7"/>
            <c:bubble3D val="0"/>
            <c:spPr>
              <a:solidFill>
                <a:srgbClr val="BEBAD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6AAD-4408-A693-B638211EEAFC}"/>
              </c:ext>
            </c:extLst>
          </c:dPt>
          <c:dPt>
            <c:idx val="8"/>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6AAD-4408-A693-B638211EEAFC}"/>
              </c:ext>
            </c:extLst>
          </c:dPt>
          <c:dLbls>
            <c:dLbl>
              <c:idx val="0"/>
              <c:layout>
                <c:manualLayout>
                  <c:x val="-2.79593340549933E-2"/>
                  <c:y val="0.102858100184285"/>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AAD-4408-A693-B638211EEAFC}"/>
                </c:ext>
              </c:extLst>
            </c:dLbl>
            <c:dLbl>
              <c:idx val="1"/>
              <c:delete val="1"/>
              <c:extLst>
                <c:ext xmlns:c15="http://schemas.microsoft.com/office/drawing/2012/chart" uri="{CE6537A1-D6FC-4f65-9D91-7224C49458BB}"/>
                <c:ext xmlns:c16="http://schemas.microsoft.com/office/drawing/2014/chart" uri="{C3380CC4-5D6E-409C-BE32-E72D297353CC}">
                  <c16:uniqueId val="{00000003-6AAD-4408-A693-B638211EEAFC}"/>
                </c:ext>
              </c:extLst>
            </c:dLbl>
            <c:dLbl>
              <c:idx val="2"/>
              <c:layout>
                <c:manualLayout>
                  <c:x val="-4.2682270928878802E-2"/>
                  <c:y val="7.093251641417160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AAD-4408-A693-B638211EEAFC}"/>
                </c:ext>
              </c:extLst>
            </c:dLbl>
            <c:dLbl>
              <c:idx val="4"/>
              <c:delete val="1"/>
              <c:extLst>
                <c:ext xmlns:c15="http://schemas.microsoft.com/office/drawing/2012/chart" uri="{CE6537A1-D6FC-4f65-9D91-7224C49458BB}"/>
                <c:ext xmlns:c16="http://schemas.microsoft.com/office/drawing/2014/chart" uri="{C3380CC4-5D6E-409C-BE32-E72D297353CC}">
                  <c16:uniqueId val="{00000009-6AAD-4408-A693-B638211EEAFC}"/>
                </c:ext>
              </c:extLst>
            </c:dLbl>
            <c:dLbl>
              <c:idx val="5"/>
              <c:layout>
                <c:manualLayout>
                  <c:x val="2.2269135998597402E-2"/>
                  <c:y val="-7.214098237720280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AAD-4408-A693-B638211EEAFC}"/>
                </c:ext>
              </c:extLst>
            </c:dLbl>
            <c:dLbl>
              <c:idx val="6"/>
              <c:layout>
                <c:manualLayout>
                  <c:x val="-1.29525511440875E-2"/>
                  <c:y val="-2.509218262610789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6AAD-4408-A693-B638211EEAFC}"/>
                </c:ext>
              </c:extLst>
            </c:dLbl>
            <c:dLbl>
              <c:idx val="7"/>
              <c:layout>
                <c:manualLayout>
                  <c:x val="3.6122807544635101E-2"/>
                  <c:y val="-6.547670902839269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6AAD-4408-A693-B638211EEAFC}"/>
                </c:ext>
              </c:extLst>
            </c:dLbl>
            <c:spPr>
              <a:noFill/>
              <a:ln>
                <a:noFill/>
              </a:ln>
              <a:effectLst/>
            </c:spPr>
            <c:txPr>
              <a:bodyPr rot="0" spcFirstLastPara="1" vertOverflow="ellipsis" vert="horz" wrap="square" lIns="38100" tIns="19050" rIns="38100" bIns="19050" anchor="ctr" anchorCtr="1">
                <a:spAutoFit/>
              </a:bodyPr>
              <a:lstStyle/>
              <a:p>
                <a:pPr>
                  <a:defRPr lang="zh-CN"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consumption'!$M$6:$M$14</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consumption'!$O$6:$O$14</c:f>
              <c:numCache>
                <c:formatCode>0.000E+00</c:formatCode>
                <c:ptCount val="9"/>
                <c:pt idx="0">
                  <c:v>4.9966410936773125</c:v>
                </c:pt>
                <c:pt idx="1">
                  <c:v>8.3587042154200275E-4</c:v>
                </c:pt>
                <c:pt idx="2">
                  <c:v>4.0181030197394767</c:v>
                </c:pt>
                <c:pt idx="3">
                  <c:v>89.939539686191623</c:v>
                </c:pt>
                <c:pt idx="4">
                  <c:v>1.4881863036072136</c:v>
                </c:pt>
                <c:pt idx="5">
                  <c:v>74.409315180360679</c:v>
                </c:pt>
                <c:pt idx="6">
                  <c:v>29.979846562063884</c:v>
                </c:pt>
                <c:pt idx="7">
                  <c:v>40.181030197394769</c:v>
                </c:pt>
                <c:pt idx="8">
                  <c:v>4.8578455077418363</c:v>
                </c:pt>
              </c:numCache>
            </c:numRef>
          </c:val>
          <c:extLst>
            <c:ext xmlns:c16="http://schemas.microsoft.com/office/drawing/2014/chart" uri="{C3380CC4-5D6E-409C-BE32-E72D297353CC}">
              <c16:uniqueId val="{00000012-6AAD-4408-A693-B638211EEAFC}"/>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bg1">
            <a:alpha val="39000"/>
          </a:schemeClr>
        </a:solidFill>
        <a:ln>
          <a:noFill/>
        </a:ln>
        <a:effectLst/>
      </c:spPr>
      <c:txPr>
        <a:bodyPr rot="0" spcFirstLastPara="1" vertOverflow="ellipsis" vert="horz" wrap="square" anchor="ctr" anchorCtr="1"/>
        <a:lstStyle/>
        <a:p>
          <a:pPr>
            <a:defRPr lang="zh-CN"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zh-CN"/>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zh-CN"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5599664206553"/>
          <c:y val="0.16299710242641699"/>
          <c:w val="0.46039815214889901"/>
          <c:h val="0.71875621051955696"/>
        </c:manualLayout>
      </c:layout>
      <c:pieChart>
        <c:varyColors val="1"/>
        <c:ser>
          <c:idx val="0"/>
          <c:order val="0"/>
          <c:tx>
            <c:strRef>
              <c:f>'energy consumption'!$N$5</c:f>
              <c:strCache>
                <c:ptCount val="1"/>
                <c:pt idx="0">
                  <c:v>Carbon footprint</c:v>
                </c:pt>
              </c:strCache>
            </c:strRef>
          </c:tx>
          <c:dPt>
            <c:idx val="0"/>
            <c:bubble3D val="0"/>
            <c:spPr>
              <a:solidFill>
                <a:srgbClr val="FCCDE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8E6-44A3-92C5-BE41D3885DF2}"/>
              </c:ext>
            </c:extLst>
          </c:dPt>
          <c:dPt>
            <c:idx val="1"/>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8E6-44A3-92C5-BE41D3885DF2}"/>
              </c:ext>
            </c:extLst>
          </c:dPt>
          <c:dPt>
            <c:idx val="2"/>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8E6-44A3-92C5-BE41D3885DF2}"/>
              </c:ext>
            </c:extLst>
          </c:dPt>
          <c:dPt>
            <c:idx val="3"/>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8E6-44A3-92C5-BE41D3885DF2}"/>
              </c:ext>
            </c:extLst>
          </c:dPt>
          <c:dPt>
            <c:idx val="4"/>
            <c:bubble3D val="0"/>
            <c:spPr>
              <a:solidFill>
                <a:srgbClr val="D9D9D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8E6-44A3-92C5-BE41D3885DF2}"/>
              </c:ext>
            </c:extLst>
          </c:dPt>
          <c:dPt>
            <c:idx val="5"/>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8E6-44A3-92C5-BE41D3885DF2}"/>
              </c:ext>
            </c:extLst>
          </c:dPt>
          <c:dPt>
            <c:idx val="6"/>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8E6-44A3-92C5-BE41D3885DF2}"/>
              </c:ext>
            </c:extLst>
          </c:dPt>
          <c:dPt>
            <c:idx val="7"/>
            <c:bubble3D val="0"/>
            <c:spPr>
              <a:solidFill>
                <a:srgbClr val="BEBAD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58E6-44A3-92C5-BE41D3885DF2}"/>
              </c:ext>
            </c:extLst>
          </c:dPt>
          <c:dPt>
            <c:idx val="8"/>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58E6-44A3-92C5-BE41D3885DF2}"/>
              </c:ext>
            </c:extLst>
          </c:dPt>
          <c:dLbls>
            <c:dLbl>
              <c:idx val="0"/>
              <c:layout>
                <c:manualLayout>
                  <c:x val="-2.6414530922590902E-2"/>
                  <c:y val="0.112669861221476"/>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8E6-44A3-92C5-BE41D3885DF2}"/>
                </c:ext>
              </c:extLst>
            </c:dLbl>
            <c:dLbl>
              <c:idx val="1"/>
              <c:delete val="1"/>
              <c:extLst>
                <c:ext xmlns:c15="http://schemas.microsoft.com/office/drawing/2012/chart" uri="{CE6537A1-D6FC-4f65-9D91-7224C49458BB}"/>
                <c:ext xmlns:c16="http://schemas.microsoft.com/office/drawing/2014/chart" uri="{C3380CC4-5D6E-409C-BE32-E72D297353CC}">
                  <c16:uniqueId val="{00000003-58E6-44A3-92C5-BE41D3885DF2}"/>
                </c:ext>
              </c:extLst>
            </c:dLbl>
            <c:dLbl>
              <c:idx val="2"/>
              <c:layout>
                <c:manualLayout>
                  <c:x val="-3.9927502507448302E-2"/>
                  <c:y val="6.753898881905820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8E6-44A3-92C5-BE41D3885DF2}"/>
                </c:ext>
              </c:extLst>
            </c:dLbl>
            <c:dLbl>
              <c:idx val="4"/>
              <c:delete val="1"/>
              <c:extLst>
                <c:ext xmlns:c15="http://schemas.microsoft.com/office/drawing/2012/chart" uri="{CE6537A1-D6FC-4f65-9D91-7224C49458BB}"/>
                <c:ext xmlns:c16="http://schemas.microsoft.com/office/drawing/2014/chart" uri="{C3380CC4-5D6E-409C-BE32-E72D297353CC}">
                  <c16:uniqueId val="{00000009-58E6-44A3-92C5-BE41D3885DF2}"/>
                </c:ext>
              </c:extLst>
            </c:dLbl>
            <c:dLbl>
              <c:idx val="5"/>
              <c:layout>
                <c:manualLayout>
                  <c:x val="2.3281278985273299E-2"/>
                  <c:y val="-7.557032435165790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58E6-44A3-92C5-BE41D3885DF2}"/>
                </c:ext>
              </c:extLst>
            </c:dLbl>
            <c:dLbl>
              <c:idx val="6"/>
              <c:layout>
                <c:manualLayout>
                  <c:x val="-1.09895245620886E-2"/>
                  <c:y val="-2.899949432926390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58E6-44A3-92C5-BE41D3885DF2}"/>
                </c:ext>
              </c:extLst>
            </c:dLbl>
            <c:dLbl>
              <c:idx val="7"/>
              <c:layout>
                <c:manualLayout>
                  <c:x val="3.5841145585116897E-2"/>
                  <c:y val="-6.625827734835899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58E6-44A3-92C5-BE41D3885DF2}"/>
                </c:ext>
              </c:extLst>
            </c:dLbl>
            <c:spPr>
              <a:noFill/>
              <a:ln>
                <a:noFill/>
              </a:ln>
              <a:effectLst/>
            </c:spPr>
            <c:txPr>
              <a:bodyPr rot="0" spcFirstLastPara="1" vertOverflow="ellipsis" vert="horz" wrap="square" lIns="38100" tIns="19050" rIns="38100" bIns="19050" anchor="ctr" anchorCtr="1">
                <a:spAutoFit/>
              </a:bodyPr>
              <a:lstStyle/>
              <a:p>
                <a:pPr>
                  <a:defRPr lang="zh-CN"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consumption'!$M$6:$M$14</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consumption'!$N$6:$N$14</c:f>
              <c:numCache>
                <c:formatCode>0.000E+00</c:formatCode>
                <c:ptCount val="9"/>
                <c:pt idx="0">
                  <c:v>0.28396800022717433</c:v>
                </c:pt>
                <c:pt idx="1">
                  <c:v>4.7504002709876585E-5</c:v>
                </c:pt>
                <c:pt idx="2">
                  <c:v>0.2283559410873062</c:v>
                </c:pt>
                <c:pt idx="3">
                  <c:v>5.1114240040891374</c:v>
                </c:pt>
                <c:pt idx="4">
                  <c:v>8.4576274476780081E-2</c:v>
                </c:pt>
                <c:pt idx="5">
                  <c:v>4.2288137238390036</c:v>
                </c:pt>
                <c:pt idx="6">
                  <c:v>1.7038080013630463</c:v>
                </c:pt>
                <c:pt idx="7">
                  <c:v>2.2835594108730621</c:v>
                </c:pt>
                <c:pt idx="8">
                  <c:v>0.27608000022086421</c:v>
                </c:pt>
              </c:numCache>
            </c:numRef>
          </c:val>
          <c:extLst>
            <c:ext xmlns:c16="http://schemas.microsoft.com/office/drawing/2014/chart" uri="{C3380CC4-5D6E-409C-BE32-E72D297353CC}">
              <c16:uniqueId val="{00000012-58E6-44A3-92C5-BE41D3885DF2}"/>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880176155827196"/>
          <c:y val="0.210965831105974"/>
          <c:w val="0.33030369276133598"/>
          <c:h val="0.66359315177345901"/>
        </c:manualLayout>
      </c:layout>
      <c:overlay val="0"/>
      <c:spPr>
        <a:solidFill>
          <a:schemeClr val="bg1">
            <a:alpha val="39000"/>
          </a:schemeClr>
        </a:solidFill>
        <a:ln>
          <a:noFill/>
        </a:ln>
        <a:effectLst/>
      </c:spPr>
      <c:txPr>
        <a:bodyPr rot="0" spcFirstLastPara="1" vertOverflow="ellipsis" vert="horz" wrap="square" anchor="ctr" anchorCtr="1"/>
        <a:lstStyle/>
        <a:p>
          <a:pPr>
            <a:defRPr lang="zh-CN"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zh-CN"/>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CA-43D8-8B8B-E90E9A3276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CA-43D8-8B8B-E90E9A3276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CA-43D8-8B8B-E90E9A3276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CA-43D8-8B8B-E90E9A32762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9CA-43D8-8B8B-E90E9A32762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9CA-43D8-8B8B-E90E9A32762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9CA-43D8-8B8B-E90E9A32762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9CA-43D8-8B8B-E90E9A32762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9CA-43D8-8B8B-E90E9A327625}"/>
              </c:ext>
            </c:extLst>
          </c:dPt>
          <c:cat>
            <c:strRef>
              <c:f>'energy consumption'!$M$6:$M$14</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consumption'!$O$6:$O$14</c:f>
              <c:numCache>
                <c:formatCode>0.000E+00</c:formatCode>
                <c:ptCount val="9"/>
                <c:pt idx="0">
                  <c:v>4.9966410936773125</c:v>
                </c:pt>
                <c:pt idx="1">
                  <c:v>8.3587042154200275E-4</c:v>
                </c:pt>
                <c:pt idx="2">
                  <c:v>4.0181030197394767</c:v>
                </c:pt>
                <c:pt idx="3">
                  <c:v>89.939539686191623</c:v>
                </c:pt>
                <c:pt idx="4">
                  <c:v>1.4881863036072136</c:v>
                </c:pt>
                <c:pt idx="5">
                  <c:v>74.409315180360679</c:v>
                </c:pt>
                <c:pt idx="6">
                  <c:v>29.979846562063884</c:v>
                </c:pt>
                <c:pt idx="7">
                  <c:v>40.181030197394769</c:v>
                </c:pt>
                <c:pt idx="8">
                  <c:v>4.8578455077418363</c:v>
                </c:pt>
              </c:numCache>
            </c:numRef>
          </c:val>
          <c:extLst>
            <c:ext xmlns:c16="http://schemas.microsoft.com/office/drawing/2014/chart" uri="{C3380CC4-5D6E-409C-BE32-E72D297353CC}">
              <c16:uniqueId val="{00000000-08D5-47EC-B472-F5D20C1835EC}"/>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127185</xdr:colOff>
      <xdr:row>71</xdr:row>
      <xdr:rowOff>67235</xdr:rowOff>
    </xdr:from>
    <xdr:to>
      <xdr:col>6</xdr:col>
      <xdr:colOff>2590798</xdr:colOff>
      <xdr:row>89</xdr:row>
      <xdr:rowOff>48746</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574021</xdr:colOff>
      <xdr:row>70</xdr:row>
      <xdr:rowOff>64432</xdr:rowOff>
    </xdr:from>
    <xdr:to>
      <xdr:col>12</xdr:col>
      <xdr:colOff>93009</xdr:colOff>
      <xdr:row>88</xdr:row>
      <xdr:rowOff>188257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414617</xdr:colOff>
      <xdr:row>64</xdr:row>
      <xdr:rowOff>180414</xdr:rowOff>
    </xdr:from>
    <xdr:to>
      <xdr:col>30</xdr:col>
      <xdr:colOff>235323</xdr:colOff>
      <xdr:row>79</xdr:row>
      <xdr:rowOff>66114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7</xdr:row>
          <xdr:rowOff>152400</xdr:rowOff>
        </xdr:from>
        <xdr:to>
          <xdr:col>6</xdr:col>
          <xdr:colOff>9525</xdr:colOff>
          <xdr:row>9</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xdr:row>
          <xdr:rowOff>152400</xdr:rowOff>
        </xdr:from>
        <xdr:to>
          <xdr:col>6</xdr:col>
          <xdr:colOff>9525</xdr:colOff>
          <xdr:row>4</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171450</xdr:rowOff>
        </xdr:from>
        <xdr:to>
          <xdr:col>6</xdr:col>
          <xdr:colOff>9525</xdr:colOff>
          <xdr:row>7</xdr:row>
          <xdr:rowOff>38100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1</xdr:row>
      <xdr:rowOff>38100</xdr:rowOff>
    </xdr:from>
    <xdr:to>
      <xdr:col>23</xdr:col>
      <xdr:colOff>253317</xdr:colOff>
      <xdr:row>15</xdr:row>
      <xdr:rowOff>57150</xdr:rowOff>
    </xdr:to>
    <xdr:graphicFrame macro="">
      <xdr:nvGraphicFramePr>
        <xdr:cNvPr id="6" name="Chart 38">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409575</xdr:colOff>
      <xdr:row>16</xdr:row>
      <xdr:rowOff>104775</xdr:rowOff>
    </xdr:from>
    <xdr:to>
      <xdr:col>23</xdr:col>
      <xdr:colOff>272367</xdr:colOff>
      <xdr:row>30</xdr:row>
      <xdr:rowOff>171450</xdr:rowOff>
    </xdr:to>
    <xdr:graphicFrame macro="">
      <xdr:nvGraphicFramePr>
        <xdr:cNvPr id="7" name="Chart 43">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271462</xdr:colOff>
      <xdr:row>33</xdr:row>
      <xdr:rowOff>57150</xdr:rowOff>
    </xdr:from>
    <xdr:to>
      <xdr:col>8</xdr:col>
      <xdr:colOff>85725</xdr:colOff>
      <xdr:row>49</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585786</xdr:colOff>
      <xdr:row>34</xdr:row>
      <xdr:rowOff>133349</xdr:rowOff>
    </xdr:from>
    <xdr:to>
      <xdr:col>21</xdr:col>
      <xdr:colOff>304799</xdr:colOff>
      <xdr:row>51</xdr:row>
      <xdr:rowOff>9524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495300</xdr:colOff>
      <xdr:row>34</xdr:row>
      <xdr:rowOff>33337</xdr:rowOff>
    </xdr:from>
    <xdr:to>
      <xdr:col>14</xdr:col>
      <xdr:colOff>361950</xdr:colOff>
      <xdr:row>48</xdr:row>
      <xdr:rowOff>109537</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0_Raw%20material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Other%20inventor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0_Raw%20materials-update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1_La-doped%20BSO%20NP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rnellprod-my.sharepoint.com/Users/Alvin/Desktop/1_Perovskite_20180226/LCI/4_La-doped%20BS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3_PTAA%20solu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rnellprod-my.sharepoint.com/Users/Alvin/Desktop/1_Perovskite_20180226/LCI/7_PTAA%20solution.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Inventory%20for%20recycl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cell r="M3">
            <v>20.685313700000005</v>
          </cell>
          <cell r="N3">
            <v>8.8877999999999999E-2</v>
          </cell>
          <cell r="O3">
            <v>2.2648999999999999</v>
          </cell>
          <cell r="P3">
            <v>0.39137</v>
          </cell>
          <cell r="Q3">
            <v>3.4606999999999999E-2</v>
          </cell>
          <cell r="R3">
            <v>1.4064E-2</v>
          </cell>
          <cell r="S3">
            <v>31.951000000000001</v>
          </cell>
          <cell r="T3">
            <v>0.15866</v>
          </cell>
          <cell r="U3">
            <v>31.074999999999999</v>
          </cell>
          <cell r="V3">
            <v>0.13034999999999999</v>
          </cell>
          <cell r="W3">
            <v>0.17466000000000001</v>
          </cell>
          <cell r="X3">
            <v>1.8164E-4</v>
          </cell>
          <cell r="Y3">
            <v>1.8353E-7</v>
          </cell>
          <cell r="Z3">
            <v>5.0572000000000004E-3</v>
          </cell>
          <cell r="AA3">
            <v>5.9461000000000002E-3</v>
          </cell>
          <cell r="AB3">
            <v>1.0370000000000001E-2</v>
          </cell>
          <cell r="AC3">
            <v>1.3814999999999999E-3</v>
          </cell>
          <cell r="AD3">
            <v>2.3361E-2</v>
          </cell>
          <cell r="AE3">
            <v>1.0649E-2</v>
          </cell>
          <cell r="AF3">
            <v>0.10145</v>
          </cell>
          <cell r="AG3">
            <v>0.30706</v>
          </cell>
          <cell r="AH3">
            <v>5.5032999999999999E-2</v>
          </cell>
        </row>
        <row r="7">
          <cell r="D7">
            <v>0.70992</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15">
          <cell r="D15">
            <v>1.7175</v>
          </cell>
          <cell r="M15">
            <v>24.897364580000001</v>
          </cell>
          <cell r="N15">
            <v>0.10059999999999999</v>
          </cell>
          <cell r="O15">
            <v>1.5791999999999999</v>
          </cell>
          <cell r="P15">
            <v>0.47922999999999999</v>
          </cell>
          <cell r="Q15">
            <v>2.6748000000000001E-2</v>
          </cell>
          <cell r="R15">
            <v>9.5542000000000001E-4</v>
          </cell>
          <cell r="S15">
            <v>40.517000000000003</v>
          </cell>
          <cell r="T15">
            <v>0.17491000000000001</v>
          </cell>
          <cell r="U15">
            <v>31.056000000000001</v>
          </cell>
          <cell r="V15">
            <v>1.7336999999999999E-3</v>
          </cell>
          <cell r="W15">
            <v>0.11890000000000001</v>
          </cell>
          <cell r="X15">
            <v>2.1800000000000001E-4</v>
          </cell>
          <cell r="Y15">
            <v>7.3574000000000005E-7</v>
          </cell>
          <cell r="Z15">
            <v>5.6179999999999997E-3</v>
          </cell>
          <cell r="AA15">
            <v>4.7133000000000001E-3</v>
          </cell>
          <cell r="AB15">
            <v>8.9970999999999992E-3</v>
          </cell>
          <cell r="AC15">
            <v>2.1754999999999999E-3</v>
          </cell>
          <cell r="AD15">
            <v>1.6012999999999999E-2</v>
          </cell>
          <cell r="AE15">
            <v>6.0805E-3</v>
          </cell>
          <cell r="AF15">
            <v>7.6143000000000002E-2</v>
          </cell>
          <cell r="AG15">
            <v>0.34482000000000002</v>
          </cell>
          <cell r="AH15">
            <v>6.2978999999999993E-2</v>
          </cell>
        </row>
        <row r="54">
          <cell r="D54">
            <v>1.3996</v>
          </cell>
          <cell r="M54">
            <v>41.582470999999998</v>
          </cell>
          <cell r="N54">
            <v>1.1153999999999999</v>
          </cell>
          <cell r="O54">
            <v>1.2186999999999999</v>
          </cell>
          <cell r="P54">
            <v>0.34281</v>
          </cell>
          <cell r="Q54">
            <v>3.4125999999999997E-2</v>
          </cell>
          <cell r="R54">
            <v>5.6773000000000001E-4</v>
          </cell>
          <cell r="S54">
            <v>16.718</v>
          </cell>
          <cell r="T54">
            <v>8.7052000000000004E-2</v>
          </cell>
          <cell r="U54">
            <v>13.432</v>
          </cell>
          <cell r="V54">
            <v>6.2411999999999997E-3</v>
          </cell>
          <cell r="W54">
            <v>5.4462000000000003E-2</v>
          </cell>
          <cell r="X54">
            <v>1.0508E-3</v>
          </cell>
          <cell r="Y54">
            <v>8.8975000000000001E-8</v>
          </cell>
          <cell r="Z54">
            <v>3.9167000000000004E-3</v>
          </cell>
          <cell r="AA54">
            <v>4.1108999999999998E-3</v>
          </cell>
          <cell r="AB54">
            <v>1.2865E-2</v>
          </cell>
          <cell r="AC54">
            <v>8.2140000000000008E-3</v>
          </cell>
          <cell r="AD54">
            <v>5.9778999999999999E-2</v>
          </cell>
          <cell r="AE54">
            <v>0.37369000000000002</v>
          </cell>
          <cell r="AF54">
            <v>0.34144999999999998</v>
          </cell>
          <cell r="AG54">
            <v>0.16486999999999999</v>
          </cell>
          <cell r="AH54">
            <v>4.3631999999999997E-2</v>
          </cell>
        </row>
        <row r="70">
          <cell r="D70">
            <v>1.5629999999999999</v>
          </cell>
          <cell r="M70">
            <v>63.38563059749</v>
          </cell>
          <cell r="N70">
            <v>1.5656000000000001E-4</v>
          </cell>
          <cell r="O70">
            <v>1.2816000000000001</v>
          </cell>
          <cell r="P70">
            <v>1.4734</v>
          </cell>
          <cell r="Q70">
            <v>8.8509999999999999E-4</v>
          </cell>
          <cell r="R70">
            <v>1.0322999999999999E-5</v>
          </cell>
          <cell r="S70">
            <v>0.51432999999999995</v>
          </cell>
          <cell r="T70">
            <v>1.3212E-4</v>
          </cell>
          <cell r="U70">
            <v>1.3217000000000001</v>
          </cell>
          <cell r="V70">
            <v>8.1298999999999998E-4</v>
          </cell>
          <cell r="W70">
            <v>7.4337999999999997E-4</v>
          </cell>
          <cell r="X70">
            <v>-1.5176E-7</v>
          </cell>
          <cell r="Y70">
            <v>4.1551E-10</v>
          </cell>
          <cell r="Z70">
            <v>1.1823999999999999E-3</v>
          </cell>
          <cell r="AA70">
            <v>4.3651999999999996E-3</v>
          </cell>
          <cell r="AB70">
            <v>3.7518999999999999E-3</v>
          </cell>
          <cell r="AC70">
            <v>2.2647999999999999E-4</v>
          </cell>
          <cell r="AD70">
            <v>7.6984999999999996E-5</v>
          </cell>
          <cell r="AE70">
            <v>2.1481000000000001E-4</v>
          </cell>
          <cell r="AF70">
            <v>3.5371E-2</v>
          </cell>
          <cell r="AG70">
            <v>5.1270000000000003E-2</v>
          </cell>
          <cell r="AH70">
            <v>0.17671999999999999</v>
          </cell>
        </row>
        <row r="73">
          <cell r="D73">
            <v>5.0880999999999998</v>
          </cell>
          <cell r="M73">
            <v>58.626239200000001</v>
          </cell>
          <cell r="N73">
            <v>0.17121</v>
          </cell>
          <cell r="O73">
            <v>4.6314000000000002</v>
          </cell>
          <cell r="P73">
            <v>1.1948000000000001</v>
          </cell>
          <cell r="Q73">
            <v>0.19231000000000001</v>
          </cell>
          <cell r="R73">
            <v>5.6892000000000002E-3</v>
          </cell>
          <cell r="S73">
            <v>406.25</v>
          </cell>
          <cell r="T73">
            <v>0.17197999999999999</v>
          </cell>
          <cell r="U73">
            <v>235.69</v>
          </cell>
          <cell r="V73">
            <v>8.6817999999999999E-3</v>
          </cell>
          <cell r="W73">
            <v>2.7267000000000001</v>
          </cell>
          <cell r="X73">
            <v>6.9832E-4</v>
          </cell>
          <cell r="Y73">
            <v>2.0142000000000001E-7</v>
          </cell>
          <cell r="Z73">
            <v>1.9768000000000001E-2</v>
          </cell>
          <cell r="AA73">
            <v>2.4782999999999999E-2</v>
          </cell>
          <cell r="AB73">
            <v>5.2720000000000003E-2</v>
          </cell>
          <cell r="AC73">
            <v>6.9123000000000004E-2</v>
          </cell>
          <cell r="AD73">
            <v>5.5924000000000001E-2</v>
          </cell>
          <cell r="AE73">
            <v>7.2290999999999994E-2</v>
          </cell>
          <cell r="AF73">
            <v>0.31942999999999999</v>
          </cell>
          <cell r="AG73">
            <v>2.9803999999999999</v>
          </cell>
          <cell r="AH73">
            <v>0.26987</v>
          </cell>
        </row>
        <row r="74">
          <cell r="D74">
            <v>1.7427E-3</v>
          </cell>
          <cell r="M74">
            <v>2.3977627160000001E-2</v>
          </cell>
          <cell r="N74">
            <v>8.0226000000000001E-5</v>
          </cell>
          <cell r="O74">
            <v>1.603E-3</v>
          </cell>
          <cell r="P74">
            <v>4.6108999999999999E-4</v>
          </cell>
          <cell r="Q74">
            <v>2.4029E-5</v>
          </cell>
          <cell r="R74">
            <v>8.5155000000000003E-7</v>
          </cell>
          <cell r="S74">
            <v>3.1862000000000001E-2</v>
          </cell>
          <cell r="T74">
            <v>1.739E-4</v>
          </cell>
          <cell r="U74">
            <v>2.7362999999999998E-2</v>
          </cell>
          <cell r="V74">
            <v>1.7167E-6</v>
          </cell>
          <cell r="W74">
            <v>1.1456E-4</v>
          </cell>
          <cell r="X74">
            <v>2.2113E-7</v>
          </cell>
          <cell r="Y74">
            <v>7.3037000000000003E-10</v>
          </cell>
          <cell r="Z74">
            <v>5.7030000000000003E-6</v>
          </cell>
          <cell r="AA74">
            <v>4.9044E-6</v>
          </cell>
          <cell r="AB74">
            <v>8.8248000000000006E-6</v>
          </cell>
          <cell r="AC74">
            <v>1.4250999999999999E-6</v>
          </cell>
          <cell r="AD74">
            <v>1.5262000000000001E-5</v>
          </cell>
          <cell r="AE74">
            <v>1.3097E-3</v>
          </cell>
          <cell r="AF74">
            <v>7.5106999999999998E-5</v>
          </cell>
          <cell r="AG74">
            <v>2.8687E-4</v>
          </cell>
          <cell r="AH74">
            <v>6.0606000000000002E-5</v>
          </cell>
        </row>
        <row r="75">
          <cell r="D75">
            <v>2.8612000000000002</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76">
          <cell r="D76">
            <v>1.8261000000000001</v>
          </cell>
          <cell r="M76">
            <v>60.361123550000002</v>
          </cell>
          <cell r="N76">
            <v>3.6722999999999999E-2</v>
          </cell>
          <cell r="O76">
            <v>1.591</v>
          </cell>
          <cell r="P76">
            <v>1.3815</v>
          </cell>
          <cell r="Q76">
            <v>9.2759999999999995E-3</v>
          </cell>
          <cell r="R76">
            <v>2.6277000000000001E-4</v>
          </cell>
          <cell r="S76">
            <v>15.288</v>
          </cell>
          <cell r="T76">
            <v>3.6873999999999997E-2</v>
          </cell>
          <cell r="U76">
            <v>11.382999999999999</v>
          </cell>
          <cell r="V76">
            <v>1.1186E-3</v>
          </cell>
          <cell r="W76">
            <v>6.4592999999999998E-2</v>
          </cell>
          <cell r="X76">
            <v>1.4709E-4</v>
          </cell>
          <cell r="Y76">
            <v>6.472E-8</v>
          </cell>
          <cell r="Z76">
            <v>2.4101000000000001E-3</v>
          </cell>
          <cell r="AA76">
            <v>7.8647999999999999E-3</v>
          </cell>
          <cell r="AB76">
            <v>6.7625999999999997E-3</v>
          </cell>
          <cell r="AC76">
            <v>5.2406999999999996E-4</v>
          </cell>
          <cell r="AD76">
            <v>5.2075000000000003E-3</v>
          </cell>
          <cell r="AE76">
            <v>4.2263999999999999E-3</v>
          </cell>
          <cell r="AF76">
            <v>5.4866999999999999E-2</v>
          </cell>
          <cell r="AG76">
            <v>0.16566</v>
          </cell>
          <cell r="AH76">
            <v>0.16864999999999999</v>
          </cell>
        </row>
        <row r="103">
          <cell r="D103">
            <v>5.4259E-3</v>
          </cell>
          <cell r="M103">
            <v>0.17365606929999999</v>
          </cell>
        </row>
      </sheetData>
      <sheetData sheetId="1"/>
      <sheetData sheetId="2"/>
      <sheetData sheetId="3"/>
      <sheetData sheetId="4">
        <row r="15">
          <cell r="D15">
            <v>0</v>
          </cell>
          <cell r="M15">
            <v>0</v>
          </cell>
          <cell r="N15"/>
          <cell r="O15"/>
          <cell r="P15"/>
          <cell r="Q15">
            <v>1.0511520897095683E-5</v>
          </cell>
          <cell r="R15"/>
          <cell r="S15">
            <v>1.4366951661669828E-2</v>
          </cell>
          <cell r="T15"/>
          <cell r="U15">
            <v>1.7867815068253627E-5</v>
          </cell>
          <cell r="V15"/>
          <cell r="W15"/>
          <cell r="X15"/>
          <cell r="Y15"/>
          <cell r="Z15"/>
          <cell r="AA15">
            <v>0.67398648648648651</v>
          </cell>
          <cell r="AB15"/>
          <cell r="AC15">
            <v>3.7179897031113646E-5</v>
          </cell>
          <cell r="AD15"/>
          <cell r="AE15"/>
          <cell r="AF15">
            <v>8.1614583487299999E-6</v>
          </cell>
          <cell r="AG15">
            <v>3.5455940620700001E-4</v>
          </cell>
          <cell r="AH15"/>
        </row>
        <row r="23">
          <cell r="D23">
            <v>0</v>
          </cell>
          <cell r="M23">
            <v>0</v>
          </cell>
          <cell r="N23"/>
          <cell r="O23"/>
          <cell r="P23"/>
          <cell r="Q23"/>
          <cell r="R23"/>
          <cell r="S23"/>
          <cell r="T23"/>
          <cell r="U23"/>
          <cell r="V23"/>
          <cell r="W23"/>
          <cell r="X23"/>
          <cell r="Y23"/>
          <cell r="Z23"/>
          <cell r="AA23"/>
          <cell r="AB23"/>
          <cell r="AC23"/>
          <cell r="AD23"/>
          <cell r="AE23"/>
          <cell r="AF23"/>
          <cell r="AG23"/>
          <cell r="AH23"/>
        </row>
        <row r="24">
          <cell r="D24">
            <v>0</v>
          </cell>
          <cell r="M24">
            <v>0</v>
          </cell>
          <cell r="N24"/>
          <cell r="O24"/>
          <cell r="P24"/>
          <cell r="Q24"/>
          <cell r="R24"/>
          <cell r="S24"/>
          <cell r="T24"/>
          <cell r="U24"/>
          <cell r="V24"/>
          <cell r="W24"/>
          <cell r="X24"/>
          <cell r="Y24"/>
          <cell r="Z24"/>
          <cell r="AA24">
            <v>0.3175675675675676</v>
          </cell>
          <cell r="AB24"/>
          <cell r="AC24"/>
          <cell r="AD24"/>
          <cell r="AE24"/>
          <cell r="AF24"/>
          <cell r="AG24">
            <v>1.20830586684E-4</v>
          </cell>
          <cell r="AH24"/>
        </row>
        <row r="25">
          <cell r="D25">
            <v>0</v>
          </cell>
          <cell r="M25">
            <v>0</v>
          </cell>
          <cell r="N25"/>
          <cell r="O25"/>
          <cell r="P25"/>
          <cell r="Q25">
            <v>1.8285430284917717E-5</v>
          </cell>
          <cell r="R25"/>
          <cell r="S25">
            <v>0.14896775129815301</v>
          </cell>
          <cell r="T25"/>
          <cell r="U25">
            <v>7.4567515026773893E-5</v>
          </cell>
          <cell r="V25"/>
          <cell r="W25"/>
          <cell r="X25"/>
          <cell r="Y25"/>
          <cell r="Z25"/>
          <cell r="AA25">
            <v>0.1587837837837838</v>
          </cell>
          <cell r="AB25"/>
          <cell r="AC25">
            <v>3.0347324622674447E-5</v>
          </cell>
          <cell r="AD25"/>
          <cell r="AE25"/>
          <cell r="AF25">
            <v>6.6891399295099997E-6</v>
          </cell>
          <cell r="AG25">
            <v>1.0777560339100001E-3</v>
          </cell>
          <cell r="AH25"/>
        </row>
        <row r="26">
          <cell r="D26">
            <v>0</v>
          </cell>
          <cell r="M26">
            <v>0</v>
          </cell>
          <cell r="N26"/>
          <cell r="O26"/>
          <cell r="P26"/>
          <cell r="Q26">
            <v>5.5239331204532241E-6</v>
          </cell>
          <cell r="R26"/>
          <cell r="S26"/>
          <cell r="T26"/>
          <cell r="U26">
            <v>3.2144404879240416E-7</v>
          </cell>
          <cell r="V26"/>
          <cell r="W26"/>
          <cell r="X26"/>
          <cell r="Y26"/>
          <cell r="Z26"/>
          <cell r="AA26"/>
          <cell r="AB26"/>
          <cell r="AC26">
            <v>1.3004211950132588E-4</v>
          </cell>
          <cell r="AD26"/>
          <cell r="AE26"/>
          <cell r="AF26"/>
          <cell r="AG26"/>
          <cell r="AH26"/>
        </row>
        <row r="27">
          <cell r="D27">
            <v>0</v>
          </cell>
          <cell r="M27">
            <v>0</v>
          </cell>
          <cell r="N27"/>
          <cell r="O27"/>
          <cell r="P27"/>
          <cell r="Q27">
            <v>7.5601659477170543E-8</v>
          </cell>
          <cell r="R27"/>
          <cell r="S27">
            <v>2.347224946933776</v>
          </cell>
          <cell r="T27"/>
          <cell r="U27">
            <v>1.0183648025892004E-6</v>
          </cell>
          <cell r="V27"/>
          <cell r="W27"/>
          <cell r="X27"/>
          <cell r="Y27"/>
          <cell r="Z27"/>
          <cell r="AA27"/>
          <cell r="AB27"/>
          <cell r="AC27">
            <v>1.2722639344855543E-7</v>
          </cell>
          <cell r="AD27"/>
          <cell r="AE27"/>
          <cell r="AF27"/>
          <cell r="AG27">
            <v>2.4808833223500002E-4</v>
          </cell>
          <cell r="AH27"/>
        </row>
        <row r="28">
          <cell r="D28">
            <v>0</v>
          </cell>
          <cell r="M28">
            <v>0</v>
          </cell>
          <cell r="N28"/>
          <cell r="O28"/>
          <cell r="P28"/>
          <cell r="Q28"/>
          <cell r="R28"/>
          <cell r="S28"/>
          <cell r="T28"/>
          <cell r="U28"/>
          <cell r="V28"/>
          <cell r="W28"/>
          <cell r="X28"/>
          <cell r="Y28"/>
          <cell r="Z28"/>
          <cell r="AA28"/>
          <cell r="AB28"/>
          <cell r="AC28"/>
          <cell r="AD28"/>
          <cell r="AE28"/>
          <cell r="AF28"/>
          <cell r="AG28"/>
          <cell r="AH28"/>
        </row>
        <row r="29">
          <cell r="D29">
            <v>0</v>
          </cell>
          <cell r="M29">
            <v>0</v>
          </cell>
          <cell r="N29"/>
          <cell r="O29"/>
          <cell r="P29"/>
          <cell r="Q29">
            <v>1.1751080598935332E-5</v>
          </cell>
          <cell r="R29"/>
          <cell r="S29">
            <v>0.81953289431067988</v>
          </cell>
          <cell r="T29"/>
          <cell r="U29">
            <v>9.0730455974452539E-5</v>
          </cell>
          <cell r="V29"/>
          <cell r="W29"/>
          <cell r="X29"/>
          <cell r="Y29"/>
          <cell r="Z29"/>
          <cell r="AA29">
            <v>1.0760135135135136</v>
          </cell>
          <cell r="AB29"/>
          <cell r="AC29">
            <v>1.3507404621151019E-5</v>
          </cell>
          <cell r="AD29"/>
          <cell r="AE29"/>
          <cell r="AF29">
            <v>2.9965569184499998E-6</v>
          </cell>
          <cell r="AG29">
            <v>6.0062200297099997E-3</v>
          </cell>
          <cell r="AH29"/>
        </row>
        <row r="30">
          <cell r="D30">
            <v>0</v>
          </cell>
          <cell r="M30">
            <v>0</v>
          </cell>
          <cell r="N30"/>
          <cell r="O30"/>
          <cell r="P30"/>
          <cell r="Q30">
            <v>1.7003303175320737E-4</v>
          </cell>
          <cell r="R30"/>
          <cell r="S30">
            <v>0.47081152258220021</v>
          </cell>
          <cell r="T30"/>
          <cell r="U30">
            <v>1.7402003843569559E-3</v>
          </cell>
          <cell r="V30"/>
          <cell r="W30"/>
          <cell r="X30"/>
          <cell r="Y30"/>
          <cell r="Z30"/>
          <cell r="AA30"/>
          <cell r="AB30"/>
          <cell r="AC30">
            <v>3.7040677832114982E-4</v>
          </cell>
          <cell r="AD30"/>
          <cell r="AE30"/>
          <cell r="AF30">
            <v>8.1790920700099996E-5</v>
          </cell>
          <cell r="AG30">
            <v>3.2152982030000002E-3</v>
          </cell>
          <cell r="AH30"/>
        </row>
        <row r="31">
          <cell r="D31">
            <v>0</v>
          </cell>
          <cell r="M31">
            <v>0</v>
          </cell>
          <cell r="N31"/>
          <cell r="O31"/>
          <cell r="P31"/>
          <cell r="Q31">
            <v>7.2393455475090209E-4</v>
          </cell>
          <cell r="R31"/>
          <cell r="S31"/>
          <cell r="T31"/>
          <cell r="U31">
            <v>8.2456497860484632E-3</v>
          </cell>
          <cell r="V31"/>
          <cell r="W31"/>
          <cell r="X31"/>
          <cell r="Y31"/>
          <cell r="Z31"/>
          <cell r="AA31"/>
          <cell r="AB31"/>
          <cell r="AC31">
            <v>4.2877556391883285E-4</v>
          </cell>
          <cell r="AD31"/>
          <cell r="AE31"/>
          <cell r="AF31"/>
          <cell r="AG31"/>
          <cell r="AH31"/>
        </row>
      </sheetData>
      <sheetData sheetId="5">
        <row r="3">
          <cell r="D3">
            <v>0.6900927939999999</v>
          </cell>
        </row>
        <row r="4">
          <cell r="D4">
            <v>4.5641478346943822</v>
          </cell>
        </row>
        <row r="5">
          <cell r="D5">
            <v>161.5361359123435</v>
          </cell>
        </row>
        <row r="6">
          <cell r="D6">
            <v>1.816623717028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cell r="M17">
            <v>3431.2608150330084</v>
          </cell>
          <cell r="N17">
            <v>16.135752796779965</v>
          </cell>
          <cell r="O17">
            <v>147.82446722719141</v>
          </cell>
          <cell r="P17">
            <v>68.175556314847952</v>
          </cell>
          <cell r="Q17">
            <v>5.572385187119858</v>
          </cell>
          <cell r="R17">
            <v>0.13118079564400717</v>
          </cell>
          <cell r="S17">
            <v>6537.4459293381042</v>
          </cell>
          <cell r="T17">
            <v>15.803840549194994</v>
          </cell>
          <cell r="U17">
            <v>4972.9006245080509</v>
          </cell>
          <cell r="V17">
            <v>0.2099851833631485</v>
          </cell>
          <cell r="W17">
            <v>11.809114722719142</v>
          </cell>
          <cell r="X17">
            <v>3.1179799194991059E-2</v>
          </cell>
          <cell r="Y17">
            <v>5.3447523288014325E-5</v>
          </cell>
          <cell r="Z17">
            <v>0.48246033041144909</v>
          </cell>
          <cell r="AA17">
            <v>0.64966431082289811</v>
          </cell>
          <cell r="AB17">
            <v>1.2243395606440073</v>
          </cell>
          <cell r="AC17">
            <v>0.23228549325581402</v>
          </cell>
          <cell r="AD17">
            <v>2.2316178839892671</v>
          </cell>
          <cell r="AE17">
            <v>2.8985800698926663</v>
          </cell>
          <cell r="AF17">
            <v>9.2571725205724515</v>
          </cell>
          <cell r="AG17">
            <v>51.018806940966016</v>
          </cell>
          <cell r="AH17">
            <v>8.7229145447227197</v>
          </cell>
        </row>
      </sheetData>
      <sheetData sheetId="2">
        <row r="41">
          <cell r="D41">
            <v>0.6900927939999999</v>
          </cell>
          <cell r="M41">
            <v>16.870840664507959</v>
          </cell>
          <cell r="N41">
            <v>1.2304100629300001</v>
          </cell>
          <cell r="O41">
            <v>0.71155339899999992</v>
          </cell>
          <cell r="P41">
            <v>0.16598633829999998</v>
          </cell>
          <cell r="Q41">
            <v>1.9207721611635292E-2</v>
          </cell>
          <cell r="R41">
            <v>4.0224563808999997E-4</v>
          </cell>
          <cell r="S41">
            <v>24.778602629582721</v>
          </cell>
          <cell r="T41">
            <v>4.3648278519999993E-2</v>
          </cell>
          <cell r="U41">
            <v>17.545004398641137</v>
          </cell>
          <cell r="V41">
            <v>2.1058137381999996E-3</v>
          </cell>
          <cell r="W41">
            <v>7.485683762029999</v>
          </cell>
          <cell r="X41">
            <v>5.2843976053999992E-4</v>
          </cell>
          <cell r="Y41">
            <v>4.481888471999999E-8</v>
          </cell>
          <cell r="Z41">
            <v>6.2016636211999999E-3</v>
          </cell>
          <cell r="AA41">
            <v>9.5497049174216204E-3</v>
          </cell>
          <cell r="AB41">
            <v>1.2424807466E-2</v>
          </cell>
          <cell r="AC41">
            <v>1.4737965990842938E-3</v>
          </cell>
          <cell r="AD41">
            <v>2.9310167130999997E-2</v>
          </cell>
          <cell r="AE41">
            <v>1.5347061815999996E-3</v>
          </cell>
          <cell r="AF41">
            <v>0.10118733074544357</v>
          </cell>
          <cell r="AG41">
            <v>0.20367506328805784</v>
          </cell>
          <cell r="AH41">
            <v>0.36744772991999997</v>
          </cell>
        </row>
      </sheetData>
      <sheetData sheetId="3">
        <row r="14">
          <cell r="D14">
            <v>16.837863429999999</v>
          </cell>
        </row>
      </sheetData>
      <sheetData sheetId="4">
        <row r="14">
          <cell r="D14">
            <v>1.816623717028</v>
          </cell>
          <cell r="M14">
            <v>49.235883967569862</v>
          </cell>
          <cell r="N14">
            <v>1.031942146719008</v>
          </cell>
          <cell r="O14">
            <v>1.571679025116</v>
          </cell>
          <cell r="P14">
            <v>0.56452762463599993</v>
          </cell>
          <cell r="Q14">
            <v>3.6490840867999995E-2</v>
          </cell>
          <cell r="R14">
            <v>6.7762399148959987E-4</v>
          </cell>
          <cell r="S14">
            <v>22.165093164199998</v>
          </cell>
          <cell r="T14">
            <v>0.1099822682052</v>
          </cell>
          <cell r="U14">
            <v>18.255521079160001</v>
          </cell>
          <cell r="V14">
            <v>6.0900339802000001E-3</v>
          </cell>
          <cell r="W14">
            <v>6.8993196383600006E-2</v>
          </cell>
          <cell r="X14">
            <v>1.068494039446E-3</v>
          </cell>
          <cell r="Y14">
            <v>1.435786231096E-7</v>
          </cell>
          <cell r="Z14">
            <v>4.5740298416480007E-3</v>
          </cell>
          <cell r="AA14">
            <v>5.7932781494399992E-3</v>
          </cell>
          <cell r="AB14">
            <v>1.4153469894000001E-2</v>
          </cell>
          <cell r="AC14">
            <v>7.7372104642912014E-3</v>
          </cell>
          <cell r="AD14">
            <v>5.9085341149744001E-2</v>
          </cell>
          <cell r="AE14">
            <v>0.34168602040953444</v>
          </cell>
          <cell r="AF14">
            <v>0.32895532035960001</v>
          </cell>
          <cell r="AG14">
            <v>0.21573273067080001</v>
          </cell>
          <cell r="AH14">
            <v>7.1616409671400011E-2</v>
          </cell>
        </row>
      </sheetData>
      <sheetData sheetId="5">
        <row r="33">
          <cell r="D33">
            <v>121.5468471027569</v>
          </cell>
        </row>
      </sheetData>
      <sheetData sheetId="6"/>
      <sheetData sheetId="7"/>
      <sheetData sheetId="8">
        <row r="16">
          <cell r="D16">
            <v>681.91697298744145</v>
          </cell>
        </row>
      </sheetData>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46">
          <cell r="D46">
            <v>2.6876000000000002</v>
          </cell>
          <cell r="M46">
            <v>40.380196750000003</v>
          </cell>
          <cell r="N46">
            <v>0.14061999999999999</v>
          </cell>
          <cell r="O46">
            <v>2.4859</v>
          </cell>
          <cell r="P46">
            <v>0.71387</v>
          </cell>
          <cell r="Q46">
            <v>3.5333999999999997E-2</v>
          </cell>
          <cell r="R46">
            <v>1.4566E-3</v>
          </cell>
          <cell r="S46">
            <v>46.789000000000001</v>
          </cell>
          <cell r="T46">
            <v>0.41410999999999998</v>
          </cell>
          <cell r="U46">
            <v>40.326999999999998</v>
          </cell>
          <cell r="V46">
            <v>2.4256999999999998E-3</v>
          </cell>
          <cell r="W46">
            <v>3.2414999999999999E-2</v>
          </cell>
          <cell r="X46">
            <v>2.9548999999999998E-4</v>
          </cell>
          <cell r="Y46">
            <v>1.4875000000000001E-7</v>
          </cell>
          <cell r="Z46">
            <v>8.3315000000000004E-3</v>
          </cell>
          <cell r="AA46">
            <v>6.6281999999999999E-3</v>
          </cell>
          <cell r="AB46">
            <v>1.3127E-2</v>
          </cell>
          <cell r="AC46">
            <v>8.9937000000000003E-4</v>
          </cell>
          <cell r="AD46">
            <v>1.5989E-2</v>
          </cell>
          <cell r="AE46">
            <v>1.0525E-2</v>
          </cell>
          <cell r="AF46">
            <v>0.10639</v>
          </cell>
          <cell r="AG46">
            <v>0.42542000000000002</v>
          </cell>
          <cell r="AH46">
            <v>8.7106000000000003E-2</v>
          </cell>
        </row>
        <row r="67">
          <cell r="D67">
            <v>2.3182999999999998</v>
          </cell>
          <cell r="M67">
            <v>67.359827543199998</v>
          </cell>
          <cell r="N67">
            <v>3.815E-4</v>
          </cell>
          <cell r="O67">
            <v>1.9301999999999999</v>
          </cell>
          <cell r="P67">
            <v>1.5439000000000001</v>
          </cell>
          <cell r="Q67">
            <v>1.6306999999999999E-2</v>
          </cell>
          <cell r="R67">
            <v>1.5555000000000001E-4</v>
          </cell>
          <cell r="S67">
            <v>1.0630999999999999</v>
          </cell>
          <cell r="T67">
            <v>3.0912000000000002E-4</v>
          </cell>
          <cell r="U67">
            <v>2.0948000000000002</v>
          </cell>
          <cell r="V67">
            <v>1.8067000000000001E-3</v>
          </cell>
          <cell r="W67">
            <v>1.2439E-3</v>
          </cell>
          <cell r="X67">
            <v>-1.8767000000000001E-7</v>
          </cell>
          <cell r="Y67">
            <v>9.5567000000000007E-10</v>
          </cell>
          <cell r="Z67">
            <v>2.7970999999999998E-3</v>
          </cell>
          <cell r="AA67">
            <v>9.0612999999999996E-3</v>
          </cell>
          <cell r="AB67">
            <v>1.0168E-2</v>
          </cell>
          <cell r="AC67">
            <v>1.794E-4</v>
          </cell>
          <cell r="AD67">
            <v>1.6490999999999999E-4</v>
          </cell>
          <cell r="AE67">
            <v>1.3814E-4</v>
          </cell>
          <cell r="AF67">
            <v>5.3408999999999998E-2</v>
          </cell>
          <cell r="AG67">
            <v>8.3083000000000004E-2</v>
          </cell>
          <cell r="AH67">
            <v>0.1852</v>
          </cell>
        </row>
        <row r="91">
          <cell r="D91">
            <v>1.1845000000000001</v>
          </cell>
          <cell r="M91">
            <v>16.137803399999999</v>
          </cell>
          <cell r="N91">
            <v>4.6581999999999998E-2</v>
          </cell>
          <cell r="O91">
            <v>1.0933999999999999</v>
          </cell>
          <cell r="P91">
            <v>0.30948999999999999</v>
          </cell>
          <cell r="Q91">
            <v>1.4300999999999999E-2</v>
          </cell>
          <cell r="R91">
            <v>5.8091999999999996E-4</v>
          </cell>
          <cell r="S91">
            <v>19.337</v>
          </cell>
          <cell r="T91">
            <v>0.12024</v>
          </cell>
          <cell r="U91">
            <v>16.533999999999999</v>
          </cell>
          <cell r="V91">
            <v>1.0808E-3</v>
          </cell>
          <cell r="W91">
            <v>1.2095E-2</v>
          </cell>
          <cell r="X91">
            <v>1.2846E-4</v>
          </cell>
          <cell r="Y91">
            <v>5.3706999999999999E-8</v>
          </cell>
          <cell r="Z91">
            <v>3.9915000000000003E-3</v>
          </cell>
          <cell r="AA91">
            <v>2.9899000000000002E-3</v>
          </cell>
          <cell r="AB91">
            <v>5.8507000000000003E-3</v>
          </cell>
          <cell r="AC91">
            <v>3.7492999999999999E-4</v>
          </cell>
          <cell r="AD91">
            <v>7.1199999999999996E-3</v>
          </cell>
          <cell r="AE91">
            <v>4.3444E-3</v>
          </cell>
          <cell r="AF91">
            <v>4.5281000000000002E-2</v>
          </cell>
          <cell r="AG91">
            <v>0.17960000000000001</v>
          </cell>
          <cell r="AH91">
            <v>3.7673999999999999E-2</v>
          </cell>
        </row>
        <row r="133">
          <cell r="D133">
            <v>5.0429000000000004</v>
          </cell>
          <cell r="M133">
            <v>72.516837530000004</v>
          </cell>
          <cell r="N133">
            <v>0.36879000000000001</v>
          </cell>
          <cell r="O133">
            <v>4.6026999999999996</v>
          </cell>
          <cell r="P133">
            <v>1.3364</v>
          </cell>
          <cell r="Q133">
            <v>4.9623999999999997</v>
          </cell>
          <cell r="R133">
            <v>0.1462</v>
          </cell>
          <cell r="S133">
            <v>12489</v>
          </cell>
          <cell r="T133">
            <v>0.46650000000000003</v>
          </cell>
          <cell r="U133">
            <v>6530.1</v>
          </cell>
          <cell r="V133">
            <v>3.0044000000000001E-2</v>
          </cell>
          <cell r="W133">
            <v>47.875</v>
          </cell>
          <cell r="X133">
            <v>1.9903999999999998E-3</v>
          </cell>
          <cell r="Y133">
            <v>3.0008000000000002E-7</v>
          </cell>
          <cell r="Z133">
            <v>0.14541000000000001</v>
          </cell>
          <cell r="AA133">
            <v>9.3449000000000004E-2</v>
          </cell>
          <cell r="AB133">
            <v>0.48734</v>
          </cell>
          <cell r="AC133">
            <v>0.61521000000000003</v>
          </cell>
          <cell r="AD133">
            <v>0.43630999999999998</v>
          </cell>
          <cell r="AE133">
            <v>0.16158</v>
          </cell>
          <cell r="AF133">
            <v>2.3043</v>
          </cell>
          <cell r="AG133">
            <v>85.805999999999997</v>
          </cell>
          <cell r="AH133">
            <v>2.3824999999999998</v>
          </cell>
        </row>
      </sheetData>
      <sheetData sheetId="1"/>
      <sheetData sheetId="2"/>
      <sheetData sheetId="3"/>
      <sheetData sheetId="4">
        <row r="39">
          <cell r="D39">
            <v>0</v>
          </cell>
          <cell r="M39">
            <v>0</v>
          </cell>
          <cell r="Q39">
            <v>40.124148502200001</v>
          </cell>
          <cell r="S39">
            <v>52.091288566700001</v>
          </cell>
          <cell r="U39">
            <v>91486.4735506</v>
          </cell>
          <cell r="AC39">
            <v>420.11577236699998</v>
          </cell>
          <cell r="AF39">
            <v>115.505179849</v>
          </cell>
          <cell r="AG39">
            <v>0.35574538533400002</v>
          </cell>
        </row>
      </sheetData>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sheetNames>
    <sheetDataSet>
      <sheetData sheetId="0">
        <row r="28">
          <cell r="H28">
            <v>7.7115314950116911</v>
          </cell>
          <cell r="I28">
            <v>124.24439423942842</v>
          </cell>
          <cell r="J28">
            <v>1.571682527935959</v>
          </cell>
          <cell r="K28">
            <v>6.9245541434713616</v>
          </cell>
          <cell r="L28">
            <v>2.28489315244305</v>
          </cell>
          <cell r="M28">
            <v>0.16621570723980958</v>
          </cell>
          <cell r="N28">
            <v>4.2050271201073573E-3</v>
          </cell>
          <cell r="O28">
            <v>188.51854240926258</v>
          </cell>
          <cell r="P28">
            <v>0.64520136893879576</v>
          </cell>
          <cell r="Q28">
            <v>151.51313583989241</v>
          </cell>
          <cell r="R28">
            <v>1.5836209269719698E-2</v>
          </cell>
          <cell r="S28">
            <v>292.82423604882143</v>
          </cell>
          <cell r="T28">
            <v>1.7433592457244382E-2</v>
          </cell>
          <cell r="U28">
            <v>7.6420948241993925E-7</v>
          </cell>
          <cell r="V28">
            <v>7.226148572875607E-2</v>
          </cell>
          <cell r="W28">
            <v>5.0030265473147109E-2</v>
          </cell>
          <cell r="X28">
            <v>0.11079261584595412</v>
          </cell>
          <cell r="Y28">
            <v>6.1429732688641804E-3</v>
          </cell>
          <cell r="Z28">
            <v>0.30585485702653731</v>
          </cell>
          <cell r="AA28">
            <v>8.0747996803549882E-2</v>
          </cell>
          <cell r="AB28">
            <v>1.6485346038492728</v>
          </cell>
          <cell r="AC28">
            <v>1.7057354551730906</v>
          </cell>
          <cell r="AD28">
            <v>13.869264568285471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5% La-doped BSO"/>
      <sheetName val="4_La-doped BSO"/>
    </sheetNames>
    <sheetDataSet>
      <sheetData sheetId="0">
        <row r="16">
          <cell r="E16">
            <v>2.7977200000000004</v>
          </cell>
        </row>
        <row r="17">
          <cell r="E17">
            <v>1.8645026243093925</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sheetNames>
    <sheetDataSet>
      <sheetData sheetId="0">
        <row r="84">
          <cell r="AP84">
            <v>21.125313930570261</v>
          </cell>
          <cell r="AQ84">
            <v>357.60997870788862</v>
          </cell>
          <cell r="AR84">
            <v>1.1400343295311672</v>
          </cell>
          <cell r="AS84">
            <v>18.919970952975749</v>
          </cell>
          <cell r="AT84">
            <v>7.7806817329889943</v>
          </cell>
          <cell r="AU84">
            <v>0.53824040285208763</v>
          </cell>
          <cell r="AV84">
            <v>1.1106378301439106E-2</v>
          </cell>
          <cell r="AW84">
            <v>567.63936084101829</v>
          </cell>
          <cell r="AX84">
            <v>1.0260604439654011</v>
          </cell>
          <cell r="AY84">
            <v>428.1272085320515</v>
          </cell>
          <cell r="AZ84">
            <v>2.2528083541225288E-2</v>
          </cell>
          <cell r="BA84">
            <v>1.315774379132616</v>
          </cell>
          <cell r="BB84">
            <v>2.9692136289107543E-3</v>
          </cell>
          <cell r="BC84">
            <v>3.2181105198687469E-6</v>
          </cell>
          <cell r="BD84">
            <v>5.7338625350376531E-2</v>
          </cell>
          <cell r="BE84">
            <v>6.7646014522934617E-2</v>
          </cell>
          <cell r="BF84">
            <v>0.18705421224081384</v>
          </cell>
          <cell r="BG84">
            <v>5.5726840947356006E-2</v>
          </cell>
          <cell r="BH84">
            <v>0.13221813207965974</v>
          </cell>
          <cell r="BI84">
            <v>4.259936378619622E-2</v>
          </cell>
          <cell r="BJ84">
            <v>0.80238604319775308</v>
          </cell>
          <cell r="BK84">
            <v>4.6721334368351233</v>
          </cell>
          <cell r="BL84">
            <v>0.99032570337523829</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dCl2 pro"/>
      <sheetName val="Na2PdCl4 pro"/>
      <sheetName val="Dibenzylideneacetone pro"/>
      <sheetName val="Pd2(dba)3 pro"/>
      <sheetName val="cyclopentadiene"/>
      <sheetName val="Ferrocene pro"/>
      <sheetName val="CH3(CH2)3Br pro"/>
      <sheetName val="Bu-Li pro"/>
      <sheetName val="Lithiation"/>
      <sheetName val="Ph2PCl pro"/>
      <sheetName val="DPPF pro"/>
      <sheetName val="NaH preparation"/>
      <sheetName val="NaO-t-Bu pro"/>
      <sheetName val="MTPA3 pro"/>
      <sheetName val="Isopropyl borate"/>
      <sheetName val="pinacol"/>
      <sheetName val="HgCl2 production"/>
      <sheetName val="C9H19BO3"/>
      <sheetName val="PTAA pro"/>
      <sheetName val="mi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E5">
            <v>1.4999999999999999E-2</v>
          </cell>
        </row>
        <row r="6">
          <cell r="E6">
            <v>1.3005</v>
          </cell>
        </row>
        <row r="7">
          <cell r="E7">
            <v>0.17</v>
          </cell>
        </row>
        <row r="8">
          <cell r="E8">
            <v>0.78600000000000003</v>
          </cell>
        </row>
        <row r="9">
          <cell r="E9">
            <v>6.9225000000000003</v>
          </cell>
        </row>
        <row r="11">
          <cell r="E11">
            <v>9.1940000000000008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TO with TiO2"/>
      <sheetName val="ITO"/>
      <sheetName val="FTO with TiO2-old"/>
      <sheetName val="ITO-old"/>
    </sheetNames>
    <sheetDataSet>
      <sheetData sheetId="0">
        <row r="25">
          <cell r="U25">
            <v>2.6824762082719671</v>
          </cell>
        </row>
      </sheetData>
      <sheetData sheetId="1">
        <row r="19">
          <cell r="E19">
            <v>0.15812767160784313</v>
          </cell>
        </row>
      </sheetData>
      <sheetData sheetId="2">
        <row r="28">
          <cell r="Q28">
            <v>6.2954943647999988</v>
          </cell>
          <cell r="R28">
            <v>102.3232979508053</v>
          </cell>
        </row>
      </sheetData>
      <sheetData sheetId="3">
        <row r="23">
          <cell r="E23">
            <v>0.15919747552941177</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70"/>
  <sheetViews>
    <sheetView zoomScaleNormal="100" workbookViewId="0">
      <selection activeCell="B10" sqref="B10"/>
    </sheetView>
  </sheetViews>
  <sheetFormatPr defaultColWidth="9.140625" defaultRowHeight="15"/>
  <cols>
    <col min="1" max="1" width="44.7109375" style="17" customWidth="1"/>
    <col min="2" max="2" width="14.140625" style="17" customWidth="1"/>
    <col min="3" max="3" width="28.42578125" style="17" customWidth="1"/>
    <col min="4" max="4" width="9.140625" style="17"/>
    <col min="5" max="5" width="10.7109375" style="17" customWidth="1"/>
    <col min="6" max="6" width="13.28515625" style="12" customWidth="1"/>
    <col min="7" max="7" width="42.7109375" style="17" customWidth="1"/>
    <col min="8" max="8" width="27.7109375" style="17" customWidth="1"/>
    <col min="9" max="9" width="26" style="17" customWidth="1"/>
    <col min="10" max="10" width="30.7109375" style="12" customWidth="1"/>
    <col min="11" max="11" width="23" style="12" customWidth="1"/>
    <col min="12" max="32" width="17.85546875" style="17" customWidth="1"/>
    <col min="33" max="33" width="11.7109375" style="17" customWidth="1"/>
    <col min="34" max="16384" width="9.140625" style="17"/>
  </cols>
  <sheetData>
    <row r="1" spans="1:32" s="76" customFormat="1" ht="15.75" thickBot="1">
      <c r="A1" s="114" t="s">
        <v>178</v>
      </c>
      <c r="B1" s="115" t="s">
        <v>179</v>
      </c>
      <c r="C1" s="116" t="s">
        <v>180</v>
      </c>
      <c r="F1" s="12"/>
      <c r="J1" s="12"/>
      <c r="K1" s="12"/>
    </row>
    <row r="2" spans="1:32" s="76" customFormat="1">
      <c r="A2" s="125" t="s">
        <v>169</v>
      </c>
      <c r="B2" s="104">
        <v>0.9</v>
      </c>
      <c r="C2" s="123" t="s">
        <v>181</v>
      </c>
      <c r="D2" s="100"/>
      <c r="F2" s="12"/>
      <c r="J2" s="12"/>
      <c r="K2" s="12"/>
    </row>
    <row r="3" spans="1:32" s="76" customFormat="1">
      <c r="A3" s="126" t="s">
        <v>170</v>
      </c>
      <c r="B3" s="102">
        <v>0.95</v>
      </c>
      <c r="C3" s="124" t="s">
        <v>181</v>
      </c>
      <c r="F3" s="12"/>
      <c r="J3" s="12"/>
      <c r="K3" s="12"/>
    </row>
    <row r="4" spans="1:32" s="76" customFormat="1">
      <c r="A4" s="129" t="s">
        <v>171</v>
      </c>
      <c r="B4" s="102">
        <v>1</v>
      </c>
      <c r="C4" s="130" t="s">
        <v>183</v>
      </c>
      <c r="F4" s="12"/>
      <c r="J4" s="12"/>
      <c r="K4" s="12"/>
    </row>
    <row r="5" spans="1:32" s="76" customFormat="1">
      <c r="A5" s="129" t="s">
        <v>172</v>
      </c>
      <c r="B5" s="102">
        <v>1</v>
      </c>
      <c r="C5" s="130" t="s">
        <v>183</v>
      </c>
      <c r="F5" s="12"/>
      <c r="J5" s="12"/>
      <c r="K5" s="12"/>
    </row>
    <row r="6" spans="1:32" s="76" customFormat="1">
      <c r="A6" s="129" t="s">
        <v>173</v>
      </c>
      <c r="B6" s="102">
        <v>1</v>
      </c>
      <c r="C6" s="130" t="s">
        <v>183</v>
      </c>
      <c r="F6" s="12"/>
      <c r="J6" s="12"/>
      <c r="K6" s="12"/>
    </row>
    <row r="7" spans="1:32" s="76" customFormat="1">
      <c r="A7" s="129" t="s">
        <v>174</v>
      </c>
      <c r="B7" s="102">
        <v>1</v>
      </c>
      <c r="C7" s="130" t="s">
        <v>183</v>
      </c>
      <c r="F7" s="12"/>
      <c r="J7" s="12"/>
      <c r="K7" s="12"/>
    </row>
    <row r="8" spans="1:32" s="76" customFormat="1">
      <c r="A8" s="129" t="s">
        <v>175</v>
      </c>
      <c r="B8" s="102">
        <v>1</v>
      </c>
      <c r="C8" s="130" t="s">
        <v>183</v>
      </c>
      <c r="F8" s="12"/>
      <c r="J8" s="12"/>
      <c r="K8" s="12"/>
    </row>
    <row r="9" spans="1:32" s="76" customFormat="1">
      <c r="A9" s="129" t="s">
        <v>176</v>
      </c>
      <c r="B9" s="102">
        <v>1</v>
      </c>
      <c r="C9" s="130" t="s">
        <v>183</v>
      </c>
      <c r="F9" s="12"/>
      <c r="J9" s="12"/>
      <c r="K9" s="12"/>
    </row>
    <row r="10" spans="1:32" s="76" customFormat="1" ht="15.75" thickBot="1">
      <c r="A10" s="127" t="s">
        <v>177</v>
      </c>
      <c r="B10" s="103">
        <v>0.8</v>
      </c>
      <c r="C10" s="128" t="s">
        <v>182</v>
      </c>
      <c r="F10" s="12"/>
      <c r="J10" s="12"/>
      <c r="K10" s="12"/>
    </row>
    <row r="11" spans="1:32" s="76" customFormat="1">
      <c r="F11" s="12"/>
      <c r="J11" s="12"/>
      <c r="K11" s="12"/>
    </row>
    <row r="12" spans="1:32" s="16" customFormat="1" ht="32.25" customHeight="1">
      <c r="A12" s="77" t="s">
        <v>162</v>
      </c>
      <c r="B12" s="77" t="s">
        <v>0</v>
      </c>
      <c r="C12" s="77" t="s">
        <v>1</v>
      </c>
      <c r="D12" s="77" t="s">
        <v>2</v>
      </c>
      <c r="E12" s="77" t="s">
        <v>3</v>
      </c>
      <c r="F12" s="78" t="s">
        <v>4</v>
      </c>
      <c r="G12" s="135" t="s">
        <v>5</v>
      </c>
      <c r="H12" s="135"/>
      <c r="I12" s="136"/>
      <c r="J12" s="136"/>
      <c r="K12" s="136"/>
      <c r="L12" s="136" t="s">
        <v>6</v>
      </c>
      <c r="M12" s="136"/>
      <c r="N12" s="136"/>
      <c r="O12" s="136"/>
      <c r="P12" s="136"/>
      <c r="Q12" s="136"/>
      <c r="R12" s="136"/>
      <c r="S12" s="136"/>
      <c r="T12" s="136"/>
      <c r="U12" s="136"/>
      <c r="V12" s="136"/>
      <c r="W12" s="136"/>
      <c r="X12" s="136"/>
      <c r="Y12" s="136"/>
      <c r="Z12" s="136"/>
      <c r="AA12" s="136"/>
      <c r="AB12" s="136"/>
      <c r="AC12" s="136"/>
      <c r="AD12" s="137" t="s">
        <v>7</v>
      </c>
      <c r="AE12" s="137"/>
      <c r="AF12" s="137"/>
    </row>
    <row r="13" spans="1:32">
      <c r="A13" s="79" t="s">
        <v>8</v>
      </c>
      <c r="B13" s="80"/>
      <c r="C13" s="80"/>
      <c r="D13" s="80"/>
      <c r="E13" s="80"/>
      <c r="F13" s="81"/>
      <c r="G13" s="80"/>
      <c r="H13" s="80"/>
      <c r="I13" s="82"/>
      <c r="J13" s="83" t="s">
        <v>9</v>
      </c>
      <c r="K13" s="83" t="s">
        <v>10</v>
      </c>
      <c r="L13" s="84" t="s">
        <v>11</v>
      </c>
      <c r="M13" s="84" t="s">
        <v>12</v>
      </c>
      <c r="N13" s="84" t="s">
        <v>13</v>
      </c>
      <c r="O13" s="84" t="s">
        <v>14</v>
      </c>
      <c r="P13" s="84" t="s">
        <v>15</v>
      </c>
      <c r="Q13" s="84" t="s">
        <v>16</v>
      </c>
      <c r="R13" s="84" t="s">
        <v>17</v>
      </c>
      <c r="S13" s="84" t="s">
        <v>18</v>
      </c>
      <c r="T13" s="84" t="s">
        <v>19</v>
      </c>
      <c r="U13" s="84" t="s">
        <v>20</v>
      </c>
      <c r="V13" s="84" t="s">
        <v>21</v>
      </c>
      <c r="W13" s="84" t="s">
        <v>22</v>
      </c>
      <c r="X13" s="84" t="s">
        <v>23</v>
      </c>
      <c r="Y13" s="84" t="s">
        <v>24</v>
      </c>
      <c r="Z13" s="84" t="s">
        <v>25</v>
      </c>
      <c r="AA13" s="84" t="s">
        <v>26</v>
      </c>
      <c r="AB13" s="84" t="s">
        <v>27</v>
      </c>
      <c r="AC13" s="84" t="s">
        <v>28</v>
      </c>
      <c r="AD13" s="85" t="s">
        <v>29</v>
      </c>
      <c r="AE13" s="85" t="s">
        <v>30</v>
      </c>
      <c r="AF13" s="85" t="s">
        <v>31</v>
      </c>
    </row>
    <row r="14" spans="1:32">
      <c r="A14" s="80" t="s">
        <v>32</v>
      </c>
      <c r="B14" s="80" t="s">
        <v>33</v>
      </c>
      <c r="C14" s="80">
        <v>1</v>
      </c>
      <c r="D14" s="80" t="s">
        <v>33</v>
      </c>
      <c r="E14" s="80">
        <v>1</v>
      </c>
      <c r="F14" s="81">
        <f>5.04/E14*(1-B2)</f>
        <v>0.50399999999999989</v>
      </c>
      <c r="G14" s="80" t="s">
        <v>34</v>
      </c>
      <c r="H14" s="80"/>
      <c r="I14" s="86" t="s">
        <v>32</v>
      </c>
      <c r="J14" s="81">
        <f>F14*'[1]Jian''s'!$D$3</f>
        <v>0.34780676817599987</v>
      </c>
      <c r="K14" s="81">
        <f>$F$14*'[2]FTO glass'!M41</f>
        <v>8.5029036949120105</v>
      </c>
      <c r="L14" s="81">
        <f>$F$14*'[2]FTO glass'!N41</f>
        <v>0.62012667171671987</v>
      </c>
      <c r="M14" s="81">
        <f>$F$14*'[2]FTO glass'!O41</f>
        <v>0.35862291309599986</v>
      </c>
      <c r="N14" s="81">
        <f>$F$14*'[2]FTO glass'!P41</f>
        <v>8.3657114503199972E-2</v>
      </c>
      <c r="O14" s="81">
        <f>$F$14*'[2]FTO glass'!Q41</f>
        <v>9.6806916922641852E-3</v>
      </c>
      <c r="P14" s="81">
        <f>$F$14*'[2]FTO glass'!R41</f>
        <v>2.0273180159735994E-4</v>
      </c>
      <c r="Q14" s="81">
        <f>$F$14*'[2]FTO glass'!S41</f>
        <v>12.488415725309689</v>
      </c>
      <c r="R14" s="81">
        <f>$F$14*'[2]FTO glass'!T41</f>
        <v>2.1998732374079993E-2</v>
      </c>
      <c r="S14" s="81">
        <f>$F$14*'[2]FTO glass'!U41</f>
        <v>8.8426822169151311</v>
      </c>
      <c r="T14" s="81">
        <f>$F$14*'[2]FTO glass'!V41</f>
        <v>1.0613301240527996E-3</v>
      </c>
      <c r="U14" s="81">
        <f>$F$14*'[2]FTO glass'!W41</f>
        <v>3.7727846160631189</v>
      </c>
      <c r="V14" s="81">
        <f>$F$14*'[2]FTO glass'!X41</f>
        <v>2.6633363931215991E-4</v>
      </c>
      <c r="W14" s="81">
        <f>$F$14*'[2]FTO glass'!Y41</f>
        <v>2.258871789887999E-8</v>
      </c>
      <c r="X14" s="81">
        <f>$F$14*'[2]FTO glass'!Z41</f>
        <v>3.1256384650847993E-3</v>
      </c>
      <c r="Y14" s="81">
        <f>$F$14*'[2]FTO glass'!AA41</f>
        <v>4.8130512783804954E-3</v>
      </c>
      <c r="Z14" s="81">
        <f>$F$14*'[2]FTO glass'!AB41</f>
        <v>6.2621029628639989E-3</v>
      </c>
      <c r="AA14" s="81">
        <f>$F$14*'[2]FTO glass'!AC41</f>
        <v>7.4279348593848395E-4</v>
      </c>
      <c r="AB14" s="81">
        <f>$F$14*'[2]FTO glass'!AD41</f>
        <v>1.4772324234023996E-2</v>
      </c>
      <c r="AC14" s="81">
        <f>$F$14*'[2]FTO glass'!AE41</f>
        <v>7.7349191552639966E-4</v>
      </c>
      <c r="AD14" s="81">
        <f>$F$14*'[2]FTO glass'!AF41</f>
        <v>5.0998414695703549E-2</v>
      </c>
      <c r="AE14" s="81">
        <f>$F$14*'[2]FTO glass'!AG41</f>
        <v>0.10265223189718113</v>
      </c>
      <c r="AF14" s="81">
        <f>$F$14*'[2]FTO glass'!AH41</f>
        <v>0.18519365587967995</v>
      </c>
    </row>
    <row r="15" spans="1:32">
      <c r="A15" s="80" t="s">
        <v>35</v>
      </c>
      <c r="B15" s="80">
        <v>10</v>
      </c>
      <c r="C15" s="80">
        <v>1</v>
      </c>
      <c r="D15" s="80">
        <v>7130</v>
      </c>
      <c r="E15" s="80">
        <v>1</v>
      </c>
      <c r="F15" s="81">
        <f>B15/1000000000*C15*D15*(1-B2)</f>
        <v>7.1299999999999987E-6</v>
      </c>
      <c r="G15" s="80" t="s">
        <v>36</v>
      </c>
      <c r="H15" s="80"/>
      <c r="I15" s="86" t="s">
        <v>35</v>
      </c>
      <c r="J15" s="81">
        <f>F15*[1]production!$D$73</f>
        <v>3.6278152999999992E-5</v>
      </c>
      <c r="K15" s="81">
        <f>$F$15*[1]production!M73</f>
        <v>4.1800508549599992E-4</v>
      </c>
      <c r="L15" s="81">
        <f>$F$15*[1]production!N73</f>
        <v>1.2207272999999997E-6</v>
      </c>
      <c r="M15" s="81">
        <f>$F$15*[1]production!O73</f>
        <v>3.3021881999999994E-5</v>
      </c>
      <c r="N15" s="81">
        <f>$F$15*[1]production!P73</f>
        <v>8.5189239999999997E-6</v>
      </c>
      <c r="O15" s="81">
        <f>$F$15*[1]production!Q73</f>
        <v>1.3711702999999997E-6</v>
      </c>
      <c r="P15" s="81">
        <f>$F$15*[1]production!R73</f>
        <v>4.0563995999999991E-8</v>
      </c>
      <c r="Q15" s="81">
        <f>$F$15*[1]production!S73</f>
        <v>2.8965624999999994E-3</v>
      </c>
      <c r="R15" s="81">
        <f>$F$15*[1]production!T73</f>
        <v>1.2262173999999998E-6</v>
      </c>
      <c r="S15" s="81">
        <f>$F$15*[1]production!U73</f>
        <v>1.6804696999999996E-3</v>
      </c>
      <c r="T15" s="81">
        <f>$F$15*[1]production!V73</f>
        <v>6.1901233999999981E-8</v>
      </c>
      <c r="U15" s="81">
        <f>$F$15*[1]production!W73</f>
        <v>1.9441370999999997E-5</v>
      </c>
      <c r="V15" s="81">
        <f>$F$15*[1]production!X73</f>
        <v>4.9790215999999989E-9</v>
      </c>
      <c r="W15" s="81">
        <f>$F$15*[1]production!Y73</f>
        <v>1.4361245999999998E-12</v>
      </c>
      <c r="X15" s="81">
        <f>$F$15*[1]production!Z73</f>
        <v>1.4094583999999997E-7</v>
      </c>
      <c r="Y15" s="81">
        <f>$F$15*[1]production!AA73</f>
        <v>1.7670278999999997E-7</v>
      </c>
      <c r="Z15" s="81">
        <f>$F$15*[1]production!AB73</f>
        <v>3.7589359999999994E-7</v>
      </c>
      <c r="AA15" s="81">
        <f>$F$15*[1]production!AC73</f>
        <v>4.9284698999999996E-7</v>
      </c>
      <c r="AB15" s="81">
        <f>$F$15*[1]production!AD73</f>
        <v>3.9873811999999994E-7</v>
      </c>
      <c r="AC15" s="81">
        <f>$F$15*[1]production!AE73</f>
        <v>5.154348299999999E-7</v>
      </c>
      <c r="AD15" s="81">
        <f>$F$15*[1]production!AF73</f>
        <v>2.2775358999999996E-6</v>
      </c>
      <c r="AE15" s="81">
        <f>$F$15*[1]production!AG73</f>
        <v>2.1250251999999994E-5</v>
      </c>
      <c r="AF15" s="81">
        <f>$F$15*[1]production!AH73</f>
        <v>1.9241730999999995E-6</v>
      </c>
    </row>
    <row r="16" spans="1:32">
      <c r="A16" s="80" t="s">
        <v>37</v>
      </c>
      <c r="B16" s="80" t="s">
        <v>33</v>
      </c>
      <c r="C16" s="80" t="s">
        <v>33</v>
      </c>
      <c r="D16" s="80" t="s">
        <v>33</v>
      </c>
      <c r="E16" s="80">
        <v>1</v>
      </c>
      <c r="F16" s="81">
        <f>F15*0.7/65*2*36.5/0.3</f>
        <v>1.8684256410256406E-5</v>
      </c>
      <c r="G16" s="80" t="s">
        <v>38</v>
      </c>
      <c r="H16" s="80"/>
      <c r="I16" s="86" t="s">
        <v>37</v>
      </c>
      <c r="J16" s="81">
        <f>F16*[1]production!$D$15</f>
        <v>3.2090210384615382E-5</v>
      </c>
      <c r="K16" s="81">
        <f>$F$16*[1]production!M15</f>
        <v>4.6518874375235582E-4</v>
      </c>
      <c r="L16" s="81">
        <f>$F$16*[1]production!N15</f>
        <v>1.8796361948717944E-6</v>
      </c>
      <c r="M16" s="81">
        <f>$F$16*[1]production!O15</f>
        <v>2.9506177723076915E-5</v>
      </c>
      <c r="N16" s="81">
        <f>$F$16*[1]production!P15</f>
        <v>8.9540561994871782E-6</v>
      </c>
      <c r="O16" s="81">
        <f>$F$16*[1]production!Q15</f>
        <v>4.9976649046153836E-7</v>
      </c>
      <c r="P16" s="81">
        <f>$F$16*[1]production!R15</f>
        <v>1.7851312259487176E-8</v>
      </c>
      <c r="Q16" s="81">
        <f>$F$16*[1]production!S15</f>
        <v>7.5703001697435888E-4</v>
      </c>
      <c r="R16" s="81">
        <f>$F$16*[1]production!T15</f>
        <v>3.268063288717948E-6</v>
      </c>
      <c r="S16" s="81">
        <f>$F$16*[1]production!U15</f>
        <v>5.8025826707692302E-4</v>
      </c>
      <c r="T16" s="81">
        <f>$F$16*[1]production!V15</f>
        <v>3.2392895338461528E-8</v>
      </c>
      <c r="U16" s="81">
        <f>$F$16*[1]production!W15</f>
        <v>2.2215580871794869E-6</v>
      </c>
      <c r="V16" s="81">
        <f>$F$16*[1]production!X15</f>
        <v>4.0731678974358965E-9</v>
      </c>
      <c r="W16" s="81">
        <f>$F$16*[1]production!Y15</f>
        <v>1.3746754811282049E-11</v>
      </c>
      <c r="X16" s="81">
        <f>$F$16*[1]production!Z15</f>
        <v>1.0496815251282048E-7</v>
      </c>
      <c r="Y16" s="81">
        <f>$F$16*[1]production!AA15</f>
        <v>8.8064505738461527E-8</v>
      </c>
      <c r="Z16" s="81">
        <f>$F$16*[1]production!AB15</f>
        <v>1.6810412334871791E-7</v>
      </c>
      <c r="AA16" s="81">
        <f>$F$16*[1]production!AC15</f>
        <v>4.0647599820512811E-8</v>
      </c>
      <c r="AB16" s="81">
        <f>$F$16*[1]production!AD15</f>
        <v>2.9919099789743584E-7</v>
      </c>
      <c r="AC16" s="81">
        <f>$F$16*[1]production!AE15</f>
        <v>1.1360962110256408E-7</v>
      </c>
      <c r="AD16" s="81">
        <f>$F$16*[1]production!AF15</f>
        <v>1.4226753358461537E-6</v>
      </c>
      <c r="AE16" s="81">
        <f>$F$16*[1]production!AG15</f>
        <v>6.4427052953846144E-6</v>
      </c>
      <c r="AF16" s="81">
        <f>$F$16*[1]production!AH15</f>
        <v>1.1767157844615381E-6</v>
      </c>
    </row>
    <row r="17" spans="1:33">
      <c r="A17" s="87" t="s">
        <v>39</v>
      </c>
      <c r="B17" s="87" t="s">
        <v>33</v>
      </c>
      <c r="C17" s="87" t="s">
        <v>33</v>
      </c>
      <c r="D17" s="87" t="s">
        <v>33</v>
      </c>
      <c r="E17" s="87">
        <v>1</v>
      </c>
      <c r="F17" s="88">
        <f>0.02577/E17*(1-B2)</f>
        <v>2.5769999999999994E-3</v>
      </c>
      <c r="G17" s="139" t="s">
        <v>40</v>
      </c>
      <c r="H17" s="80"/>
      <c r="I17" s="86" t="s">
        <v>39</v>
      </c>
      <c r="J17" s="81">
        <f>F17*2*[1]production!$D$54</f>
        <v>7.2135383999999978E-3</v>
      </c>
      <c r="K17" s="81">
        <f>$F$17*2*[1]production!M54</f>
        <v>0.21431605553399993</v>
      </c>
      <c r="L17" s="81">
        <f>$F$17*2*[1]production!N54</f>
        <v>5.7487715999999982E-3</v>
      </c>
      <c r="M17" s="81">
        <f>$F$17*2*[1]production!O54</f>
        <v>6.2811797999999981E-3</v>
      </c>
      <c r="N17" s="81">
        <f>$F$17*2*[1]production!P54</f>
        <v>1.7668427399999997E-3</v>
      </c>
      <c r="O17" s="81">
        <f>$F$17*2*[1]production!Q54</f>
        <v>1.7588540399999993E-4</v>
      </c>
      <c r="P17" s="81">
        <f>$F$17*2*[1]production!R54</f>
        <v>2.9260804199999995E-6</v>
      </c>
      <c r="Q17" s="81">
        <f>$F$17*2*[1]production!S54</f>
        <v>8.6164571999999981E-2</v>
      </c>
      <c r="R17" s="81">
        <f>$F$17*2*[1]production!T54</f>
        <v>4.4866600799999993E-4</v>
      </c>
      <c r="S17" s="81">
        <f>$F$17*2*[1]production!U54</f>
        <v>6.9228527999999984E-2</v>
      </c>
      <c r="T17" s="81">
        <f>$F$17*2*[1]production!V54</f>
        <v>3.2167144799999992E-5</v>
      </c>
      <c r="U17" s="81">
        <f>$F$17*2*[1]production!W54</f>
        <v>2.8069714799999995E-4</v>
      </c>
      <c r="V17" s="81">
        <f>$F$17*2*[1]production!X54</f>
        <v>5.4158231999999985E-6</v>
      </c>
      <c r="W17" s="81">
        <f>$F$17*2*[1]production!Y54</f>
        <v>4.585771499999999E-10</v>
      </c>
      <c r="X17" s="81">
        <f>$F$17*2*[1]production!Z54</f>
        <v>2.0186671799999998E-5</v>
      </c>
      <c r="Y17" s="81">
        <f>$F$17*2*[1]production!AA54</f>
        <v>2.1187578599999993E-5</v>
      </c>
      <c r="Z17" s="81">
        <f>$F$17*2*[1]production!AB54</f>
        <v>6.6306209999999986E-5</v>
      </c>
      <c r="AA17" s="81">
        <f>$F$17*2*[1]production!AC54</f>
        <v>4.2334955999999993E-5</v>
      </c>
      <c r="AB17" s="81">
        <f>$F$17*2*[1]production!AD54</f>
        <v>3.0810096599999994E-4</v>
      </c>
      <c r="AC17" s="81">
        <f>$F$17*2*[1]production!AE54</f>
        <v>1.9259982599999998E-3</v>
      </c>
      <c r="AD17" s="81">
        <f>$F$17*2*[1]production!AF54</f>
        <v>1.7598332999999994E-3</v>
      </c>
      <c r="AE17" s="81">
        <f>$F$17*2*[1]production!AG54</f>
        <v>8.4973997999999973E-4</v>
      </c>
      <c r="AF17" s="81">
        <f>$F$17*2*[1]production!AH54</f>
        <v>2.2487932799999992E-4</v>
      </c>
    </row>
    <row r="18" spans="1:33">
      <c r="A18" s="87" t="s">
        <v>41</v>
      </c>
      <c r="B18" s="87" t="s">
        <v>33</v>
      </c>
      <c r="C18" s="87" t="s">
        <v>33</v>
      </c>
      <c r="D18" s="87" t="s">
        <v>33</v>
      </c>
      <c r="E18" s="87">
        <v>1</v>
      </c>
      <c r="F18" s="88">
        <f>0.03266/E18*(1-B2)</f>
        <v>3.2659999999999994E-3</v>
      </c>
      <c r="G18" s="139"/>
      <c r="H18" s="80"/>
      <c r="I18" s="86" t="s">
        <v>41</v>
      </c>
      <c r="J18" s="81">
        <f>F18*2*[1]production!$D$74</f>
        <v>1.1383316399999998E-5</v>
      </c>
      <c r="K18" s="81">
        <f>$F$18*2*[1]production!M74</f>
        <v>1.5662186060911998E-4</v>
      </c>
      <c r="L18" s="81">
        <f>$F$18*2*[1]production!N74</f>
        <v>5.2403623199999991E-7</v>
      </c>
      <c r="M18" s="81">
        <f>$F$18*2*[1]production!O74</f>
        <v>1.0470795999999999E-5</v>
      </c>
      <c r="N18" s="81">
        <f>$F$18*2*[1]production!P74</f>
        <v>3.0118398799999995E-6</v>
      </c>
      <c r="O18" s="81">
        <f>$F$18*2*[1]production!Q74</f>
        <v>1.5695742799999996E-7</v>
      </c>
      <c r="P18" s="81">
        <f>$F$18*2*[1]production!R74</f>
        <v>5.5623245999999989E-9</v>
      </c>
      <c r="Q18" s="81">
        <f>$F$18*2*[1]production!S74</f>
        <v>2.0812258399999998E-4</v>
      </c>
      <c r="R18" s="81">
        <f>$F$18*2*[1]production!T74</f>
        <v>1.1359147999999997E-6</v>
      </c>
      <c r="S18" s="81">
        <f>$F$18*2*[1]production!U74</f>
        <v>1.7873511599999996E-4</v>
      </c>
      <c r="T18" s="81">
        <f>$F$18*2*[1]production!V74</f>
        <v>1.1213484399999998E-8</v>
      </c>
      <c r="U18" s="81">
        <f>$F$18*2*[1]production!W74</f>
        <v>7.4830591999999987E-7</v>
      </c>
      <c r="V18" s="81">
        <f>$F$18*2*[1]production!X74</f>
        <v>1.4444211599999996E-9</v>
      </c>
      <c r="W18" s="81">
        <f>$F$18*2*[1]production!Y74</f>
        <v>4.7707768399999989E-12</v>
      </c>
      <c r="X18" s="81">
        <f>$F$18*2*[1]production!Z74</f>
        <v>3.7251995999999994E-8</v>
      </c>
      <c r="Y18" s="81">
        <f>$F$18*2*[1]production!AA74</f>
        <v>3.2035540799999996E-8</v>
      </c>
      <c r="Z18" s="81">
        <f>$F$18*2*[1]production!AB74</f>
        <v>5.7643593599999993E-8</v>
      </c>
      <c r="AA18" s="81">
        <f>$F$18*2*[1]production!AC74</f>
        <v>9.3087531999999983E-9</v>
      </c>
      <c r="AB18" s="81">
        <f>$F$18*2*[1]production!AD74</f>
        <v>9.9691383999999979E-8</v>
      </c>
      <c r="AC18" s="81">
        <f>$F$18*2*[1]production!AE74</f>
        <v>8.5549603999999989E-6</v>
      </c>
      <c r="AD18" s="81">
        <f>$F$18*2*[1]production!AF74</f>
        <v>4.9059892399999992E-7</v>
      </c>
      <c r="AE18" s="81">
        <f>$F$18*2*[1]production!AG74</f>
        <v>1.8738348399999997E-6</v>
      </c>
      <c r="AF18" s="81">
        <f>$F$18*2*[1]production!AH74</f>
        <v>3.9587839199999996E-7</v>
      </c>
    </row>
    <row r="19" spans="1:33">
      <c r="A19" s="89" t="s">
        <v>61</v>
      </c>
      <c r="B19" s="89"/>
      <c r="C19" s="89"/>
      <c r="D19" s="89"/>
      <c r="E19" s="89"/>
      <c r="F19" s="90">
        <f>0.0000147*10000*(1-B2)</f>
        <v>1.4699999999999996E-2</v>
      </c>
      <c r="G19" s="139"/>
      <c r="H19" s="86" t="s">
        <v>159</v>
      </c>
      <c r="I19" s="87" t="str">
        <f>A19</f>
        <v>Acetone</v>
      </c>
      <c r="J19" s="88">
        <f>$F$19*[3]production!D67</f>
        <v>3.4079009999999986E-2</v>
      </c>
      <c r="K19" s="88">
        <f>$F$19*[3]production!M67</f>
        <v>0.99018946488503967</v>
      </c>
      <c r="L19" s="88">
        <f>$F$19*[3]production!N67</f>
        <v>5.6080499999999988E-6</v>
      </c>
      <c r="M19" s="88">
        <f>$F$19*[3]production!O67</f>
        <v>2.837393999999999E-2</v>
      </c>
      <c r="N19" s="88">
        <f>$F$19*[3]production!P67</f>
        <v>2.2695329999999996E-2</v>
      </c>
      <c r="O19" s="88">
        <f>$F$19*[3]production!Q67</f>
        <v>2.3971289999999993E-4</v>
      </c>
      <c r="P19" s="88">
        <f>$F$19*[3]production!R67</f>
        <v>2.2865849999999996E-6</v>
      </c>
      <c r="Q19" s="88">
        <f>$F$19*[3]production!S67</f>
        <v>1.5627569999999993E-2</v>
      </c>
      <c r="R19" s="88">
        <f>$F$19*[3]production!T67</f>
        <v>4.5440639999999993E-6</v>
      </c>
      <c r="S19" s="88">
        <f>$F$19*[3]production!U67</f>
        <v>3.0793559999999994E-2</v>
      </c>
      <c r="T19" s="88">
        <f>$F$19*[3]production!V67</f>
        <v>2.6558489999999992E-5</v>
      </c>
      <c r="U19" s="88">
        <f>$F$19*[3]production!W67</f>
        <v>1.8285329999999995E-5</v>
      </c>
      <c r="V19" s="88">
        <f>$F$19*[3]production!X67</f>
        <v>-2.7587489999999995E-9</v>
      </c>
      <c r="W19" s="88">
        <f>$F$19*[3]production!Y67</f>
        <v>1.4048348999999998E-11</v>
      </c>
      <c r="X19" s="88">
        <f>$F$19*[3]production!Z67</f>
        <v>4.1117369999999985E-5</v>
      </c>
      <c r="Y19" s="88">
        <f>$F$19*[3]production!AA67</f>
        <v>1.3320110999999997E-4</v>
      </c>
      <c r="Z19" s="88">
        <f>$F$19*[3]production!AB67</f>
        <v>1.4946959999999996E-4</v>
      </c>
      <c r="AA19" s="88">
        <f>$F$19*[3]production!AC67</f>
        <v>2.6371799999999994E-6</v>
      </c>
      <c r="AB19" s="88">
        <f>$F$19*[3]production!AD67</f>
        <v>2.4241769999999992E-6</v>
      </c>
      <c r="AC19" s="88">
        <f>$F$19*[3]production!AE67</f>
        <v>2.0306579999999996E-6</v>
      </c>
      <c r="AD19" s="88">
        <f>$F$19*[3]production!AF67</f>
        <v>7.851122999999998E-4</v>
      </c>
      <c r="AE19" s="88">
        <f>$F$19*[3]production!AG67</f>
        <v>1.2213200999999997E-3</v>
      </c>
      <c r="AF19" s="88">
        <f>$F$19*[3]production!AH67</f>
        <v>2.7224399999999991E-3</v>
      </c>
      <c r="AG19" s="12"/>
    </row>
    <row r="20" spans="1:33">
      <c r="A20" s="79" t="s">
        <v>42</v>
      </c>
      <c r="B20" s="80"/>
      <c r="C20" s="80"/>
      <c r="D20" s="80"/>
      <c r="E20" s="80"/>
      <c r="F20" s="81"/>
      <c r="G20" s="80"/>
      <c r="H20" s="80"/>
      <c r="I20" s="86" t="s">
        <v>164</v>
      </c>
      <c r="J20" s="81">
        <f>F21*'[1]Jian''s'!$D$6</f>
        <v>2.6559624141444444E-3</v>
      </c>
      <c r="K20" s="81">
        <f>$F$21*'[2]BL-TiO2 ink'!M14</f>
        <v>7.1984448963916634E-2</v>
      </c>
      <c r="L20" s="81">
        <f>$F$21*'[2]BL-TiO2 ink'!N14</f>
        <v>1.5087326723561502E-3</v>
      </c>
      <c r="M20" s="81">
        <f>$F$21*'[2]BL-TiO2 ink'!O14</f>
        <v>2.2978453813409828E-3</v>
      </c>
      <c r="N20" s="81">
        <f>$F$21*'[2]BL-TiO2 ink'!P14</f>
        <v>8.2535757885646339E-4</v>
      </c>
      <c r="O20" s="81">
        <f>$F$21*'[2]BL-TiO2 ink'!Q14</f>
        <v>5.3350785249293434E-5</v>
      </c>
      <c r="P20" s="81">
        <f>$F$21*'[2]BL-TiO2 ink'!R14</f>
        <v>9.9070811167394471E-7</v>
      </c>
      <c r="Q20" s="81">
        <f>$F$21*'[2]BL-TiO2 ink'!S14</f>
        <v>3.2406080465819317E-2</v>
      </c>
      <c r="R20" s="81">
        <f>$F$21*'[2]BL-TiO2 ink'!T14</f>
        <v>1.6079762024314828E-4</v>
      </c>
      <c r="S20" s="81">
        <f>$F$21*'[2]BL-TiO2 ink'!U14</f>
        <v>2.6690160093359207E-2</v>
      </c>
      <c r="T20" s="81">
        <f>$F$21*'[2]BL-TiO2 ink'!V14</f>
        <v>8.9038259275486409E-6</v>
      </c>
      <c r="U20" s="81">
        <f>$F$21*'[2]BL-TiO2 ink'!W14</f>
        <v>1.0087027638630333E-4</v>
      </c>
      <c r="V20" s="81">
        <f>$F$21*'[2]BL-TiO2 ink'!X14</f>
        <v>1.5621727173906576E-6</v>
      </c>
      <c r="W20" s="81">
        <f>$F$21*'[2]BL-TiO2 ink'!Y14</f>
        <v>2.099165737402023E-10</v>
      </c>
      <c r="X20" s="81">
        <f>$F$21*'[2]BL-TiO2 ink'!Z14</f>
        <v>6.6873790244614041E-6</v>
      </c>
      <c r="Y20" s="81">
        <f>$F$21*'[2]BL-TiO2 ink'!AA14</f>
        <v>8.46995934015969E-6</v>
      </c>
      <c r="Z20" s="81">
        <f>$F$21*'[2]BL-TiO2 ink'!AB14</f>
        <v>2.0692829073974686E-5</v>
      </c>
      <c r="AA20" s="81">
        <f>$F$21*'[2]BL-TiO2 ink'!AC14</f>
        <v>1.1312051026781668E-5</v>
      </c>
      <c r="AB20" s="81">
        <f>$F$21*'[2]BL-TiO2 ink'!AD14</f>
        <v>8.6384672758405589E-5</v>
      </c>
      <c r="AC20" s="81">
        <f>$F$21*'[2]BL-TiO2 ink'!AE14</f>
        <v>4.9955597251091462E-4</v>
      </c>
      <c r="AD20" s="81">
        <f>$F$21*'[2]BL-TiO2 ink'!AF14</f>
        <v>4.8094327879705647E-4</v>
      </c>
      <c r="AE20" s="81">
        <f>$F$21*'[2]BL-TiO2 ink'!AG14</f>
        <v>3.1540820412704094E-4</v>
      </c>
      <c r="AF20" s="81">
        <f>$F$21*'[2]BL-TiO2 ink'!AH14</f>
        <v>1.0470549874488806E-4</v>
      </c>
    </row>
    <row r="21" spans="1:33">
      <c r="A21" s="80" t="s">
        <v>43</v>
      </c>
      <c r="B21" s="80">
        <v>70</v>
      </c>
      <c r="C21" s="80">
        <v>0.8</v>
      </c>
      <c r="D21" s="80">
        <v>4230</v>
      </c>
      <c r="E21" s="80">
        <v>0.8</v>
      </c>
      <c r="F21" s="81">
        <f>B21/1000000000*C21*D21/E21/80*190/0.0481*1*(1-B2)</f>
        <v>1.4620322245322242E-3</v>
      </c>
      <c r="G21" s="80"/>
      <c r="H21" s="80" t="s">
        <v>44</v>
      </c>
      <c r="I21" s="86" t="s">
        <v>45</v>
      </c>
      <c r="J21" s="81">
        <f>(F25+F26)*[4]inventory!$H$28</f>
        <v>1.1164755298477922E-3</v>
      </c>
      <c r="K21" s="81">
        <f>($F$25+$F$26)*[4]inventory!I28</f>
        <v>1.7988103397984439E-2</v>
      </c>
      <c r="L21" s="81">
        <f>($F$25+$F$26)*[4]inventory!J28</f>
        <v>2.2754819639456806E-4</v>
      </c>
      <c r="M21" s="81">
        <f>($F$25+$F$26)*[4]inventory!K28</f>
        <v>1.0025369488917833E-3</v>
      </c>
      <c r="N21" s="81">
        <f>($F$25+$F$26)*[4]inventory!L28</f>
        <v>3.3080683061070468E-4</v>
      </c>
      <c r="O21" s="81">
        <f>($F$25+$F$26)*[4]inventory!M28</f>
        <v>2.4064710094179622E-5</v>
      </c>
      <c r="P21" s="81">
        <f>($F$25+$F$26)*[4]inventory!N28</f>
        <v>6.0880382644914304E-7</v>
      </c>
      <c r="Q21" s="81">
        <f>($F$25+$F$26)*[4]inventory!O28</f>
        <v>2.7293714570013027E-2</v>
      </c>
      <c r="R21" s="81">
        <f>($F$25+$F$26)*[4]inventory!P28</f>
        <v>9.3412254194958816E-5</v>
      </c>
      <c r="S21" s="81">
        <f>($F$25+$F$26)*[4]inventory!Q28</f>
        <v>2.1936071806899618E-2</v>
      </c>
      <c r="T21" s="81">
        <f>($F$25+$F$26)*[4]inventory!R28</f>
        <v>2.2927663780700171E-6</v>
      </c>
      <c r="U21" s="81">
        <f>($F$25+$F$26)*[4]inventory!S28</f>
        <v>4.2395092895148354E-2</v>
      </c>
      <c r="V21" s="81">
        <f>($F$25+$F$26)*[4]inventory!T28</f>
        <v>2.5240355159598409E-6</v>
      </c>
      <c r="W21" s="81">
        <f>($F$25+$F$26)*[4]inventory!U28</f>
        <v>1.1064224886475877E-10</v>
      </c>
      <c r="X21" s="81">
        <f>($F$25+$F$26)*[4]inventory!V28</f>
        <v>1.04620179038093E-5</v>
      </c>
      <c r="Y21" s="81">
        <f>($F$25+$F$26)*[4]inventory!W28</f>
        <v>7.2433818352022361E-6</v>
      </c>
      <c r="Z21" s="81">
        <f>($F$25+$F$26)*[4]inventory!X28</f>
        <v>1.6040554922177232E-5</v>
      </c>
      <c r="AA21" s="81">
        <f>($F$25+$F$26)*[4]inventory!Y28</f>
        <v>8.8937966986615573E-7</v>
      </c>
      <c r="AB21" s="81">
        <f>($F$25+$F$26)*[4]inventory!Z28</f>
        <v>4.4281666200302055E-5</v>
      </c>
      <c r="AC21" s="81">
        <f>($F$25+$F$26)*[4]inventory!AA28</f>
        <v>1.1690694977217949E-5</v>
      </c>
      <c r="AD21" s="81">
        <f>($F$25+$F$26)*[4]inventory!AB28</f>
        <v>2.3867483994529764E-4</v>
      </c>
      <c r="AE21" s="81">
        <f>($F$25+$F$26)*[4]inventory!AC28</f>
        <v>2.4695637919995995E-4</v>
      </c>
      <c r="AF21" s="81">
        <f>($F$25+$F$26)*[4]inventory!AD28</f>
        <v>2.0079921241963699E-3</v>
      </c>
    </row>
    <row r="22" spans="1:33">
      <c r="A22" s="80" t="s">
        <v>39</v>
      </c>
      <c r="B22" s="80" t="s">
        <v>33</v>
      </c>
      <c r="C22" s="80" t="s">
        <v>33</v>
      </c>
      <c r="D22" s="80" t="s">
        <v>33</v>
      </c>
      <c r="E22" s="80">
        <v>1</v>
      </c>
      <c r="F22" s="81">
        <f>F17</f>
        <v>2.5769999999999994E-3</v>
      </c>
      <c r="G22" s="138" t="s">
        <v>40</v>
      </c>
      <c r="H22" s="80"/>
      <c r="I22" s="86" t="s">
        <v>165</v>
      </c>
      <c r="J22" s="81">
        <f>F28*'[1]Jian''s'!$D$4</f>
        <v>3.9586132131698096E-3</v>
      </c>
      <c r="K22" s="81">
        <f>$F$28*[2]PbI2!M18</f>
        <v>4.7072556356068052E-2</v>
      </c>
      <c r="L22" s="81">
        <f>$F$28*[2]PbI2!N18</f>
        <v>9.0797513323459826E-4</v>
      </c>
      <c r="M22" s="81">
        <f>$F$28*[2]PbI2!O18</f>
        <v>3.380784484594506E-3</v>
      </c>
      <c r="N22" s="81">
        <f>$F$28*[2]PbI2!P18</f>
        <v>8.9735161792902751E-4</v>
      </c>
      <c r="O22" s="81">
        <f>$F$28*[2]PbI2!Q18</f>
        <v>6.1808687163549629E-5</v>
      </c>
      <c r="P22" s="81">
        <f>$F$28*[2]PbI2!R18</f>
        <v>1.7159945060404451E-6</v>
      </c>
      <c r="Q22" s="81">
        <f>$F$28*[2]PbI2!S18</f>
        <v>0.13524632566022274</v>
      </c>
      <c r="R22" s="81">
        <f>$F$28*[2]PbI2!T18</f>
        <v>1.6618118610577581E-4</v>
      </c>
      <c r="S22" s="81">
        <f>$F$28*[2]PbI2!U18</f>
        <v>6.7827133837905479E-2</v>
      </c>
      <c r="T22" s="81">
        <f>$F$28*[2]PbI2!V18</f>
        <v>4.4741031441801534E-6</v>
      </c>
      <c r="U22" s="81">
        <f>$F$28*[2]PbI2!W18</f>
        <v>5.4832578700448405E-4</v>
      </c>
      <c r="V22" s="81">
        <f>$F$28*[2]PbI2!X18</f>
        <v>5.7513287526057914E-7</v>
      </c>
      <c r="W22" s="81">
        <f>$F$28*[2]PbI2!Y18</f>
        <v>3.8705204617534283E-10</v>
      </c>
      <c r="X22" s="81">
        <f>$F$28*[2]PbI2!Z18</f>
        <v>9.581550700088887E-6</v>
      </c>
      <c r="Y22" s="81">
        <f>$F$28*[2]PbI2!AA18</f>
        <v>1.3486452775657513E-5</v>
      </c>
      <c r="Z22" s="81">
        <f>$F$28*[2]PbI2!AB18</f>
        <v>2.7106574189153182E-5</v>
      </c>
      <c r="AA22" s="81">
        <f>$F$28*[2]PbI2!AC18</f>
        <v>4.6632965221063304E-6</v>
      </c>
      <c r="AB22" s="81">
        <f>$F$28*[2]PbI2!AD18</f>
        <v>3.4870060401213961E-5</v>
      </c>
      <c r="AC22" s="81">
        <f>$F$28*[2]PbI2!AE18</f>
        <v>1.0182260381588559E-5</v>
      </c>
      <c r="AD22" s="81">
        <f>$F$28*[2]PbI2!AF18</f>
        <v>1.6581995129126456E-4</v>
      </c>
      <c r="AE22" s="81">
        <f>$F$28*[2]PbI2!AG18</f>
        <v>1.0586068966482356E-3</v>
      </c>
      <c r="AF22" s="81">
        <f>$F$28*[2]PbI2!AH18</f>
        <v>1.3305222862269739E-4</v>
      </c>
    </row>
    <row r="23" spans="1:33">
      <c r="A23" s="80" t="s">
        <v>41</v>
      </c>
      <c r="B23" s="80" t="s">
        <v>33</v>
      </c>
      <c r="C23" s="80" t="s">
        <v>33</v>
      </c>
      <c r="D23" s="80" t="s">
        <v>33</v>
      </c>
      <c r="E23" s="80">
        <v>1</v>
      </c>
      <c r="F23" s="81">
        <f>F18</f>
        <v>3.2659999999999994E-3</v>
      </c>
      <c r="G23" s="138"/>
      <c r="H23" s="80"/>
      <c r="I23" s="86" t="s">
        <v>47</v>
      </c>
      <c r="J23" s="81">
        <f>F29*[1]production!$D$75</f>
        <v>5.0926724710400008E-3</v>
      </c>
      <c r="K23" s="81">
        <f>$F$29*[1]production!M75</f>
        <v>0.13851702479781283</v>
      </c>
      <c r="L23" s="81">
        <f>$F$29*[1]production!N75</f>
        <v>2.0727027444869566E-4</v>
      </c>
      <c r="M23" s="81">
        <f>$F$29*[1]production!O75</f>
        <v>4.6096054681600005E-3</v>
      </c>
      <c r="N23" s="81">
        <f>$F$29*[1]production!P75</f>
        <v>3.0997096002782611E-3</v>
      </c>
      <c r="O23" s="81">
        <f>$F$29*[1]production!Q75</f>
        <v>6.486162362546087E-5</v>
      </c>
      <c r="P23" s="81">
        <f>$F$29*[1]production!R75</f>
        <v>1.7497384568208697E-6</v>
      </c>
      <c r="Q23" s="81">
        <f>$F$29*[1]production!S75</f>
        <v>0.10565711259380869</v>
      </c>
      <c r="R23" s="81">
        <f>$F$29*[1]production!T75</f>
        <v>4.5622599181356524E-4</v>
      </c>
      <c r="S23" s="81">
        <f>$F$29*[1]production!U75</f>
        <v>6.8638588180034793E-2</v>
      </c>
      <c r="T23" s="81">
        <f>$F$29*[1]production!V75</f>
        <v>2.2243508971965218E-5</v>
      </c>
      <c r="U23" s="81">
        <f>$F$29*[1]production!W75</f>
        <v>2.9681744067895654E-4</v>
      </c>
      <c r="V23" s="81">
        <f>$F$29*[1]production!X75</f>
        <v>1.9463292838956526E-6</v>
      </c>
      <c r="W23" s="81">
        <f>$F$29*[1]production!Y75</f>
        <v>9.2635306429217402E-10</v>
      </c>
      <c r="X23" s="81">
        <f>$F$29*[1]production!Z75</f>
        <v>1.2847197200027826E-5</v>
      </c>
      <c r="Y23" s="81">
        <f>$F$29*[1]production!AA75</f>
        <v>1.5583627598803479E-5</v>
      </c>
      <c r="Z23" s="81">
        <f>$F$29*[1]production!AB75</f>
        <v>3.2732506201043482E-5</v>
      </c>
      <c r="AA23" s="81">
        <f>$F$29*[1]production!AC75</f>
        <v>3.2732506201043482E-5</v>
      </c>
      <c r="AB23" s="81">
        <f>$F$29*[1]production!AD75</f>
        <v>3.9337744401808694E-5</v>
      </c>
      <c r="AC23" s="81">
        <f>$F$29*[1]production!AE75</f>
        <v>1.3768121545238261E-5</v>
      </c>
      <c r="AD23" s="81">
        <f>$F$29*[1]production!AF75</f>
        <v>2.0509878681600002E-4</v>
      </c>
      <c r="AE23" s="81">
        <f>$F$29*[1]production!AG75</f>
        <v>9.1086786560000009E-4</v>
      </c>
      <c r="AF23" s="81">
        <f>$F$29*[1]production!AH75</f>
        <v>3.8542125572452179E-4</v>
      </c>
    </row>
    <row r="24" spans="1:33">
      <c r="A24" s="79" t="s">
        <v>48</v>
      </c>
      <c r="B24" s="80"/>
      <c r="C24" s="80"/>
      <c r="D24" s="80"/>
      <c r="E24" s="80"/>
      <c r="F24" s="81"/>
      <c r="G24" s="80"/>
      <c r="H24" s="80"/>
      <c r="I24" s="86" t="s">
        <v>166</v>
      </c>
      <c r="J24" s="81">
        <f>F30*'[1]Jian''s'!$D$5</f>
        <v>4.8331611864973173E-2</v>
      </c>
      <c r="K24" s="81">
        <f>$F$30*[2]CH3NH3I!M17</f>
        <v>1.0266332358578762</v>
      </c>
      <c r="L24" s="81">
        <f>$F$30*[2]CH3NH3I!N17</f>
        <v>4.8278172367965657E-3</v>
      </c>
      <c r="M24" s="81">
        <f>$F$30*[2]CH3NH3I!O17</f>
        <v>4.4229080594375671E-2</v>
      </c>
      <c r="N24" s="81">
        <f>$F$30*[2]CH3NH3I!P17</f>
        <v>2.0398126449402507E-2</v>
      </c>
      <c r="O24" s="81">
        <f>$F$30*[2]CH3NH3I!Q17</f>
        <v>1.6672576479862616E-3</v>
      </c>
      <c r="P24" s="81">
        <f>$F$30*[2]CH3NH3I!R17</f>
        <v>3.9249294056686949E-5</v>
      </c>
      <c r="Q24" s="81">
        <f>$F$30*[2]CH3NH3I!S17</f>
        <v>1.9560038220579608</v>
      </c>
      <c r="R24" s="81">
        <f>$F$30*[2]CH3NH3I!T17</f>
        <v>4.7285090923191424E-3</v>
      </c>
      <c r="S24" s="81">
        <f>$F$30*[2]CH3NH3I!U17</f>
        <v>1.4878918668528089</v>
      </c>
      <c r="T24" s="81">
        <f>$F$30*[2]CH3NH3I!V17</f>
        <v>6.2827566862254036E-5</v>
      </c>
      <c r="U24" s="81">
        <f>$F$30*[2]CH3NH3I!W17</f>
        <v>3.5332871250375675E-3</v>
      </c>
      <c r="V24" s="81">
        <f>$F$30*[2]CH3NH3I!X17</f>
        <v>9.3289959191413258E-6</v>
      </c>
      <c r="W24" s="81">
        <f>$F$30*[2]CH3NH3I!Y17</f>
        <v>1.5991498967773888E-8</v>
      </c>
      <c r="X24" s="81">
        <f>$F$30*[2]CH3NH3I!Z17</f>
        <v>1.4435213085910558E-4</v>
      </c>
      <c r="Y24" s="81">
        <f>$F$30*[2]CH3NH3I!AA17</f>
        <v>1.9437956179821112E-4</v>
      </c>
      <c r="Z24" s="81">
        <f>$F$30*[2]CH3NH3I!AB17</f>
        <v>3.6632239654468699E-4</v>
      </c>
      <c r="AA24" s="81">
        <f>$F$30*[2]CH3NH3I!AC17</f>
        <v>6.9499819582139561E-5</v>
      </c>
      <c r="AB24" s="81">
        <f>$F$30*[2]CH3NH3I!AD17</f>
        <v>6.6770007088958871E-4</v>
      </c>
      <c r="AC24" s="81">
        <f>$F$30*[2]CH3NH3I!AE17</f>
        <v>8.6725515691188576E-4</v>
      </c>
      <c r="AD24" s="81">
        <f>$F$30*[2]CH3NH3I!AF17</f>
        <v>2.7697460181552776E-3</v>
      </c>
      <c r="AE24" s="81">
        <f>$F$30*[2]CH3NH3I!AG17</f>
        <v>1.5264827036737032E-2</v>
      </c>
      <c r="AF24" s="81">
        <f>$F$30*[2]CH3NH3I!AH17</f>
        <v>2.6098960317810379E-3</v>
      </c>
    </row>
    <row r="25" spans="1:33">
      <c r="A25" s="80" t="s">
        <v>45</v>
      </c>
      <c r="B25" s="80">
        <v>120</v>
      </c>
      <c r="C25" s="80">
        <v>0.8</v>
      </c>
      <c r="D25" s="80">
        <v>7240</v>
      </c>
      <c r="E25" s="101">
        <f>B10</f>
        <v>0.8</v>
      </c>
      <c r="F25" s="81">
        <f>B25*C25/1000000000*D25/E25*(1-B2)</f>
        <v>8.6879999999999968E-5</v>
      </c>
      <c r="G25" s="80"/>
      <c r="H25" s="80"/>
      <c r="I25" s="86" t="s">
        <v>50</v>
      </c>
      <c r="J25" s="81">
        <f>F31*[1]production!$D$76</f>
        <v>4.2817186702605578E-2</v>
      </c>
      <c r="K25" s="81">
        <f>$F$31*[1]production!M76</f>
        <v>1.4153077578552065</v>
      </c>
      <c r="L25" s="81">
        <f>$F$31*[1]production!N76</f>
        <v>8.6105664929619658E-4</v>
      </c>
      <c r="M25" s="81">
        <f>$F$31*[1]production!O76</f>
        <v>3.730471718079266E-2</v>
      </c>
      <c r="N25" s="81">
        <f>$F$31*[1]production!P76</f>
        <v>3.2392499550763711E-2</v>
      </c>
      <c r="O25" s="81">
        <f>$F$31*[1]production!Q76</f>
        <v>2.1749752141359693E-4</v>
      </c>
      <c r="P25" s="81">
        <f>$F$31*[1]production!R76</f>
        <v>6.1612574064091064E-6</v>
      </c>
      <c r="Q25" s="81">
        <f>$F$31*[1]production!S76</f>
        <v>0.35846292662473805</v>
      </c>
      <c r="R25" s="81">
        <f>$F$31*[1]production!T76</f>
        <v>8.6459719756414109E-4</v>
      </c>
      <c r="S25" s="81">
        <f>$F$31*[1]production!U76</f>
        <v>0.26690106578816014</v>
      </c>
      <c r="T25" s="81">
        <f>$F$31*[1]production!V76</f>
        <v>2.6228193990216638E-5</v>
      </c>
      <c r="U25" s="81">
        <f>$F$31*[1]production!W76</f>
        <v>1.5145340017969455E-3</v>
      </c>
      <c r="V25" s="81">
        <f>$F$31*[1]production!X76</f>
        <v>3.4488691704103035E-6</v>
      </c>
      <c r="W25" s="81">
        <f>$F$31*[1]production!Y76</f>
        <v>1.5175118139163425E-9</v>
      </c>
      <c r="X25" s="81">
        <f>$F$31*[1]production!Z76</f>
        <v>5.6510432983927337E-5</v>
      </c>
      <c r="Y25" s="81">
        <f>$F$31*[1]production!AA76</f>
        <v>1.8440863587900573E-4</v>
      </c>
      <c r="Z25" s="81">
        <f>$F$31*[1]production!AB76</f>
        <v>1.5856497825696318E-4</v>
      </c>
      <c r="AA25" s="81">
        <f>$F$31*[1]production!AC76</f>
        <v>1.2288047223719679E-5</v>
      </c>
      <c r="AB25" s="81">
        <f>$F$31*[1]production!AD76</f>
        <v>1.2210202056503946E-4</v>
      </c>
      <c r="AC25" s="81">
        <f>$F$31*[1]production!AE76</f>
        <v>9.909783575920936E-5</v>
      </c>
      <c r="AD25" s="81">
        <f>$F$31*[1]production!AF76</f>
        <v>1.2864851775980836E-3</v>
      </c>
      <c r="AE25" s="81">
        <f>$F$31*[1]production!AG76</f>
        <v>3.8842862653489076E-3</v>
      </c>
      <c r="AF25" s="81">
        <f>$F$31*[1]production!AH76</f>
        <v>3.9543938105221135E-3</v>
      </c>
      <c r="AG25" s="12"/>
    </row>
    <row r="26" spans="1:33">
      <c r="A26" s="80" t="s">
        <v>51</v>
      </c>
      <c r="B26" s="80" t="s">
        <v>33</v>
      </c>
      <c r="C26" s="80" t="s">
        <v>33</v>
      </c>
      <c r="D26" s="80" t="s">
        <v>33</v>
      </c>
      <c r="E26" s="101">
        <f>B10</f>
        <v>0.8</v>
      </c>
      <c r="F26" s="81">
        <f>F25/'[5]5% La-doped BSO'!$E$16*'[5]5% La-doped BSO'!$E$17</f>
        <v>5.7899999999999978E-5</v>
      </c>
      <c r="G26" s="91" t="s">
        <v>52</v>
      </c>
      <c r="H26" s="80"/>
      <c r="I26" s="86" t="s">
        <v>74</v>
      </c>
      <c r="J26" s="81">
        <f>$F$32*[1]production!D70</f>
        <v>1.3551209999999999E-3</v>
      </c>
      <c r="K26" s="81">
        <f>$F$32*[1]production!M70</f>
        <v>5.4955341728023827E-2</v>
      </c>
      <c r="L26" s="81">
        <f>$F$32*[1]production!N70</f>
        <v>1.3573752E-7</v>
      </c>
      <c r="M26" s="81">
        <f>$F$32*[1]production!O70</f>
        <v>1.1111471999999999E-3</v>
      </c>
      <c r="N26" s="81">
        <f>$F$32*[1]production!P70</f>
        <v>1.2774378E-3</v>
      </c>
      <c r="O26" s="81">
        <f>$F$32*[1]production!Q70</f>
        <v>7.6738169999999995E-7</v>
      </c>
      <c r="P26" s="81">
        <f>$F$32*[1]production!R70</f>
        <v>8.9500409999999989E-9</v>
      </c>
      <c r="Q26" s="81">
        <f>$F$32*[1]production!S70</f>
        <v>4.4592410999999993E-4</v>
      </c>
      <c r="R26" s="81">
        <f>$F$32*[1]production!T70</f>
        <v>1.1454803999999999E-7</v>
      </c>
      <c r="S26" s="81">
        <f>$F$32*[1]production!U70</f>
        <v>1.1459139E-3</v>
      </c>
      <c r="T26" s="81">
        <f>$F$32*[1]production!V70</f>
        <v>7.0486232999999996E-7</v>
      </c>
      <c r="U26" s="81">
        <f>$F$32*[1]production!W70</f>
        <v>6.4451045999999997E-7</v>
      </c>
      <c r="V26" s="81">
        <f>$F$32*[1]production!X70</f>
        <v>-1.3157592E-10</v>
      </c>
      <c r="W26" s="81">
        <f>$F$32*[1]production!Y70</f>
        <v>3.6024716999999995E-13</v>
      </c>
      <c r="X26" s="81">
        <f>$F$32*[1]production!Z70</f>
        <v>1.0251407999999999E-6</v>
      </c>
      <c r="Y26" s="81">
        <f>$F$32*[1]production!AA70</f>
        <v>3.7846283999999994E-6</v>
      </c>
      <c r="Z26" s="81">
        <f>$F$32*[1]production!AB70</f>
        <v>3.2528972999999998E-6</v>
      </c>
      <c r="AA26" s="81">
        <f>$F$32*[1]production!AC70</f>
        <v>1.9635815999999996E-7</v>
      </c>
      <c r="AB26" s="81">
        <f>$F$32*[1]production!AD70</f>
        <v>6.6745994999999989E-8</v>
      </c>
      <c r="AC26" s="81">
        <f>$F$32*[1]production!AE70</f>
        <v>1.8624027000000001E-7</v>
      </c>
      <c r="AD26" s="81">
        <f>$F$32*[1]production!AF70</f>
        <v>3.0666656999999998E-5</v>
      </c>
      <c r="AE26" s="81">
        <f>$F$32*[1]production!AG70</f>
        <v>4.4451089999999998E-5</v>
      </c>
      <c r="AF26" s="81">
        <f>$F$32*[1]production!AH70</f>
        <v>1.5321623999999998E-4</v>
      </c>
    </row>
    <row r="27" spans="1:33">
      <c r="A27" s="79" t="s">
        <v>54</v>
      </c>
      <c r="B27" s="80"/>
      <c r="C27" s="80"/>
      <c r="D27" s="80"/>
      <c r="E27" s="80"/>
      <c r="F27" s="81"/>
      <c r="G27" s="80"/>
      <c r="H27" s="80"/>
      <c r="I27" s="86" t="s">
        <v>53</v>
      </c>
      <c r="J27" s="81">
        <f>F34*[6]Inventory!$AP$84</f>
        <v>0.194226136277663</v>
      </c>
      <c r="K27" s="81">
        <f>$F$34*[6]Inventory!AQ84</f>
        <v>3.2878661442403283</v>
      </c>
      <c r="L27" s="81">
        <f>$F$34*[6]Inventory!AR84</f>
        <v>1.0481475625709552E-2</v>
      </c>
      <c r="M27" s="81">
        <f>$F$34*[6]Inventory!AS84</f>
        <v>0.17395021294165905</v>
      </c>
      <c r="N27" s="81">
        <f>$F$34*[6]Inventory!AT84</f>
        <v>7.1535587853100824E-2</v>
      </c>
      <c r="O27" s="81">
        <f>$F$34*[6]Inventory!AU84</f>
        <v>4.9485822638220944E-3</v>
      </c>
      <c r="P27" s="81">
        <f>$F$34*[6]Inventory!AV84</f>
        <v>1.0211204210343115E-4</v>
      </c>
      <c r="Q27" s="81">
        <f>$F$34*[6]Inventory!AW84</f>
        <v>5.2188762835723228</v>
      </c>
      <c r="R27" s="81">
        <f>$F$34*[6]Inventory!AX84</f>
        <v>9.433599721817898E-3</v>
      </c>
      <c r="S27" s="81">
        <f>$F$34*[6]Inventory!AY84</f>
        <v>3.9362015552436818</v>
      </c>
      <c r="T27" s="81">
        <f>$F$34*[6]Inventory!AZ84</f>
        <v>2.071232000780253E-4</v>
      </c>
      <c r="U27" s="81">
        <f>$F$34*[6]Inventory!BA84</f>
        <v>1.2097229641745273E-2</v>
      </c>
      <c r="V27" s="81">
        <f>$F$34*[6]Inventory!BB84</f>
        <v>2.7298950104205477E-5</v>
      </c>
      <c r="W27" s="81">
        <f>$F$34*[6]Inventory!BC84</f>
        <v>2.9587308119673263E-8</v>
      </c>
      <c r="X27" s="81">
        <f>$F$34*[6]Inventory!BD84</f>
        <v>5.271713214713619E-4</v>
      </c>
      <c r="Y27" s="81">
        <f>$F$34*[6]Inventory!BE84</f>
        <v>6.2193745752386095E-4</v>
      </c>
      <c r="Z27" s="81">
        <f>$F$34*[6]Inventory!BF84</f>
        <v>1.7197764273420425E-3</v>
      </c>
      <c r="AA27" s="81">
        <f>$F$34*[6]Inventory!BG84</f>
        <v>5.1235257566999116E-4</v>
      </c>
      <c r="AB27" s="81">
        <f>$F$34*[6]Inventory!BH84</f>
        <v>1.2156135063403916E-3</v>
      </c>
      <c r="AC27" s="81">
        <f>$F$34*[6]Inventory!BI84</f>
        <v>3.9165855065028809E-4</v>
      </c>
      <c r="AD27" s="81">
        <f>$F$34*[6]Inventory!BJ84</f>
        <v>7.3771372811601427E-3</v>
      </c>
      <c r="AE27" s="81">
        <f>$F$34*[6]Inventory!BK84</f>
        <v>4.2955594818262124E-2</v>
      </c>
      <c r="AF27" s="81">
        <f>$F$34*[6]Inventory!BL84</f>
        <v>9.1050545168319414E-3</v>
      </c>
      <c r="AG27" s="12"/>
    </row>
    <row r="28" spans="1:33">
      <c r="A28" s="86" t="s">
        <v>46</v>
      </c>
      <c r="B28" s="80">
        <f>440*96/300</f>
        <v>140.80000000000001</v>
      </c>
      <c r="C28" s="80">
        <v>0.8</v>
      </c>
      <c r="D28" s="80">
        <v>6160</v>
      </c>
      <c r="E28" s="101">
        <f>B10</f>
        <v>0.8</v>
      </c>
      <c r="F28" s="81">
        <f>B28*C28*D28/1000000000/E28</f>
        <v>8.6732800000000011E-4</v>
      </c>
      <c r="G28" s="80"/>
      <c r="H28" s="80"/>
      <c r="I28" s="92" t="str">
        <f>A36</f>
        <v>Cu</v>
      </c>
      <c r="J28" s="93">
        <f>$F$36*[3]production!D133</f>
        <v>3.7954882559999999E-3</v>
      </c>
      <c r="K28" s="93">
        <f>$F$36*[3]production!M133</f>
        <v>5.4579072598579199E-2</v>
      </c>
      <c r="L28" s="93">
        <f>$F$36*[3]production!N133</f>
        <v>2.7756610559999997E-4</v>
      </c>
      <c r="M28" s="93">
        <f>$F$36*[3]production!O133</f>
        <v>3.4641761279999993E-3</v>
      </c>
      <c r="N28" s="93">
        <f>$F$36*[3]production!P133</f>
        <v>1.0058280959999999E-3</v>
      </c>
      <c r="O28" s="93">
        <f>$F$36*[3]production!Q133</f>
        <v>3.7349007359999994E-3</v>
      </c>
      <c r="P28" s="93">
        <f>$F$36*[3]production!R133</f>
        <v>1.1003596799999999E-4</v>
      </c>
      <c r="Q28" s="93">
        <f>$F$36*[3]production!S133</f>
        <v>9.3997209599999998</v>
      </c>
      <c r="R28" s="93">
        <f>$F$36*[3]production!T133</f>
        <v>3.5110655999999999E-4</v>
      </c>
      <c r="S28" s="93">
        <f>$F$36*[3]production!U133</f>
        <v>4.914814464</v>
      </c>
      <c r="T28" s="93">
        <f>$F$36*[3]production!V133</f>
        <v>2.2612316159999998E-5</v>
      </c>
      <c r="U28" s="93">
        <f>$F$36*[3]production!W133</f>
        <v>3.6032639999999998E-2</v>
      </c>
      <c r="V28" s="93">
        <f>$F$36*[3]production!X133</f>
        <v>1.4980546559999997E-6</v>
      </c>
      <c r="W28" s="93">
        <f>$F$36*[3]production!Y133</f>
        <v>2.2585221120000001E-10</v>
      </c>
      <c r="X28" s="93">
        <f>$F$36*[3]production!Z133</f>
        <v>1.094413824E-4</v>
      </c>
      <c r="Y28" s="93">
        <f>$F$36*[3]production!AA133</f>
        <v>7.0333455359999997E-5</v>
      </c>
      <c r="Z28" s="93">
        <f>$F$36*[3]production!AB133</f>
        <v>3.6679157759999999E-4</v>
      </c>
      <c r="AA28" s="93">
        <f>$F$36*[3]production!AC133</f>
        <v>4.6303165439999999E-4</v>
      </c>
      <c r="AB28" s="93">
        <f>$F$36*[3]production!AD133</f>
        <v>3.2838435839999998E-4</v>
      </c>
      <c r="AC28" s="93">
        <f>$F$36*[3]production!AE133</f>
        <v>1.2161157119999999E-4</v>
      </c>
      <c r="AD28" s="93">
        <f>$F$36*[3]production!AF133</f>
        <v>1.7343083519999998E-3</v>
      </c>
      <c r="AE28" s="93">
        <f>$F$36*[3]production!AG133</f>
        <v>6.4581027839999999E-2</v>
      </c>
      <c r="AF28" s="93">
        <f>$F$36*[3]production!AH133</f>
        <v>1.7931647999999997E-3</v>
      </c>
    </row>
    <row r="29" spans="1:33">
      <c r="A29" s="86" t="s">
        <v>47</v>
      </c>
      <c r="B29" s="80" t="s">
        <v>33</v>
      </c>
      <c r="C29" s="80" t="s">
        <v>33</v>
      </c>
      <c r="D29" s="80" t="s">
        <v>33</v>
      </c>
      <c r="E29" s="101">
        <f>B10</f>
        <v>0.8</v>
      </c>
      <c r="F29" s="81">
        <f>F28/0.46*0.944</f>
        <v>1.779907895652174E-3</v>
      </c>
      <c r="G29" s="80" t="s">
        <v>56</v>
      </c>
      <c r="H29" s="80"/>
      <c r="I29" s="92" t="s">
        <v>160</v>
      </c>
      <c r="J29" s="93">
        <f>$F$37*[3]production!D46</f>
        <v>0.29058656969696967</v>
      </c>
      <c r="K29" s="93">
        <f>$F$37*[3]production!M46</f>
        <v>4.3659558183030303</v>
      </c>
      <c r="L29" s="93">
        <f>$F$37*[3]production!N46</f>
        <v>1.5204004848484845E-2</v>
      </c>
      <c r="M29" s="93">
        <f>$F$37*[3]production!O46</f>
        <v>0.26877852121212115</v>
      </c>
      <c r="N29" s="93">
        <f>$F$37*[3]production!P46</f>
        <v>7.7184489696969685E-2</v>
      </c>
      <c r="O29" s="93">
        <f>$F$37*[3]production!Q46</f>
        <v>3.8203549090909082E-3</v>
      </c>
      <c r="P29" s="93">
        <f>$F$37*[3]production!R46</f>
        <v>1.5748935757575755E-4</v>
      </c>
      <c r="Q29" s="93">
        <f>$F$37*[3]production!S46</f>
        <v>5.0588833939393929</v>
      </c>
      <c r="R29" s="93">
        <f>$F$37*[3]production!T46</f>
        <v>4.4774075151515144E-2</v>
      </c>
      <c r="S29" s="93">
        <f>$F$37*[3]production!U46</f>
        <v>4.3602041212121208</v>
      </c>
      <c r="T29" s="93">
        <f>$F$37*[3]production!V46</f>
        <v>2.6226962424242417E-4</v>
      </c>
      <c r="U29" s="93">
        <f>$F$37*[3]production!W46</f>
        <v>3.5047490909090903E-3</v>
      </c>
      <c r="V29" s="93">
        <f>$F$37*[3]production!X46</f>
        <v>3.1948736969696965E-5</v>
      </c>
      <c r="W29" s="93">
        <f>$F$37*[3]production!Y46</f>
        <v>1.6083030303030301E-8</v>
      </c>
      <c r="X29" s="93">
        <f>$F$37*[3]production!Z46</f>
        <v>9.0081187878787868E-4</v>
      </c>
      <c r="Y29" s="93">
        <f>$F$37*[3]production!AA46</f>
        <v>7.1664901818181801E-4</v>
      </c>
      <c r="Z29" s="93">
        <f>$F$37*[3]production!AB46</f>
        <v>1.4193071515151512E-3</v>
      </c>
      <c r="AA29" s="93">
        <f>$F$37*[3]production!AC46</f>
        <v>9.7240974545454532E-5</v>
      </c>
      <c r="AB29" s="93">
        <f>$F$37*[3]production!AD46</f>
        <v>1.7287500606060604E-3</v>
      </c>
      <c r="AC29" s="93">
        <f>$F$37*[3]production!AE46</f>
        <v>1.1379757575757574E-3</v>
      </c>
      <c r="AD29" s="93">
        <f>$F$37*[3]production!AF46</f>
        <v>1.1503015757575756E-2</v>
      </c>
      <c r="AE29" s="93">
        <f>$F$37*[3]production!AG46</f>
        <v>4.5996926060606055E-2</v>
      </c>
      <c r="AF29" s="93">
        <f>$F$37*[3]production!AH46</f>
        <v>9.4180063030303018E-3</v>
      </c>
      <c r="AG29" s="74"/>
    </row>
    <row r="30" spans="1:33">
      <c r="A30" s="86" t="s">
        <v>49</v>
      </c>
      <c r="B30" s="80">
        <f>440/300*204</f>
        <v>299.2</v>
      </c>
      <c r="C30" s="80">
        <v>0.8</v>
      </c>
      <c r="D30" s="80">
        <v>1000</v>
      </c>
      <c r="E30" s="101">
        <f>B10</f>
        <v>0.8</v>
      </c>
      <c r="F30" s="81">
        <f>B30*C30*D30/1000000000/E30</f>
        <v>2.9920000000000001E-4</v>
      </c>
      <c r="G30" s="80"/>
      <c r="H30" s="80"/>
      <c r="I30" s="92" t="s">
        <v>161</v>
      </c>
      <c r="J30" s="93">
        <f>$F$38*[3]production!D91</f>
        <v>1.2806957575757575E-4</v>
      </c>
      <c r="K30" s="93">
        <f>$F$38*[3]production!M91</f>
        <v>1.7448388645818179E-3</v>
      </c>
      <c r="L30" s="93">
        <f>$F$38*[3]production!N91</f>
        <v>5.0365023030303021E-6</v>
      </c>
      <c r="M30" s="93">
        <f>$F$38*[3]production!O91</f>
        <v>1.1821973333333331E-4</v>
      </c>
      <c r="N30" s="93">
        <f>$F$38*[3]production!P91</f>
        <v>3.3462433939393932E-5</v>
      </c>
      <c r="O30" s="93">
        <f>$F$38*[3]production!Q91</f>
        <v>1.5462414545454542E-6</v>
      </c>
      <c r="P30" s="93">
        <f>$F$38*[3]production!R91</f>
        <v>6.2809774545454535E-8</v>
      </c>
      <c r="Q30" s="93">
        <f>$F$38*[3]production!S91</f>
        <v>2.0907398787878783E-3</v>
      </c>
      <c r="R30" s="93">
        <f>$F$38*[3]production!T91</f>
        <v>1.3000494545454543E-5</v>
      </c>
      <c r="S30" s="93">
        <f>$F$38*[3]production!U91</f>
        <v>1.7876761212121208E-3</v>
      </c>
      <c r="T30" s="93">
        <f>$F$38*[3]production!V91</f>
        <v>1.1685740606060604E-7</v>
      </c>
      <c r="U30" s="93">
        <f>$F$38*[3]production!W91</f>
        <v>1.3077260606060604E-6</v>
      </c>
      <c r="V30" s="93">
        <f>$F$38*[3]production!X91</f>
        <v>1.3889250909090907E-8</v>
      </c>
      <c r="W30" s="93">
        <f>$F$38*[3]production!Y91</f>
        <v>5.8068659393939386E-12</v>
      </c>
      <c r="X30" s="93">
        <f>$F$38*[3]production!Z91</f>
        <v>4.3156581818181813E-7</v>
      </c>
      <c r="Y30" s="93">
        <f>$F$38*[3]production!AA91</f>
        <v>3.2327161212121209E-7</v>
      </c>
      <c r="Z30" s="93">
        <f>$F$38*[3]production!AB91</f>
        <v>6.3258477575757571E-7</v>
      </c>
      <c r="AA30" s="93">
        <f>$F$38*[3]production!AC91</f>
        <v>4.0537886060606053E-8</v>
      </c>
      <c r="AB30" s="93">
        <f>$F$38*[3]production!AD91</f>
        <v>7.6982303030303019E-7</v>
      </c>
      <c r="AC30" s="93">
        <f>$F$38*[3]production!AE91</f>
        <v>4.6972179393939389E-7</v>
      </c>
      <c r="AD30" s="93">
        <f>$F$38*[3]production!AF91</f>
        <v>4.8958366060606059E-6</v>
      </c>
      <c r="AE30" s="93">
        <f>$F$38*[3]production!AG91</f>
        <v>1.9418569696969696E-5</v>
      </c>
      <c r="AF30" s="93">
        <f>$F$38*[3]production!AH91</f>
        <v>4.0733585454545447E-6</v>
      </c>
      <c r="AG30" s="74"/>
    </row>
    <row r="31" spans="1:33">
      <c r="A31" s="86" t="s">
        <v>50</v>
      </c>
      <c r="B31" s="80" t="s">
        <v>33</v>
      </c>
      <c r="C31" s="80" t="s">
        <v>33</v>
      </c>
      <c r="D31" s="80" t="s">
        <v>33</v>
      </c>
      <c r="E31" s="101">
        <f>B10</f>
        <v>0.8</v>
      </c>
      <c r="F31" s="81">
        <f>F30*1000/159/0.063*0.785</f>
        <v>2.3447339522811226E-2</v>
      </c>
      <c r="G31" s="80" t="s">
        <v>58</v>
      </c>
      <c r="H31" s="80"/>
      <c r="I31" s="79" t="s">
        <v>55</v>
      </c>
      <c r="J31" s="81">
        <f>SUM(J32:J51)</f>
        <v>0</v>
      </c>
      <c r="K31" s="81">
        <f t="shared" ref="K31:AF31" si="0">SUM(K32:K51)</f>
        <v>0</v>
      </c>
      <c r="L31" s="81">
        <f t="shared" si="0"/>
        <v>0</v>
      </c>
      <c r="M31" s="81">
        <f t="shared" si="0"/>
        <v>0</v>
      </c>
      <c r="N31" s="81">
        <f t="shared" si="0"/>
        <v>0</v>
      </c>
      <c r="O31" s="81">
        <f t="shared" si="0"/>
        <v>2.8766175362771058E-2</v>
      </c>
      <c r="P31" s="81">
        <f t="shared" si="0"/>
        <v>0</v>
      </c>
      <c r="Q31" s="81">
        <f t="shared" si="0"/>
        <v>3.9646811057637038E-2</v>
      </c>
      <c r="R31" s="81">
        <f t="shared" si="0"/>
        <v>0</v>
      </c>
      <c r="S31" s="81">
        <f t="shared" si="0"/>
        <v>65.577562913044957</v>
      </c>
      <c r="T31" s="81">
        <f t="shared" si="0"/>
        <v>0</v>
      </c>
      <c r="U31" s="81">
        <f t="shared" si="0"/>
        <v>0</v>
      </c>
      <c r="V31" s="81">
        <f t="shared" si="0"/>
        <v>0</v>
      </c>
      <c r="W31" s="81">
        <f t="shared" si="0"/>
        <v>0</v>
      </c>
      <c r="X31" s="81">
        <f t="shared" si="0"/>
        <v>0</v>
      </c>
      <c r="Y31" s="81">
        <f t="shared" si="0"/>
        <v>1.070816215265836E-2</v>
      </c>
      <c r="Z31" s="81">
        <f t="shared" si="0"/>
        <v>0</v>
      </c>
      <c r="AA31" s="81">
        <f t="shared" si="0"/>
        <v>0.30114233476610952</v>
      </c>
      <c r="AB31" s="81">
        <f t="shared" si="0"/>
        <v>0</v>
      </c>
      <c r="AC31" s="81">
        <f t="shared" si="0"/>
        <v>0</v>
      </c>
      <c r="AD31" s="81">
        <f t="shared" si="0"/>
        <v>8.2794194820530395E-2</v>
      </c>
      <c r="AE31" s="81">
        <f t="shared" si="0"/>
        <v>2.7391927199476581E-4</v>
      </c>
      <c r="AF31" s="81">
        <f t="shared" si="0"/>
        <v>0</v>
      </c>
    </row>
    <row r="32" spans="1:33">
      <c r="A32" s="86" t="s">
        <v>74</v>
      </c>
      <c r="B32" s="80"/>
      <c r="C32" s="80"/>
      <c r="D32" s="80"/>
      <c r="E32" s="80"/>
      <c r="F32" s="81">
        <f>1/1000000*867</f>
        <v>8.6699999999999993E-4</v>
      </c>
      <c r="G32" s="80"/>
      <c r="H32" s="80"/>
      <c r="I32" s="86" t="s">
        <v>167</v>
      </c>
      <c r="J32" s="81">
        <f>$F$41*'[1]direct emissions'!D23</f>
        <v>0</v>
      </c>
      <c r="K32" s="81">
        <f>$F$41*'[1]direct emissions'!M23</f>
        <v>0</v>
      </c>
      <c r="L32" s="81">
        <f>$F$41*'[1]direct emissions'!N23</f>
        <v>0</v>
      </c>
      <c r="M32" s="81">
        <f>$F$41*'[1]direct emissions'!O23</f>
        <v>0</v>
      </c>
      <c r="N32" s="81">
        <f>$F$41*'[1]direct emissions'!P23</f>
        <v>0</v>
      </c>
      <c r="O32" s="81">
        <f>$F$41*'[1]direct emissions'!Q23</f>
        <v>0</v>
      </c>
      <c r="P32" s="81">
        <f>$F$41*'[1]direct emissions'!R23</f>
        <v>0</v>
      </c>
      <c r="Q32" s="81">
        <f>$F$41*'[1]direct emissions'!S23</f>
        <v>0</v>
      </c>
      <c r="R32" s="81">
        <f>$F$41*'[1]direct emissions'!T23</f>
        <v>0</v>
      </c>
      <c r="S32" s="81">
        <f>$F$41*'[1]direct emissions'!U23</f>
        <v>0</v>
      </c>
      <c r="T32" s="81">
        <f>$F$41*'[1]direct emissions'!V23</f>
        <v>0</v>
      </c>
      <c r="U32" s="81">
        <f>$F$41*'[1]direct emissions'!W23</f>
        <v>0</v>
      </c>
      <c r="V32" s="81">
        <f>$F$41*'[1]direct emissions'!X23</f>
        <v>0</v>
      </c>
      <c r="W32" s="81">
        <f>$F$41*'[1]direct emissions'!Y23</f>
        <v>0</v>
      </c>
      <c r="X32" s="81">
        <f>$F$41*'[1]direct emissions'!Z23</f>
        <v>0</v>
      </c>
      <c r="Y32" s="81">
        <f>$F$41*'[1]direct emissions'!AA23</f>
        <v>0</v>
      </c>
      <c r="Z32" s="81">
        <f>$F$41*'[1]direct emissions'!AB23</f>
        <v>0</v>
      </c>
      <c r="AA32" s="81">
        <f>$F$41*'[1]direct emissions'!AC23</f>
        <v>0</v>
      </c>
      <c r="AB32" s="81">
        <f>$F$41*'[1]direct emissions'!AD23</f>
        <v>0</v>
      </c>
      <c r="AC32" s="81">
        <f>$F$41*'[1]direct emissions'!AE23</f>
        <v>0</v>
      </c>
      <c r="AD32" s="81">
        <f>$F$41*'[1]direct emissions'!AF23</f>
        <v>0</v>
      </c>
      <c r="AE32" s="81">
        <f>$F$41*'[1]direct emissions'!AG23</f>
        <v>0</v>
      </c>
      <c r="AF32" s="81">
        <f>$F$41*'[1]direct emissions'!AH23</f>
        <v>0</v>
      </c>
    </row>
    <row r="33" spans="1:33">
      <c r="A33" s="79" t="s">
        <v>60</v>
      </c>
      <c r="B33" s="80"/>
      <c r="C33" s="80"/>
      <c r="D33" s="80"/>
      <c r="E33" s="80"/>
      <c r="F33" s="81"/>
      <c r="G33" s="80"/>
      <c r="H33" s="80"/>
      <c r="I33" s="86" t="s">
        <v>39</v>
      </c>
      <c r="J33" s="81">
        <f>$F$43*'[1]direct emissions'!D15</f>
        <v>0</v>
      </c>
      <c r="K33" s="81">
        <f>$F$43*'[1]direct emissions'!M15</f>
        <v>0</v>
      </c>
      <c r="L33" s="81">
        <f>$F$43*'[1]direct emissions'!N15</f>
        <v>0</v>
      </c>
      <c r="M33" s="81">
        <f>$F$43*'[1]direct emissions'!O15</f>
        <v>0</v>
      </c>
      <c r="N33" s="81">
        <f>$F$43*'[1]direct emissions'!P15</f>
        <v>0</v>
      </c>
      <c r="O33" s="81">
        <f>$F$43*'[1]direct emissions'!Q15</f>
        <v>1.395430951060117E-8</v>
      </c>
      <c r="P33" s="81">
        <f>$F$43*'[1]direct emissions'!R15</f>
        <v>0</v>
      </c>
      <c r="Q33" s="81">
        <f>$F$43*'[1]direct emissions'!S15</f>
        <v>1.9072491238273532E-5</v>
      </c>
      <c r="R33" s="81">
        <f>$F$43*'[1]direct emissions'!T15</f>
        <v>0</v>
      </c>
      <c r="S33" s="81">
        <f>$F$43*'[1]direct emissions'!U15</f>
        <v>2.3719975841886476E-8</v>
      </c>
      <c r="T33" s="81">
        <f>$F$43*'[1]direct emissions'!V15</f>
        <v>0</v>
      </c>
      <c r="U33" s="81">
        <f>$F$43*'[1]direct emissions'!W15</f>
        <v>0</v>
      </c>
      <c r="V33" s="81">
        <f>$F$43*'[1]direct emissions'!X15</f>
        <v>0</v>
      </c>
      <c r="W33" s="81">
        <f>$F$43*'[1]direct emissions'!Y15</f>
        <v>0</v>
      </c>
      <c r="X33" s="81">
        <f>$F$43*'[1]direct emissions'!Z15</f>
        <v>0</v>
      </c>
      <c r="Y33" s="81">
        <f>$F$43*'[1]direct emissions'!AA15</f>
        <v>8.9473408562538623E-4</v>
      </c>
      <c r="Z33" s="81">
        <f>$F$43*'[1]direct emissions'!AB15</f>
        <v>0</v>
      </c>
      <c r="AA33" s="81">
        <f>$F$43*'[1]direct emissions'!AC15</f>
        <v>4.9357252468364543E-8</v>
      </c>
      <c r="AB33" s="81">
        <f>$F$43*'[1]direct emissions'!AD15</f>
        <v>0</v>
      </c>
      <c r="AC33" s="81">
        <f>$F$43*'[1]direct emissions'!AE15</f>
        <v>0</v>
      </c>
      <c r="AD33" s="81">
        <f>$F$43*'[1]direct emissions'!AF15</f>
        <v>1.0834542115358901E-8</v>
      </c>
      <c r="AE33" s="81">
        <f>$F$43*'[1]direct emissions'!AG15</f>
        <v>4.7068656786616549E-7</v>
      </c>
      <c r="AF33" s="81">
        <f>$F$43*'[1]direct emissions'!AH15</f>
        <v>0</v>
      </c>
    </row>
    <row r="34" spans="1:33">
      <c r="A34" s="86" t="s">
        <v>53</v>
      </c>
      <c r="B34" s="80" t="s">
        <v>33</v>
      </c>
      <c r="C34" s="80">
        <v>0.8</v>
      </c>
      <c r="D34" s="80" t="s">
        <v>33</v>
      </c>
      <c r="E34" s="101">
        <f>B10</f>
        <v>0.8</v>
      </c>
      <c r="F34" s="81">
        <f>[7]mix!$E$11/1000</f>
        <v>9.1940000000000008E-3</v>
      </c>
      <c r="G34" s="80"/>
      <c r="H34" s="80"/>
      <c r="I34" s="86" t="s">
        <v>168</v>
      </c>
      <c r="J34" s="81"/>
      <c r="K34" s="81"/>
      <c r="L34" s="81"/>
      <c r="M34" s="81"/>
      <c r="N34" s="81"/>
      <c r="O34" s="81"/>
      <c r="P34" s="81"/>
      <c r="Q34" s="81"/>
      <c r="R34" s="81"/>
      <c r="S34" s="81"/>
      <c r="T34" s="81"/>
      <c r="U34" s="81"/>
      <c r="V34" s="81"/>
      <c r="W34" s="81"/>
      <c r="X34" s="81"/>
      <c r="Y34" s="81"/>
      <c r="Z34" s="81"/>
      <c r="AA34" s="81"/>
      <c r="AB34" s="81"/>
      <c r="AC34" s="81"/>
      <c r="AD34" s="81"/>
      <c r="AE34" s="81"/>
      <c r="AF34" s="81"/>
    </row>
    <row r="35" spans="1:33">
      <c r="A35" s="79" t="s">
        <v>62</v>
      </c>
      <c r="B35" s="80"/>
      <c r="C35" s="80"/>
      <c r="D35" s="80"/>
      <c r="E35" s="80"/>
      <c r="F35" s="81"/>
      <c r="G35" s="80">
        <f>B36/1000000000*C36*D36*1000</f>
        <v>0.71679999999999999</v>
      </c>
      <c r="H35" s="80"/>
      <c r="I35" s="86" t="s">
        <v>50</v>
      </c>
      <c r="J35" s="81">
        <f>$F$45*'[1]direct emissions'!D24</f>
        <v>0</v>
      </c>
      <c r="K35" s="81">
        <f>$F$45*'[1]direct emissions'!M24</f>
        <v>0</v>
      </c>
      <c r="L35" s="81">
        <f>$F$45*'[1]direct emissions'!N24</f>
        <v>0</v>
      </c>
      <c r="M35" s="81">
        <f>$F$45*'[1]direct emissions'!O24</f>
        <v>0</v>
      </c>
      <c r="N35" s="81">
        <f>$F$45*'[1]direct emissions'!P24</f>
        <v>0</v>
      </c>
      <c r="O35" s="81">
        <f>$F$45*'[1]direct emissions'!Q24</f>
        <v>0</v>
      </c>
      <c r="P35" s="81">
        <f>$F$45*'[1]direct emissions'!R24</f>
        <v>0</v>
      </c>
      <c r="Q35" s="81">
        <f>$F$45*'[1]direct emissions'!S24</f>
        <v>0</v>
      </c>
      <c r="R35" s="81">
        <f>$F$45*'[1]direct emissions'!T24</f>
        <v>0</v>
      </c>
      <c r="S35" s="81">
        <f>$F$45*'[1]direct emissions'!U24</f>
        <v>0</v>
      </c>
      <c r="T35" s="81">
        <f>$F$45*'[1]direct emissions'!V24</f>
        <v>0</v>
      </c>
      <c r="U35" s="81">
        <f>$F$45*'[1]direct emissions'!W24</f>
        <v>0</v>
      </c>
      <c r="V35" s="81">
        <f>$F$45*'[1]direct emissions'!X24</f>
        <v>0</v>
      </c>
      <c r="W35" s="81">
        <f>$F$45*'[1]direct emissions'!Y24</f>
        <v>0</v>
      </c>
      <c r="X35" s="81">
        <f>$F$45*'[1]direct emissions'!Z24</f>
        <v>0</v>
      </c>
      <c r="Y35" s="81">
        <f>$F$45*'[1]direct emissions'!AA24</f>
        <v>7.4743436544388578E-3</v>
      </c>
      <c r="Z35" s="81">
        <f>$F$45*'[1]direct emissions'!AB24</f>
        <v>0</v>
      </c>
      <c r="AA35" s="81">
        <f>$F$45*'[1]direct emissions'!AC24</f>
        <v>0</v>
      </c>
      <c r="AB35" s="81">
        <f>$F$45*'[1]direct emissions'!AD24</f>
        <v>0</v>
      </c>
      <c r="AC35" s="81">
        <f>$F$45*'[1]direct emissions'!AE24</f>
        <v>0</v>
      </c>
      <c r="AD35" s="81">
        <f>$F$45*'[1]direct emissions'!AF24</f>
        <v>0</v>
      </c>
      <c r="AE35" s="81">
        <f>$F$45*'[1]direct emissions'!AG24</f>
        <v>2.8438966099758424E-6</v>
      </c>
      <c r="AF35" s="81">
        <f>$F$45*'[1]direct emissions'!AH24</f>
        <v>0</v>
      </c>
    </row>
    <row r="36" spans="1:33">
      <c r="A36" s="132" t="s">
        <v>155</v>
      </c>
      <c r="B36" s="132">
        <v>100</v>
      </c>
      <c r="C36" s="132">
        <v>0.8</v>
      </c>
      <c r="D36" s="132">
        <v>8960</v>
      </c>
      <c r="E36" s="132">
        <v>0.5</v>
      </c>
      <c r="F36" s="133">
        <f>$B$36*$C$36*$D$36/$E$36/1000000000*(1-E36*B3)</f>
        <v>7.5263999999999995E-4</v>
      </c>
      <c r="G36" s="131">
        <f>$B$36*$C$36*$D$36/$E$36/1000000000</f>
        <v>1.4335999999999999E-3</v>
      </c>
      <c r="H36" s="80"/>
      <c r="I36" s="86" t="s">
        <v>61</v>
      </c>
      <c r="J36" s="81">
        <f>$F$46*'[1]direct emissions'!D25</f>
        <v>0</v>
      </c>
      <c r="K36" s="81">
        <f>$F$46*'[1]direct emissions'!M25</f>
        <v>0</v>
      </c>
      <c r="L36" s="81">
        <f>$F$46*'[1]direct emissions'!N25</f>
        <v>0</v>
      </c>
      <c r="M36" s="81">
        <f>$F$46*'[1]direct emissions'!O25</f>
        <v>0</v>
      </c>
      <c r="N36" s="81">
        <f>$F$46*'[1]direct emissions'!P25</f>
        <v>0</v>
      </c>
      <c r="O36" s="81">
        <f>$F$46*'[1]direct emissions'!Q25</f>
        <v>7.8597631649002229E-10</v>
      </c>
      <c r="P36" s="81">
        <f>$F$46*'[1]direct emissions'!R25</f>
        <v>0</v>
      </c>
      <c r="Q36" s="81">
        <f>$F$46*'[1]direct emissions'!S25</f>
        <v>6.4031921927316522E-6</v>
      </c>
      <c r="R36" s="81">
        <f>$F$46*'[1]direct emissions'!T25</f>
        <v>0</v>
      </c>
      <c r="S36" s="81">
        <f>$F$46*'[1]direct emissions'!U25</f>
        <v>3.2051912302495679E-9</v>
      </c>
      <c r="T36" s="81">
        <f>$F$46*'[1]direct emissions'!V25</f>
        <v>0</v>
      </c>
      <c r="U36" s="81">
        <f>$F$46*'[1]direct emissions'!W25</f>
        <v>0</v>
      </c>
      <c r="V36" s="81">
        <f>$F$46*'[1]direct emissions'!X25</f>
        <v>0</v>
      </c>
      <c r="W36" s="81">
        <f>$F$46*'[1]direct emissions'!Y25</f>
        <v>0</v>
      </c>
      <c r="X36" s="81">
        <f>$F$46*'[1]direct emissions'!Z25</f>
        <v>0</v>
      </c>
      <c r="Y36" s="81">
        <f>$F$46*'[1]direct emissions'!AA25</f>
        <v>6.8251220535764444E-6</v>
      </c>
      <c r="Z36" s="81">
        <f>$F$46*'[1]direct emissions'!AB25</f>
        <v>0</v>
      </c>
      <c r="AA36" s="81">
        <f>$F$46*'[1]direct emissions'!AC25</f>
        <v>1.3044417358846937E-9</v>
      </c>
      <c r="AB36" s="81">
        <f>$F$46*'[1]direct emissions'!AD25</f>
        <v>0</v>
      </c>
      <c r="AC36" s="81">
        <f>$F$46*'[1]direct emissions'!AE25</f>
        <v>0</v>
      </c>
      <c r="AD36" s="81">
        <f>$F$46*'[1]direct emissions'!AF25</f>
        <v>2.8752430106165559E-10</v>
      </c>
      <c r="AE36" s="81">
        <f>$F$46*'[1]direct emissions'!AG25</f>
        <v>4.6325993121757659E-8</v>
      </c>
      <c r="AF36" s="81">
        <f>$F$46*'[1]direct emissions'!AH25</f>
        <v>0</v>
      </c>
    </row>
    <row r="37" spans="1:33">
      <c r="A37" s="92" t="s">
        <v>160</v>
      </c>
      <c r="B37" s="92"/>
      <c r="C37" s="92"/>
      <c r="D37" s="92"/>
      <c r="E37" s="92"/>
      <c r="F37" s="93">
        <f>20/10*10000/1000*1.784/1000*'energy consumption'!D20/60</f>
        <v>0.1081212121212121</v>
      </c>
      <c r="G37" s="94"/>
      <c r="H37" s="80"/>
      <c r="I37" s="86" t="s">
        <v>63</v>
      </c>
      <c r="J37" s="81">
        <f>$F$47*'[1]direct emissions'!D26</f>
        <v>0</v>
      </c>
      <c r="K37" s="81">
        <f>$F$47*'[1]direct emissions'!M26</f>
        <v>0</v>
      </c>
      <c r="L37" s="81">
        <f>$F$47*'[1]direct emissions'!N26</f>
        <v>0</v>
      </c>
      <c r="M37" s="81">
        <f>$F$47*'[1]direct emissions'!O26</f>
        <v>0</v>
      </c>
      <c r="N37" s="81">
        <f>$F$47*'[1]direct emissions'!P26</f>
        <v>0</v>
      </c>
      <c r="O37" s="81">
        <f>$F$47*'[1]direct emissions'!Q26</f>
        <v>4.1834551422404713E-10</v>
      </c>
      <c r="P37" s="81">
        <f>$F$47*'[1]direct emissions'!R26</f>
        <v>0</v>
      </c>
      <c r="Q37" s="81">
        <f>$F$47*'[1]direct emissions'!S26</f>
        <v>0</v>
      </c>
      <c r="R37" s="81">
        <f>$F$47*'[1]direct emissions'!T26</f>
        <v>0</v>
      </c>
      <c r="S37" s="81">
        <f>$F$47*'[1]direct emissions'!U26</f>
        <v>2.434400868982366E-11</v>
      </c>
      <c r="T37" s="81">
        <f>$F$47*'[1]direct emissions'!V26</f>
        <v>0</v>
      </c>
      <c r="U37" s="81">
        <f>$F$47*'[1]direct emissions'!W26</f>
        <v>0</v>
      </c>
      <c r="V37" s="81">
        <f>$F$47*'[1]direct emissions'!X26</f>
        <v>0</v>
      </c>
      <c r="W37" s="81">
        <f>$F$47*'[1]direct emissions'!Y26</f>
        <v>0</v>
      </c>
      <c r="X37" s="81">
        <f>$F$47*'[1]direct emissions'!Z26</f>
        <v>0</v>
      </c>
      <c r="Y37" s="81">
        <f>$F$47*'[1]direct emissions'!AA26</f>
        <v>0</v>
      </c>
      <c r="Z37" s="81">
        <f>$F$47*'[1]direct emissions'!AB26</f>
        <v>0</v>
      </c>
      <c r="AA37" s="81">
        <f>$F$47*'[1]direct emissions'!AC26</f>
        <v>9.848514847533777E-9</v>
      </c>
      <c r="AB37" s="81">
        <f>$F$47*'[1]direct emissions'!AD26</f>
        <v>0</v>
      </c>
      <c r="AC37" s="81">
        <f>$F$47*'[1]direct emissions'!AE26</f>
        <v>0</v>
      </c>
      <c r="AD37" s="81">
        <f>$F$47*'[1]direct emissions'!AF26</f>
        <v>0</v>
      </c>
      <c r="AE37" s="81">
        <f>$F$47*'[1]direct emissions'!AG26</f>
        <v>0</v>
      </c>
      <c r="AF37" s="81">
        <f>$F$47*'[1]direct emissions'!AH26</f>
        <v>0</v>
      </c>
    </row>
    <row r="38" spans="1:33">
      <c r="A38" s="92" t="s">
        <v>161</v>
      </c>
      <c r="B38" s="92"/>
      <c r="C38" s="92"/>
      <c r="D38" s="92"/>
      <c r="E38" s="92"/>
      <c r="F38" s="93">
        <f>F37*0.1/100</f>
        <v>1.0812121212121211E-4</v>
      </c>
      <c r="G38" s="94"/>
      <c r="H38" s="80"/>
      <c r="I38" s="86" t="s">
        <v>45</v>
      </c>
      <c r="J38" s="81"/>
      <c r="K38" s="81"/>
      <c r="L38" s="81"/>
      <c r="M38" s="81"/>
      <c r="N38" s="81"/>
      <c r="O38" s="81"/>
      <c r="P38" s="81"/>
      <c r="Q38" s="81"/>
      <c r="R38" s="81"/>
      <c r="S38" s="81"/>
      <c r="T38" s="81"/>
      <c r="U38" s="81"/>
      <c r="V38" s="81"/>
      <c r="W38" s="81"/>
      <c r="X38" s="81"/>
      <c r="Y38" s="81"/>
      <c r="Z38" s="81"/>
      <c r="AA38" s="81"/>
      <c r="AB38" s="81"/>
      <c r="AC38" s="81"/>
      <c r="AD38" s="81"/>
      <c r="AE38" s="81"/>
      <c r="AF38" s="81"/>
    </row>
    <row r="39" spans="1:33">
      <c r="A39" s="79" t="s">
        <v>55</v>
      </c>
      <c r="B39" s="80"/>
      <c r="C39" s="80"/>
      <c r="D39" s="80"/>
      <c r="E39" s="80"/>
      <c r="F39" s="81"/>
      <c r="G39" s="80"/>
      <c r="H39" s="80" t="s">
        <v>64</v>
      </c>
      <c r="I39" s="86" t="s">
        <v>51</v>
      </c>
      <c r="J39" s="81">
        <f>$F$49*'[1]direct emissions'!D27</f>
        <v>0</v>
      </c>
      <c r="K39" s="81">
        <f>$F$49*'[1]direct emissions'!M27</f>
        <v>0</v>
      </c>
      <c r="L39" s="81">
        <f>$F$49*'[1]direct emissions'!N27</f>
        <v>0</v>
      </c>
      <c r="M39" s="81">
        <f>$F$49*'[1]direct emissions'!O27</f>
        <v>0</v>
      </c>
      <c r="N39" s="81">
        <f>$F$49*'[1]direct emissions'!P27</f>
        <v>0</v>
      </c>
      <c r="O39" s="81">
        <f>$F$49*'[1]direct emissions'!Q27</f>
        <v>4.3773360837281729E-12</v>
      </c>
      <c r="P39" s="81">
        <f>$F$49*'[1]direct emissions'!R27</f>
        <v>0</v>
      </c>
      <c r="Q39" s="81">
        <f>$F$49*'[1]direct emissions'!S27</f>
        <v>1.3590432442746558E-4</v>
      </c>
      <c r="R39" s="81">
        <f>$F$49*'[1]direct emissions'!T27</f>
        <v>0</v>
      </c>
      <c r="S39" s="81">
        <f>$F$49*'[1]direct emissions'!U27</f>
        <v>5.8963322069914676E-11</v>
      </c>
      <c r="T39" s="81">
        <f>$F$49*'[1]direct emissions'!V27</f>
        <v>0</v>
      </c>
      <c r="U39" s="81">
        <f>$F$49*'[1]direct emissions'!W27</f>
        <v>0</v>
      </c>
      <c r="V39" s="81">
        <f>$F$49*'[1]direct emissions'!X27</f>
        <v>0</v>
      </c>
      <c r="W39" s="81">
        <f>$F$49*'[1]direct emissions'!Y27</f>
        <v>0</v>
      </c>
      <c r="X39" s="81">
        <f>$F$49*'[1]direct emissions'!Z27</f>
        <v>0</v>
      </c>
      <c r="Y39" s="81">
        <f>$F$49*'[1]direct emissions'!AA27</f>
        <v>0</v>
      </c>
      <c r="Z39" s="81">
        <f>$F$49*'[1]direct emissions'!AB27</f>
        <v>0</v>
      </c>
      <c r="AA39" s="81">
        <f>$F$49*'[1]direct emissions'!AC27</f>
        <v>7.3664081806713567E-12</v>
      </c>
      <c r="AB39" s="81">
        <f>$F$49*'[1]direct emissions'!AD27</f>
        <v>0</v>
      </c>
      <c r="AC39" s="81">
        <f>$F$49*'[1]direct emissions'!AE27</f>
        <v>0</v>
      </c>
      <c r="AD39" s="81">
        <f>$F$49*'[1]direct emissions'!AF27</f>
        <v>0</v>
      </c>
      <c r="AE39" s="81">
        <f>$F$49*'[1]direct emissions'!AG27</f>
        <v>1.4364314436406497E-8</v>
      </c>
      <c r="AF39" s="81">
        <f>$F$49*'[1]direct emissions'!AH27</f>
        <v>0</v>
      </c>
    </row>
    <row r="40" spans="1:33">
      <c r="A40" s="86" t="s">
        <v>65</v>
      </c>
      <c r="B40" s="80"/>
      <c r="C40" s="80"/>
      <c r="D40" s="80"/>
      <c r="E40" s="80"/>
      <c r="F40" s="81">
        <f>F41/2*(65+35.5*2)</f>
        <v>1.0442707692307688E-5</v>
      </c>
      <c r="G40" s="80" t="s">
        <v>66</v>
      </c>
      <c r="H40" s="80" t="s">
        <v>67</v>
      </c>
      <c r="I40" s="86" t="s">
        <v>165</v>
      </c>
      <c r="J40" s="81"/>
      <c r="K40" s="81"/>
      <c r="L40" s="81"/>
      <c r="M40" s="81"/>
      <c r="N40" s="81"/>
      <c r="O40" s="81"/>
      <c r="P40" s="81"/>
      <c r="Q40" s="81"/>
      <c r="R40" s="81"/>
      <c r="S40" s="81"/>
      <c r="T40" s="81"/>
      <c r="U40" s="81"/>
      <c r="V40" s="81"/>
      <c r="W40" s="81"/>
      <c r="X40" s="81"/>
      <c r="Y40" s="81"/>
      <c r="Z40" s="81"/>
      <c r="AA40" s="81"/>
      <c r="AB40" s="81"/>
      <c r="AC40" s="81"/>
      <c r="AD40" s="81"/>
      <c r="AE40" s="81"/>
      <c r="AF40" s="81"/>
      <c r="AG40" s="12"/>
    </row>
    <row r="41" spans="1:33">
      <c r="A41" s="86" t="s">
        <v>57</v>
      </c>
      <c r="B41" s="80"/>
      <c r="C41" s="80"/>
      <c r="D41" s="80"/>
      <c r="E41" s="80"/>
      <c r="F41" s="81">
        <f>F15*0.7/65*2</f>
        <v>1.5356923076923073E-7</v>
      </c>
      <c r="G41" s="80" t="s">
        <v>66</v>
      </c>
      <c r="H41" s="80" t="s">
        <v>68</v>
      </c>
      <c r="I41" s="86" t="s">
        <v>47</v>
      </c>
      <c r="J41" s="81">
        <f>$F$51*'[1]direct emissions'!D28</f>
        <v>0</v>
      </c>
      <c r="K41" s="81">
        <f>$F$51*'[1]direct emissions'!M28</f>
        <v>0</v>
      </c>
      <c r="L41" s="81">
        <f>$F$51*'[1]direct emissions'!N28</f>
        <v>0</v>
      </c>
      <c r="M41" s="81">
        <f>$F$51*'[1]direct emissions'!O28</f>
        <v>0</v>
      </c>
      <c r="N41" s="81">
        <f>$F$51*'[1]direct emissions'!P28</f>
        <v>0</v>
      </c>
      <c r="O41" s="81">
        <f>$F$51*'[1]direct emissions'!Q28</f>
        <v>0</v>
      </c>
      <c r="P41" s="81">
        <f>$F$51*'[1]direct emissions'!R28</f>
        <v>0</v>
      </c>
      <c r="Q41" s="81">
        <f>$F$51*'[1]direct emissions'!S28</f>
        <v>0</v>
      </c>
      <c r="R41" s="81">
        <f>$F$51*'[1]direct emissions'!T28</f>
        <v>0</v>
      </c>
      <c r="S41" s="81">
        <f>$F$51*'[1]direct emissions'!U28</f>
        <v>0</v>
      </c>
      <c r="T41" s="81">
        <f>$F$51*'[1]direct emissions'!V28</f>
        <v>0</v>
      </c>
      <c r="U41" s="81">
        <f>$F$51*'[1]direct emissions'!W28</f>
        <v>0</v>
      </c>
      <c r="V41" s="81">
        <f>$F$51*'[1]direct emissions'!X28</f>
        <v>0</v>
      </c>
      <c r="W41" s="81">
        <f>$F$51*'[1]direct emissions'!Y28</f>
        <v>0</v>
      </c>
      <c r="X41" s="81">
        <f>$F$51*'[1]direct emissions'!Z28</f>
        <v>0</v>
      </c>
      <c r="Y41" s="81">
        <f>$F$51*'[1]direct emissions'!AA28</f>
        <v>0</v>
      </c>
      <c r="Z41" s="81">
        <f>$F$51*'[1]direct emissions'!AB28</f>
        <v>0</v>
      </c>
      <c r="AA41" s="81">
        <f>$F$51*'[1]direct emissions'!AC28</f>
        <v>0</v>
      </c>
      <c r="AB41" s="81">
        <f>$F$51*'[1]direct emissions'!AD28</f>
        <v>0</v>
      </c>
      <c r="AC41" s="81">
        <f>$F$51*'[1]direct emissions'!AE28</f>
        <v>0</v>
      </c>
      <c r="AD41" s="81">
        <f>$F$51*'[1]direct emissions'!AF28</f>
        <v>0</v>
      </c>
      <c r="AE41" s="81">
        <f>$F$51*'[1]direct emissions'!AG28</f>
        <v>0</v>
      </c>
      <c r="AF41" s="81">
        <f>$F$51*'[1]direct emissions'!AH28</f>
        <v>0</v>
      </c>
    </row>
    <row r="42" spans="1:33">
      <c r="A42" s="95" t="s">
        <v>39</v>
      </c>
      <c r="B42" s="95"/>
      <c r="C42" s="95"/>
      <c r="D42" s="95"/>
      <c r="E42" s="95"/>
      <c r="F42" s="96">
        <f>F17+F22</f>
        <v>5.1539999999999989E-3</v>
      </c>
      <c r="G42" s="95" t="s">
        <v>69</v>
      </c>
      <c r="H42" s="80" t="s">
        <v>67</v>
      </c>
      <c r="I42" s="86" t="s">
        <v>166</v>
      </c>
      <c r="J42" s="81"/>
      <c r="K42" s="81"/>
      <c r="L42" s="81"/>
      <c r="M42" s="81"/>
      <c r="N42" s="81"/>
      <c r="O42" s="81"/>
      <c r="P42" s="81"/>
      <c r="Q42" s="81"/>
      <c r="R42" s="81"/>
      <c r="S42" s="81"/>
      <c r="T42" s="81"/>
      <c r="U42" s="81"/>
      <c r="V42" s="81"/>
      <c r="W42" s="81"/>
      <c r="X42" s="81"/>
      <c r="Y42" s="81"/>
      <c r="Z42" s="81"/>
      <c r="AA42" s="81"/>
      <c r="AB42" s="81"/>
      <c r="AC42" s="81"/>
      <c r="AD42" s="81"/>
      <c r="AE42" s="81"/>
      <c r="AF42" s="81"/>
    </row>
    <row r="43" spans="1:33">
      <c r="A43" s="95" t="s">
        <v>39</v>
      </c>
      <c r="B43" s="95"/>
      <c r="C43" s="95"/>
      <c r="D43" s="95"/>
      <c r="E43" s="95"/>
      <c r="F43" s="96">
        <f>F21/1*0.908</f>
        <v>1.3275252598752597E-3</v>
      </c>
      <c r="G43" s="95" t="s">
        <v>71</v>
      </c>
      <c r="H43" s="80" t="s">
        <v>68</v>
      </c>
      <c r="I43" s="86" t="s">
        <v>74</v>
      </c>
      <c r="J43" s="81">
        <f>$F$53*'[1]direct emissions'!D29</f>
        <v>0</v>
      </c>
      <c r="K43" s="81">
        <f>$F$53*'[1]direct emissions'!M29</f>
        <v>0</v>
      </c>
      <c r="L43" s="81">
        <f>$F$53*'[1]direct emissions'!N29</f>
        <v>0</v>
      </c>
      <c r="M43" s="81">
        <f>$F$53*'[1]direct emissions'!O29</f>
        <v>0</v>
      </c>
      <c r="N43" s="81">
        <f>$F$53*'[1]direct emissions'!P29</f>
        <v>0</v>
      </c>
      <c r="O43" s="81">
        <f>$F$53*'[1]direct emissions'!Q29</f>
        <v>1.0188186879276932E-8</v>
      </c>
      <c r="P43" s="81">
        <f>$F$53*'[1]direct emissions'!R29</f>
        <v>0</v>
      </c>
      <c r="Q43" s="81">
        <f>$F$53*'[1]direct emissions'!S29</f>
        <v>7.1053501936735937E-4</v>
      </c>
      <c r="R43" s="81">
        <f>$F$53*'[1]direct emissions'!T29</f>
        <v>0</v>
      </c>
      <c r="S43" s="81">
        <f>$F$53*'[1]direct emissions'!U29</f>
        <v>7.8663305329850342E-8</v>
      </c>
      <c r="T43" s="81">
        <f>$F$53*'[1]direct emissions'!V29</f>
        <v>0</v>
      </c>
      <c r="U43" s="81">
        <f>$F$53*'[1]direct emissions'!W29</f>
        <v>0</v>
      </c>
      <c r="V43" s="81">
        <f>$F$53*'[1]direct emissions'!X29</f>
        <v>0</v>
      </c>
      <c r="W43" s="81">
        <f>$F$53*'[1]direct emissions'!Y29</f>
        <v>0</v>
      </c>
      <c r="X43" s="81">
        <f>$F$53*'[1]direct emissions'!Z29</f>
        <v>0</v>
      </c>
      <c r="Y43" s="81">
        <f>$F$53*'[1]direct emissions'!AA29</f>
        <v>9.3290371621621623E-4</v>
      </c>
      <c r="Z43" s="81">
        <f>$F$53*'[1]direct emissions'!AB29</f>
        <v>0</v>
      </c>
      <c r="AA43" s="81">
        <f>$F$53*'[1]direct emissions'!AC29</f>
        <v>1.1710919806537932E-8</v>
      </c>
      <c r="AB43" s="81">
        <f>$F$53*'[1]direct emissions'!AD29</f>
        <v>0</v>
      </c>
      <c r="AC43" s="81">
        <f>$F$53*'[1]direct emissions'!AE29</f>
        <v>0</v>
      </c>
      <c r="AD43" s="81">
        <f>$F$53*'[1]direct emissions'!AF29</f>
        <v>2.5980148482961495E-9</v>
      </c>
      <c r="AE43" s="81">
        <f>$F$53*'[1]direct emissions'!AG29</f>
        <v>5.2073927657585691E-6</v>
      </c>
      <c r="AF43" s="81">
        <f>$F$53*'[1]direct emissions'!AH29</f>
        <v>0</v>
      </c>
    </row>
    <row r="44" spans="1:33">
      <c r="A44" s="86" t="s">
        <v>59</v>
      </c>
      <c r="B44" s="80"/>
      <c r="C44" s="80"/>
      <c r="D44" s="80"/>
      <c r="E44" s="80"/>
      <c r="F44" s="81">
        <f>F21/1*0.0481*0.2</f>
        <v>1.4064749999999998E-5</v>
      </c>
      <c r="G44" s="80" t="s">
        <v>73</v>
      </c>
      <c r="H44" s="80" t="s">
        <v>68</v>
      </c>
      <c r="I44" s="86" t="s">
        <v>70</v>
      </c>
      <c r="J44" s="81"/>
      <c r="K44" s="81"/>
      <c r="L44" s="81"/>
      <c r="M44" s="81"/>
      <c r="N44" s="81"/>
      <c r="O44" s="81"/>
      <c r="P44" s="81"/>
      <c r="Q44" s="81"/>
      <c r="R44" s="81"/>
      <c r="S44" s="81"/>
      <c r="T44" s="81"/>
      <c r="U44" s="81"/>
      <c r="V44" s="81"/>
      <c r="W44" s="81"/>
      <c r="X44" s="81"/>
      <c r="Y44" s="81"/>
      <c r="Z44" s="81"/>
      <c r="AA44" s="81"/>
      <c r="AB44" s="81"/>
      <c r="AC44" s="81"/>
      <c r="AD44" s="81"/>
      <c r="AE44" s="81"/>
      <c r="AF44" s="81"/>
    </row>
    <row r="45" spans="1:33">
      <c r="A45" s="86" t="s">
        <v>50</v>
      </c>
      <c r="B45" s="80"/>
      <c r="C45" s="80"/>
      <c r="D45" s="80"/>
      <c r="E45" s="80"/>
      <c r="F45" s="81">
        <f>F21/1*0.0608+F31</f>
        <v>2.3536231082062785E-2</v>
      </c>
      <c r="G45" s="80" t="s">
        <v>75</v>
      </c>
      <c r="H45" s="80" t="s">
        <v>68</v>
      </c>
      <c r="I45" s="86" t="s">
        <v>72</v>
      </c>
      <c r="J45" s="81"/>
      <c r="K45" s="81"/>
      <c r="L45" s="81"/>
      <c r="M45" s="81"/>
      <c r="N45" s="81"/>
      <c r="O45" s="81"/>
      <c r="P45" s="81"/>
      <c r="Q45" s="81"/>
      <c r="R45" s="81"/>
      <c r="S45" s="81"/>
      <c r="T45" s="81"/>
      <c r="U45" s="81"/>
      <c r="V45" s="81"/>
      <c r="W45" s="81"/>
      <c r="X45" s="81"/>
      <c r="Y45" s="81"/>
      <c r="Z45" s="81"/>
      <c r="AA45" s="81"/>
      <c r="AB45" s="81"/>
      <c r="AC45" s="81"/>
      <c r="AD45" s="81"/>
      <c r="AE45" s="81"/>
      <c r="AF45" s="81"/>
    </row>
    <row r="46" spans="1:33">
      <c r="A46" s="86" t="s">
        <v>61</v>
      </c>
      <c r="B46" s="80"/>
      <c r="C46" s="80"/>
      <c r="D46" s="80"/>
      <c r="E46" s="80"/>
      <c r="F46" s="81">
        <f>F21/1*0.0294</f>
        <v>4.298374740124739E-5</v>
      </c>
      <c r="G46" s="80" t="s">
        <v>71</v>
      </c>
      <c r="H46" s="80" t="s">
        <v>68</v>
      </c>
      <c r="I46" s="86" t="s">
        <v>74</v>
      </c>
      <c r="J46" s="81">
        <f>$F$56*'[1]direct emissions'!D29</f>
        <v>0</v>
      </c>
      <c r="K46" s="81">
        <f>$F$56*'[1]direct emissions'!M29</f>
        <v>0</v>
      </c>
      <c r="L46" s="81">
        <f>$F$56*'[1]direct emissions'!N29</f>
        <v>0</v>
      </c>
      <c r="M46" s="81">
        <f>$F$56*'[1]direct emissions'!O29</f>
        <v>0</v>
      </c>
      <c r="N46" s="81">
        <f>$F$56*'[1]direct emissions'!P29</f>
        <v>0</v>
      </c>
      <c r="O46" s="81">
        <f>$F$56*'[1]direct emissions'!Q29</f>
        <v>1.52822803189154E-8</v>
      </c>
      <c r="P46" s="81">
        <f>$F$56*'[1]direct emissions'!R29</f>
        <v>0</v>
      </c>
      <c r="Q46" s="81">
        <f>$F$56*'[1]direct emissions'!S29</f>
        <v>1.0658025290510391E-3</v>
      </c>
      <c r="R46" s="81">
        <f>$F$56*'[1]direct emissions'!T29</f>
        <v>0</v>
      </c>
      <c r="S46" s="81">
        <f>$F$56*'[1]direct emissions'!U29</f>
        <v>1.1799495799477553E-7</v>
      </c>
      <c r="T46" s="81">
        <f>$F$56*'[1]direct emissions'!V29</f>
        <v>0</v>
      </c>
      <c r="U46" s="81">
        <f>$F$56*'[1]direct emissions'!W29</f>
        <v>0</v>
      </c>
      <c r="V46" s="81">
        <f>$F$56*'[1]direct emissions'!X29</f>
        <v>0</v>
      </c>
      <c r="W46" s="81">
        <f>$F$56*'[1]direct emissions'!Y29</f>
        <v>0</v>
      </c>
      <c r="X46" s="81">
        <f>$F$56*'[1]direct emissions'!Z29</f>
        <v>0</v>
      </c>
      <c r="Y46" s="81">
        <f>$F$56*'[1]direct emissions'!AA29</f>
        <v>1.3993555743243243E-3</v>
      </c>
      <c r="Z46" s="81">
        <f>$F$56*'[1]direct emissions'!AB29</f>
        <v>0</v>
      </c>
      <c r="AA46" s="81">
        <f>$F$56*'[1]direct emissions'!AC29</f>
        <v>1.7566379709806901E-8</v>
      </c>
      <c r="AB46" s="81">
        <f>$F$56*'[1]direct emissions'!AD29</f>
        <v>0</v>
      </c>
      <c r="AC46" s="81">
        <f>$F$56*'[1]direct emissions'!AE29</f>
        <v>0</v>
      </c>
      <c r="AD46" s="81">
        <f>$F$56*'[1]direct emissions'!AF29</f>
        <v>3.8970222724442247E-9</v>
      </c>
      <c r="AE46" s="81">
        <f>$F$56*'[1]direct emissions'!AG29</f>
        <v>7.8110891486378553E-6</v>
      </c>
      <c r="AF46" s="81">
        <f>$F$56*'[1]direct emissions'!AH29</f>
        <v>0</v>
      </c>
    </row>
    <row r="47" spans="1:33">
      <c r="A47" s="86" t="s">
        <v>63</v>
      </c>
      <c r="B47" s="80"/>
      <c r="C47" s="80"/>
      <c r="D47" s="80"/>
      <c r="E47" s="80"/>
      <c r="F47" s="81">
        <f>F21/1*0.0518</f>
        <v>7.5733269230769218E-5</v>
      </c>
      <c r="G47" s="80" t="s">
        <v>71</v>
      </c>
      <c r="H47" s="80" t="s">
        <v>68</v>
      </c>
      <c r="I47" s="86" t="s">
        <v>76</v>
      </c>
      <c r="J47" s="81">
        <f>$F$57*'[1]direct emissions'!D30</f>
        <v>0</v>
      </c>
      <c r="K47" s="81">
        <f>$F$57*'[1]direct emissions'!M30</f>
        <v>0</v>
      </c>
      <c r="L47" s="81">
        <f>$F$57*'[1]direct emissions'!N30</f>
        <v>0</v>
      </c>
      <c r="M47" s="81">
        <f>$F$57*'[1]direct emissions'!O30</f>
        <v>0</v>
      </c>
      <c r="N47" s="81">
        <f>$F$57*'[1]direct emissions'!P30</f>
        <v>0</v>
      </c>
      <c r="O47" s="81">
        <f>$F$57*'[1]direct emissions'!Q30</f>
        <v>1.33645962958021E-7</v>
      </c>
      <c r="P47" s="81">
        <f>$F$57*'[1]direct emissions'!R30</f>
        <v>0</v>
      </c>
      <c r="Q47" s="81">
        <f>$F$57*'[1]direct emissions'!S30</f>
        <v>3.7005785674960938E-4</v>
      </c>
      <c r="R47" s="81">
        <f>$F$57*'[1]direct emissions'!T30</f>
        <v>0</v>
      </c>
      <c r="S47" s="81">
        <f>$F$57*'[1]direct emissions'!U30</f>
        <v>1.3677975021045674E-6</v>
      </c>
      <c r="T47" s="81">
        <f>$F$57*'[1]direct emissions'!V30</f>
        <v>0</v>
      </c>
      <c r="U47" s="81">
        <f>$F$57*'[1]direct emissions'!W30</f>
        <v>0</v>
      </c>
      <c r="V47" s="81">
        <f>$F$57*'[1]direct emissions'!X30</f>
        <v>0</v>
      </c>
      <c r="W47" s="81">
        <f>$F$57*'[1]direct emissions'!Y30</f>
        <v>0</v>
      </c>
      <c r="X47" s="81">
        <f>$F$57*'[1]direct emissions'!Z30</f>
        <v>0</v>
      </c>
      <c r="Y47" s="81">
        <f>$F$57*'[1]direct emissions'!AA30</f>
        <v>0</v>
      </c>
      <c r="Z47" s="81">
        <f>$F$57*'[1]direct emissions'!AB30</f>
        <v>0</v>
      </c>
      <c r="AA47" s="81">
        <f>$F$57*'[1]direct emissions'!AC30</f>
        <v>2.9113972776042379E-7</v>
      </c>
      <c r="AB47" s="81">
        <f>$F$57*'[1]direct emissions'!AD30</f>
        <v>0</v>
      </c>
      <c r="AC47" s="81">
        <f>$F$57*'[1]direct emissions'!AE30</f>
        <v>0</v>
      </c>
      <c r="AD47" s="81">
        <f>$F$57*'[1]direct emissions'!AF30</f>
        <v>6.4287663670278593E-8</v>
      </c>
      <c r="AE47" s="81">
        <f>$F$57*'[1]direct emissions'!AG30</f>
        <v>2.5272243875580001E-6</v>
      </c>
      <c r="AF47" s="81">
        <f>$F$57*'[1]direct emissions'!AH30</f>
        <v>0</v>
      </c>
    </row>
    <row r="48" spans="1:33">
      <c r="A48" s="86" t="s">
        <v>45</v>
      </c>
      <c r="B48" s="80"/>
      <c r="C48" s="80"/>
      <c r="D48" s="80"/>
      <c r="E48" s="80"/>
      <c r="F48" s="81">
        <f>F25*0.7</f>
        <v>6.0815999999999975E-5</v>
      </c>
      <c r="G48" s="80" t="s">
        <v>78</v>
      </c>
      <c r="H48" s="80" t="s">
        <v>68</v>
      </c>
      <c r="I48" s="86" t="s">
        <v>77</v>
      </c>
      <c r="J48" s="81">
        <f>$F$58*'[1]direct emissions'!D31</f>
        <v>0</v>
      </c>
      <c r="K48" s="81">
        <f>$F$58*'[1]direct emissions'!M31</f>
        <v>0</v>
      </c>
      <c r="L48" s="81">
        <f>$F$58*'[1]direct emissions'!N31</f>
        <v>0</v>
      </c>
      <c r="M48" s="81">
        <f>$F$58*'[1]direct emissions'!O31</f>
        <v>0</v>
      </c>
      <c r="N48" s="81">
        <f>$F$58*'[1]direct emissions'!P31</f>
        <v>0</v>
      </c>
      <c r="O48" s="81">
        <f>$F$58*'[1]direct emissions'!Q31</f>
        <v>5.0114369552631201E-6</v>
      </c>
      <c r="P48" s="81">
        <f>$F$58*'[1]direct emissions'!R31</f>
        <v>0</v>
      </c>
      <c r="Q48" s="81">
        <f>$F$58*'[1]direct emissions'!S31</f>
        <v>0</v>
      </c>
      <c r="R48" s="81">
        <f>$F$58*'[1]direct emissions'!T31</f>
        <v>0</v>
      </c>
      <c r="S48" s="81">
        <f>$F$58*'[1]direct emissions'!U31</f>
        <v>5.7080510643920495E-5</v>
      </c>
      <c r="T48" s="81">
        <f>$F$58*'[1]direct emissions'!V31</f>
        <v>0</v>
      </c>
      <c r="U48" s="81">
        <f>$F$58*'[1]direct emissions'!W31</f>
        <v>0</v>
      </c>
      <c r="V48" s="81">
        <f>$F$58*'[1]direct emissions'!X31</f>
        <v>0</v>
      </c>
      <c r="W48" s="81">
        <f>$F$58*'[1]direct emissions'!Y31</f>
        <v>0</v>
      </c>
      <c r="X48" s="81">
        <f>$F$58*'[1]direct emissions'!Z31</f>
        <v>0</v>
      </c>
      <c r="Y48" s="81">
        <f>$F$58*'[1]direct emissions'!AA31</f>
        <v>0</v>
      </c>
      <c r="Z48" s="81">
        <f>$F$58*'[1]direct emissions'!AB31</f>
        <v>0</v>
      </c>
      <c r="AA48" s="81">
        <f>$F$58*'[1]direct emissions'!AC31</f>
        <v>2.9681988412281205E-6</v>
      </c>
      <c r="AB48" s="81">
        <f>$F$58*'[1]direct emissions'!AD31</f>
        <v>0</v>
      </c>
      <c r="AC48" s="81">
        <f>$F$58*'[1]direct emissions'!AE31</f>
        <v>0</v>
      </c>
      <c r="AD48" s="81">
        <f>$F$58*'[1]direct emissions'!AF31</f>
        <v>0</v>
      </c>
      <c r="AE48" s="81">
        <f>$F$58*'[1]direct emissions'!AG31</f>
        <v>0</v>
      </c>
      <c r="AF48" s="81">
        <f>$F$58*'[1]direct emissions'!AH31</f>
        <v>0</v>
      </c>
    </row>
    <row r="49" spans="1:32">
      <c r="A49" s="86" t="s">
        <v>51</v>
      </c>
      <c r="B49" s="80"/>
      <c r="C49" s="80"/>
      <c r="D49" s="80"/>
      <c r="E49" s="80"/>
      <c r="F49" s="81">
        <f>F26</f>
        <v>5.7899999999999978E-5</v>
      </c>
      <c r="G49" s="80" t="s">
        <v>79</v>
      </c>
      <c r="H49" s="80" t="s">
        <v>68</v>
      </c>
      <c r="I49" s="92" t="s">
        <v>155</v>
      </c>
      <c r="J49" s="93">
        <f>$F$59*'[3]direct emissions'!D39</f>
        <v>0</v>
      </c>
      <c r="K49" s="93">
        <f>$F$59*'[3]direct emissions'!M39</f>
        <v>0</v>
      </c>
      <c r="L49" s="93">
        <f>$F$59*'[3]direct emissions'!N39</f>
        <v>0</v>
      </c>
      <c r="M49" s="93">
        <f>$F$59*'[3]direct emissions'!O39</f>
        <v>0</v>
      </c>
      <c r="N49" s="93">
        <f>$F$59*'[3]direct emissions'!P39</f>
        <v>0</v>
      </c>
      <c r="O49" s="93">
        <f>$F$59*'[3]direct emissions'!Q39</f>
        <v>2.876098964637696E-2</v>
      </c>
      <c r="P49" s="93">
        <f>$F$59*'[3]direct emissions'!R39</f>
        <v>0</v>
      </c>
      <c r="Q49" s="93">
        <f>$F$59*'[3]direct emissions'!S39</f>
        <v>3.7339035644610559E-2</v>
      </c>
      <c r="R49" s="93">
        <f>$F$59*'[3]direct emissions'!T39</f>
        <v>0</v>
      </c>
      <c r="S49" s="93">
        <f>$F$59*'[3]direct emissions'!U39</f>
        <v>65.577504241070073</v>
      </c>
      <c r="T49" s="93">
        <f>$F$59*'[3]direct emissions'!V39</f>
        <v>0</v>
      </c>
      <c r="U49" s="93">
        <f>$F$59*'[3]direct emissions'!W39</f>
        <v>0</v>
      </c>
      <c r="V49" s="93">
        <f>$F$59*'[3]direct emissions'!X39</f>
        <v>0</v>
      </c>
      <c r="W49" s="93">
        <f>$F$59*'[3]direct emissions'!Y39</f>
        <v>0</v>
      </c>
      <c r="X49" s="93">
        <f>$F$59*'[3]direct emissions'!Z39</f>
        <v>0</v>
      </c>
      <c r="Y49" s="93">
        <f>$F$59*'[3]direct emissions'!AA39</f>
        <v>0</v>
      </c>
      <c r="Z49" s="93">
        <f>$F$59*'[3]direct emissions'!AB39</f>
        <v>0</v>
      </c>
      <c r="AA49" s="93">
        <f>$F$59*'[3]direct emissions'!AC39</f>
        <v>0.30113898563266556</v>
      </c>
      <c r="AB49" s="93">
        <f>$F$59*'[3]direct emissions'!AD39</f>
        <v>0</v>
      </c>
      <c r="AC49" s="93">
        <f>$F$59*'[3]direct emissions'!AE39</f>
        <v>0</v>
      </c>
      <c r="AD49" s="93">
        <f>$F$59*'[3]direct emissions'!AF39</f>
        <v>8.2794112915763191E-2</v>
      </c>
      <c r="AE49" s="93">
        <f>$F$59*'[3]direct emissions'!AG39</f>
        <v>2.549982922074112E-4</v>
      </c>
      <c r="AF49" s="93">
        <f>$F$59*'[3]direct emissions'!AH39</f>
        <v>0</v>
      </c>
    </row>
    <row r="50" spans="1:32">
      <c r="A50" s="86" t="s">
        <v>46</v>
      </c>
      <c r="B50" s="80"/>
      <c r="C50" s="80"/>
      <c r="D50" s="80"/>
      <c r="E50" s="80"/>
      <c r="F50" s="81">
        <f>F28*0.7</f>
        <v>6.0712960000000008E-4</v>
      </c>
      <c r="G50" s="80" t="s">
        <v>80</v>
      </c>
      <c r="H50" s="80" t="s">
        <v>68</v>
      </c>
      <c r="I50" s="92" t="s">
        <v>160</v>
      </c>
      <c r="J50" s="93"/>
      <c r="K50" s="93"/>
      <c r="L50" s="93"/>
      <c r="M50" s="93"/>
      <c r="N50" s="93"/>
      <c r="O50" s="93"/>
      <c r="P50" s="93"/>
      <c r="Q50" s="93"/>
      <c r="R50" s="93"/>
      <c r="S50" s="93"/>
      <c r="T50" s="93"/>
      <c r="U50" s="93"/>
      <c r="V50" s="93"/>
      <c r="W50" s="93"/>
      <c r="X50" s="93"/>
      <c r="Y50" s="93"/>
      <c r="Z50" s="93"/>
      <c r="AA50" s="93"/>
      <c r="AB50" s="93"/>
      <c r="AC50" s="93"/>
      <c r="AD50" s="93"/>
      <c r="AE50" s="93"/>
      <c r="AF50" s="93"/>
    </row>
    <row r="51" spans="1:32">
      <c r="A51" s="86" t="s">
        <v>47</v>
      </c>
      <c r="B51" s="80"/>
      <c r="C51" s="80"/>
      <c r="D51" s="80"/>
      <c r="E51" s="80"/>
      <c r="F51" s="81">
        <f>F29</f>
        <v>1.779907895652174E-3</v>
      </c>
      <c r="G51" s="80" t="s">
        <v>56</v>
      </c>
      <c r="H51" s="80" t="s">
        <v>68</v>
      </c>
      <c r="I51" s="92" t="s">
        <v>161</v>
      </c>
      <c r="J51" s="93"/>
      <c r="K51" s="93"/>
      <c r="L51" s="93"/>
      <c r="M51" s="93"/>
      <c r="N51" s="93"/>
      <c r="O51" s="93"/>
      <c r="P51" s="93"/>
      <c r="Q51" s="93"/>
      <c r="R51" s="93"/>
      <c r="S51" s="93"/>
      <c r="T51" s="93"/>
      <c r="U51" s="93"/>
      <c r="V51" s="93"/>
      <c r="W51" s="93"/>
      <c r="X51" s="93"/>
      <c r="Y51" s="93"/>
      <c r="Z51" s="93"/>
      <c r="AA51" s="93"/>
      <c r="AB51" s="93"/>
      <c r="AC51" s="93"/>
      <c r="AD51" s="93"/>
      <c r="AE51" s="93"/>
      <c r="AF51" s="93"/>
    </row>
    <row r="52" spans="1:32">
      <c r="A52" s="86" t="s">
        <v>49</v>
      </c>
      <c r="B52" s="80"/>
      <c r="C52" s="80"/>
      <c r="D52" s="80"/>
      <c r="E52" s="80"/>
      <c r="F52" s="81">
        <f>F30*0.7</f>
        <v>2.0944E-4</v>
      </c>
      <c r="G52" s="80" t="s">
        <v>149</v>
      </c>
      <c r="H52" s="80" t="s">
        <v>68</v>
      </c>
      <c r="I52" s="86"/>
      <c r="J52" s="81"/>
      <c r="K52" s="81"/>
      <c r="L52" s="81"/>
      <c r="M52" s="81"/>
      <c r="N52" s="81"/>
      <c r="O52" s="81"/>
      <c r="P52" s="81"/>
      <c r="Q52" s="81"/>
      <c r="R52" s="81"/>
      <c r="S52" s="81"/>
      <c r="T52" s="81"/>
      <c r="U52" s="81"/>
      <c r="V52" s="81"/>
      <c r="W52" s="81"/>
      <c r="X52" s="81"/>
      <c r="Y52" s="81"/>
      <c r="Z52" s="81"/>
      <c r="AA52" s="81"/>
      <c r="AB52" s="81"/>
      <c r="AC52" s="81"/>
      <c r="AD52" s="81"/>
      <c r="AE52" s="81"/>
      <c r="AF52" s="81"/>
    </row>
    <row r="53" spans="1:32">
      <c r="A53" s="86" t="s">
        <v>74</v>
      </c>
      <c r="B53" s="80"/>
      <c r="C53" s="80"/>
      <c r="D53" s="80"/>
      <c r="E53" s="80"/>
      <c r="F53" s="81">
        <f>F32</f>
        <v>8.6699999999999993E-4</v>
      </c>
      <c r="G53" s="80"/>
      <c r="H53" s="80" t="s">
        <v>68</v>
      </c>
      <c r="I53" s="86"/>
      <c r="J53" s="81"/>
      <c r="K53" s="81"/>
      <c r="L53" s="81"/>
      <c r="M53" s="81"/>
      <c r="N53" s="81"/>
      <c r="O53" s="81"/>
      <c r="P53" s="81"/>
      <c r="Q53" s="81"/>
      <c r="R53" s="81"/>
      <c r="S53" s="81"/>
      <c r="T53" s="81"/>
      <c r="U53" s="81"/>
      <c r="V53" s="81"/>
      <c r="W53" s="81"/>
      <c r="X53" s="81"/>
      <c r="Y53" s="81"/>
      <c r="Z53" s="81"/>
      <c r="AA53" s="81"/>
      <c r="AB53" s="81"/>
      <c r="AC53" s="81"/>
      <c r="AD53" s="81"/>
      <c r="AE53" s="81"/>
      <c r="AF53" s="81"/>
    </row>
    <row r="54" spans="1:32">
      <c r="A54" s="86" t="s">
        <v>70</v>
      </c>
      <c r="B54" s="80"/>
      <c r="C54" s="80"/>
      <c r="D54" s="80"/>
      <c r="E54" s="80"/>
      <c r="F54" s="81">
        <f>F34/[7]mix!$E$11*[7]mix!$E$5*0.7</f>
        <v>1.0499999999999999E-5</v>
      </c>
      <c r="G54" s="80" t="s">
        <v>81</v>
      </c>
      <c r="H54" s="80" t="s">
        <v>68</v>
      </c>
      <c r="I54" s="97">
        <f>F53+F56</f>
        <v>2.1675000000000002E-3</v>
      </c>
      <c r="J54" s="81"/>
      <c r="K54" s="81"/>
      <c r="L54" s="81"/>
      <c r="M54" s="81"/>
      <c r="N54" s="81"/>
      <c r="O54" s="81"/>
      <c r="P54" s="81"/>
      <c r="Q54" s="81"/>
      <c r="R54" s="81"/>
      <c r="S54" s="81"/>
      <c r="T54" s="81"/>
      <c r="U54" s="81"/>
      <c r="V54" s="81"/>
      <c r="W54" s="81"/>
      <c r="X54" s="81"/>
      <c r="Y54" s="81"/>
      <c r="Z54" s="81"/>
      <c r="AA54" s="81"/>
      <c r="AB54" s="81"/>
      <c r="AC54" s="81"/>
      <c r="AD54" s="81"/>
      <c r="AE54" s="81"/>
      <c r="AF54" s="81"/>
    </row>
    <row r="55" spans="1:32">
      <c r="A55" s="86" t="s">
        <v>72</v>
      </c>
      <c r="B55" s="80"/>
      <c r="C55" s="80"/>
      <c r="D55" s="80"/>
      <c r="E55" s="80"/>
      <c r="F55" s="81">
        <f>F34/[7]mix!$E$11*[7]mix!$E$7*0.7</f>
        <v>1.1900000000000001E-4</v>
      </c>
      <c r="G55" s="80" t="s">
        <v>81</v>
      </c>
      <c r="H55" s="80" t="s">
        <v>68</v>
      </c>
      <c r="I55" s="86"/>
      <c r="J55" s="81"/>
      <c r="K55" s="81"/>
      <c r="L55" s="81"/>
      <c r="M55" s="81"/>
      <c r="N55" s="81"/>
      <c r="O55" s="81"/>
      <c r="P55" s="81"/>
      <c r="Q55" s="81"/>
      <c r="R55" s="81"/>
      <c r="S55" s="81"/>
      <c r="T55" s="81"/>
      <c r="U55" s="81"/>
      <c r="V55" s="81"/>
      <c r="W55" s="81"/>
      <c r="X55" s="81"/>
      <c r="Y55" s="81"/>
      <c r="Z55" s="81"/>
      <c r="AA55" s="81"/>
      <c r="AB55" s="81"/>
      <c r="AC55" s="81"/>
      <c r="AD55" s="81"/>
      <c r="AE55" s="81"/>
      <c r="AF55" s="81"/>
    </row>
    <row r="56" spans="1:32">
      <c r="A56" s="86" t="s">
        <v>74</v>
      </c>
      <c r="B56" s="80"/>
      <c r="C56" s="80"/>
      <c r="D56" s="80"/>
      <c r="E56" s="80"/>
      <c r="F56" s="81">
        <f>F34/[7]mix!$E$11*[7]mix!$E$6</f>
        <v>1.3005E-3</v>
      </c>
      <c r="G56" s="80" t="s">
        <v>82</v>
      </c>
      <c r="H56" s="80" t="s">
        <v>68</v>
      </c>
      <c r="I56" s="86"/>
      <c r="J56" s="81"/>
      <c r="K56" s="81"/>
      <c r="L56" s="81"/>
      <c r="M56" s="81"/>
      <c r="N56" s="81"/>
      <c r="O56" s="81"/>
      <c r="P56" s="81"/>
      <c r="Q56" s="81"/>
      <c r="R56" s="81"/>
      <c r="S56" s="81"/>
      <c r="T56" s="81"/>
      <c r="U56" s="81"/>
      <c r="V56" s="81"/>
      <c r="W56" s="81"/>
      <c r="X56" s="81"/>
      <c r="Y56" s="81"/>
      <c r="Z56" s="81"/>
      <c r="AA56" s="81"/>
      <c r="AB56" s="81"/>
      <c r="AC56" s="81"/>
      <c r="AD56" s="81"/>
      <c r="AE56" s="81"/>
      <c r="AF56" s="81"/>
    </row>
    <row r="57" spans="1:32">
      <c r="A57" s="86" t="s">
        <v>76</v>
      </c>
      <c r="B57" s="80"/>
      <c r="C57" s="80"/>
      <c r="D57" s="80"/>
      <c r="E57" s="80"/>
      <c r="F57" s="81">
        <f>F34/[7]mix!$E$11*[7]mix!$E$8</f>
        <v>7.8600000000000002E-4</v>
      </c>
      <c r="G57" s="80" t="s">
        <v>82</v>
      </c>
      <c r="H57" s="80" t="s">
        <v>68</v>
      </c>
      <c r="I57" s="86"/>
      <c r="J57" s="81"/>
      <c r="K57" s="81"/>
      <c r="L57" s="81"/>
      <c r="M57" s="81"/>
      <c r="N57" s="81"/>
      <c r="O57" s="81"/>
      <c r="P57" s="81"/>
      <c r="Q57" s="81"/>
      <c r="R57" s="81"/>
      <c r="S57" s="81"/>
      <c r="T57" s="81"/>
      <c r="U57" s="81"/>
      <c r="V57" s="81"/>
      <c r="W57" s="81"/>
      <c r="X57" s="81"/>
      <c r="Y57" s="81"/>
      <c r="Z57" s="81"/>
      <c r="AA57" s="81"/>
      <c r="AB57" s="81"/>
      <c r="AC57" s="81"/>
      <c r="AD57" s="81"/>
      <c r="AE57" s="81"/>
      <c r="AF57" s="81"/>
    </row>
    <row r="58" spans="1:32">
      <c r="A58" s="86" t="s">
        <v>77</v>
      </c>
      <c r="B58" s="80"/>
      <c r="C58" s="80"/>
      <c r="D58" s="80"/>
      <c r="E58" s="80"/>
      <c r="F58" s="81">
        <f>F34/[7]mix!$E$11*[7]mix!$E$9</f>
        <v>6.9225000000000007E-3</v>
      </c>
      <c r="G58" s="80" t="s">
        <v>82</v>
      </c>
      <c r="H58" s="80" t="s">
        <v>68</v>
      </c>
      <c r="I58" s="80"/>
      <c r="J58" s="81"/>
      <c r="K58" s="81"/>
      <c r="L58" s="80"/>
      <c r="M58" s="80"/>
      <c r="N58" s="80"/>
      <c r="O58" s="80"/>
      <c r="P58" s="80"/>
      <c r="Q58" s="80"/>
      <c r="R58" s="80"/>
      <c r="S58" s="80"/>
      <c r="T58" s="80"/>
      <c r="U58" s="80"/>
      <c r="V58" s="80"/>
      <c r="W58" s="80"/>
      <c r="X58" s="80"/>
      <c r="Y58" s="80"/>
      <c r="Z58" s="80"/>
      <c r="AA58" s="80"/>
      <c r="AB58" s="80"/>
      <c r="AC58" s="80"/>
      <c r="AD58" s="80"/>
      <c r="AE58" s="80"/>
      <c r="AF58" s="80"/>
    </row>
    <row r="59" spans="1:32">
      <c r="A59" s="92" t="s">
        <v>155</v>
      </c>
      <c r="B59" s="92"/>
      <c r="C59" s="92"/>
      <c r="D59" s="92"/>
      <c r="E59" s="92"/>
      <c r="F59" s="93">
        <f>G36*(1-E36)</f>
        <v>7.1679999999999997E-4</v>
      </c>
      <c r="G59" s="92" t="s">
        <v>158</v>
      </c>
      <c r="H59" s="80" t="s">
        <v>68</v>
      </c>
      <c r="I59" s="80"/>
      <c r="J59" s="81"/>
      <c r="K59" s="81"/>
      <c r="L59" s="80"/>
      <c r="M59" s="80"/>
      <c r="N59" s="80"/>
      <c r="O59" s="80"/>
      <c r="P59" s="80"/>
      <c r="Q59" s="80"/>
      <c r="R59" s="80"/>
      <c r="S59" s="80"/>
      <c r="T59" s="80"/>
      <c r="U59" s="80"/>
      <c r="V59" s="80"/>
      <c r="W59" s="80"/>
      <c r="X59" s="80"/>
      <c r="Y59" s="80"/>
      <c r="Z59" s="80"/>
      <c r="AA59" s="80"/>
      <c r="AB59" s="80"/>
      <c r="AC59" s="80"/>
      <c r="AD59" s="80"/>
      <c r="AE59" s="80"/>
      <c r="AF59" s="80"/>
    </row>
    <row r="60" spans="1:32">
      <c r="A60" s="92" t="str">
        <f>A37</f>
        <v>Ar</v>
      </c>
      <c r="B60" s="92"/>
      <c r="C60" s="92"/>
      <c r="D60" s="92"/>
      <c r="E60" s="92"/>
      <c r="F60" s="93">
        <f t="shared" ref="F60" si="1">F37</f>
        <v>0.1081212121212121</v>
      </c>
      <c r="G60" s="92"/>
      <c r="H60" s="80" t="s">
        <v>68</v>
      </c>
      <c r="I60" s="80"/>
      <c r="J60" s="81"/>
      <c r="K60" s="81"/>
      <c r="L60" s="80"/>
      <c r="M60" s="80"/>
      <c r="N60" s="80"/>
      <c r="O60" s="80"/>
      <c r="P60" s="80"/>
      <c r="Q60" s="80"/>
      <c r="R60" s="80"/>
      <c r="S60" s="80"/>
      <c r="T60" s="80"/>
      <c r="U60" s="80"/>
      <c r="V60" s="80"/>
      <c r="W60" s="80"/>
      <c r="X60" s="80"/>
      <c r="Y60" s="80"/>
      <c r="Z60" s="80"/>
      <c r="AA60" s="80"/>
      <c r="AB60" s="80"/>
      <c r="AC60" s="80"/>
      <c r="AD60" s="80"/>
      <c r="AE60" s="80"/>
      <c r="AF60" s="80"/>
    </row>
    <row r="61" spans="1:32">
      <c r="A61" s="92" t="str">
        <f>A38</f>
        <v>O₂</v>
      </c>
      <c r="B61" s="92"/>
      <c r="C61" s="92"/>
      <c r="D61" s="92"/>
      <c r="E61" s="92"/>
      <c r="F61" s="93">
        <f t="shared" ref="F61" si="2">F38</f>
        <v>1.0812121212121211E-4</v>
      </c>
      <c r="G61" s="92"/>
      <c r="H61" s="80" t="s">
        <v>68</v>
      </c>
      <c r="I61" s="80"/>
      <c r="J61" s="81"/>
      <c r="K61" s="81"/>
      <c r="L61" s="80"/>
      <c r="M61" s="80"/>
      <c r="N61" s="80"/>
      <c r="O61" s="80"/>
      <c r="P61" s="80"/>
      <c r="Q61" s="80"/>
      <c r="R61" s="80"/>
      <c r="S61" s="80"/>
      <c r="T61" s="80"/>
      <c r="U61" s="80"/>
      <c r="V61" s="80"/>
      <c r="W61" s="80"/>
      <c r="X61" s="80"/>
      <c r="Y61" s="80"/>
      <c r="Z61" s="80"/>
      <c r="AA61" s="80"/>
      <c r="AB61" s="80"/>
      <c r="AC61" s="80"/>
      <c r="AD61" s="80"/>
      <c r="AE61" s="80"/>
      <c r="AF61" s="80"/>
    </row>
    <row r="62" spans="1:32">
      <c r="A62" s="79" t="s">
        <v>83</v>
      </c>
      <c r="B62" s="80"/>
      <c r="C62" s="80"/>
      <c r="D62" s="80"/>
      <c r="E62" s="80"/>
      <c r="F62" s="98">
        <f>SUM(F14:F38)-F64-F41-SUM(F43:F61)</f>
        <v>0.50439541401826071</v>
      </c>
      <c r="G62" s="81">
        <f>SUM(F14:F36)-SUM(F41,F43:F59)-F64</f>
        <v>0.50439541401826071</v>
      </c>
      <c r="H62" s="81"/>
      <c r="I62" s="79" t="s">
        <v>86</v>
      </c>
      <c r="J62" s="81">
        <f>$F$64/1000*[1]production!D3</f>
        <v>6.5339114634350737E-5</v>
      </c>
      <c r="K62" s="81">
        <f>$F$64/1000*[1]production!M3</f>
        <v>5.4601869797269277E-4</v>
      </c>
      <c r="L62" s="81">
        <f>$F$64/1000*[1]production!N3</f>
        <v>2.3460630349742762E-6</v>
      </c>
      <c r="M62" s="81">
        <f>$F$64/1000*[1]production!O3</f>
        <v>5.9785303088652284E-5</v>
      </c>
      <c r="N62" s="81">
        <f>$F$64/1000*[1]production!P3</f>
        <v>1.0330775782509534E-5</v>
      </c>
      <c r="O62" s="81">
        <f>$F$64/1000*[1]production!Q3</f>
        <v>9.1350169278510734E-7</v>
      </c>
      <c r="P62" s="81">
        <f>$F$64/1000*[1]production!R3</f>
        <v>3.7123957024098448E-7</v>
      </c>
      <c r="Q62" s="81">
        <f>$F$64/1000*[1]production!S3</f>
        <v>8.4339274095347663E-4</v>
      </c>
      <c r="R62" s="81">
        <f>$F$64/1000*[1]production!T3</f>
        <v>4.1880596000024604E-6</v>
      </c>
      <c r="S62" s="81">
        <f>$F$64/1000*[1]production!U3</f>
        <v>8.2026945714153815E-4</v>
      </c>
      <c r="T62" s="81">
        <f>$F$64/1000*[1]production!V3</f>
        <v>3.4407763069476909E-6</v>
      </c>
      <c r="U62" s="81">
        <f>$F$64/1000*[1]production!W3</f>
        <v>4.6104026833255372E-6</v>
      </c>
      <c r="V62" s="81">
        <f>$F$64/1000*[1]production!X3</f>
        <v>4.7946498534252293E-9</v>
      </c>
      <c r="W62" s="81">
        <f>$F$64/1000*[1]production!Y3</f>
        <v>4.8445391301427678E-12</v>
      </c>
      <c r="X62" s="81">
        <f>$F$64/1000*[1]production!Z3</f>
        <v>1.3349209006134151E-7</v>
      </c>
      <c r="Y62" s="81">
        <f>$F$64/1000*[1]production!AA3</f>
        <v>1.5695588798420917E-7</v>
      </c>
      <c r="Z62" s="81">
        <f>$F$64/1000*[1]production!AB3</f>
        <v>2.7373111087876916E-7</v>
      </c>
      <c r="AA62" s="81">
        <f>$F$64/1000*[1]production!AC3</f>
        <v>3.6466685600676909E-8</v>
      </c>
      <c r="AB62" s="81">
        <f>$F$64/1000*[1]production!AD3</f>
        <v>6.1664729809439981E-7</v>
      </c>
      <c r="AC62" s="81">
        <f>$F$64/1000*[1]production!AE3</f>
        <v>2.810957183942153E-7</v>
      </c>
      <c r="AD62" s="81">
        <f>$F$64/1000*[1]production!AF3</f>
        <v>2.6779191126953837E-6</v>
      </c>
      <c r="AE62" s="81">
        <f>$F$64/1000*[1]production!AG3</f>
        <v>8.1052916978239979E-6</v>
      </c>
      <c r="AF62" s="81">
        <f>$F$64/1000*[1]production!AH3</f>
        <v>1.4526754315324303E-6</v>
      </c>
    </row>
    <row r="63" spans="1:32">
      <c r="A63" s="80"/>
      <c r="B63" s="80"/>
      <c r="C63" s="80"/>
      <c r="D63" s="80"/>
      <c r="E63" s="80"/>
      <c r="F63" s="81"/>
      <c r="G63" s="80"/>
      <c r="H63" s="80"/>
      <c r="I63" s="79" t="s">
        <v>87</v>
      </c>
      <c r="J63" s="99">
        <f t="shared" ref="J63:AF63" si="3">SUM(J14:J31)+J62</f>
        <v>0.98330831437258992</v>
      </c>
      <c r="K63" s="99">
        <f t="shared" si="3"/>
        <v>20.191599392682289</v>
      </c>
      <c r="L63" s="99">
        <f t="shared" si="3"/>
        <v>0.66039564081162594</v>
      </c>
      <c r="M63" s="99">
        <f t="shared" si="3"/>
        <v>0.93365766432808084</v>
      </c>
      <c r="N63" s="99">
        <f t="shared" si="3"/>
        <v>0.31713076034691251</v>
      </c>
      <c r="O63" s="99">
        <f t="shared" si="3"/>
        <v>5.3460399262546379E-2</v>
      </c>
      <c r="P63" s="99">
        <f t="shared" si="3"/>
        <v>6.2856460807927505E-4</v>
      </c>
      <c r="Q63" s="99">
        <f t="shared" si="3"/>
        <v>34.929647069682318</v>
      </c>
      <c r="R63" s="99">
        <f t="shared" si="3"/>
        <v>8.3503380519327944E-2</v>
      </c>
      <c r="S63" s="99">
        <f t="shared" si="3"/>
        <v>89.677565567536476</v>
      </c>
      <c r="T63" s="99">
        <f t="shared" si="3"/>
        <v>1.7433988682642304E-3</v>
      </c>
      <c r="U63" s="99">
        <f t="shared" si="3"/>
        <v>3.8731361186740374</v>
      </c>
      <c r="V63" s="99">
        <f t="shared" si="3"/>
        <v>3.5190702991062068E-4</v>
      </c>
      <c r="W63" s="99">
        <f t="shared" si="3"/>
        <v>8.8131474055037073E-8</v>
      </c>
      <c r="X63" s="99">
        <f t="shared" si="3"/>
        <v>4.9666811629122173E-3</v>
      </c>
      <c r="Y63" s="99">
        <f t="shared" si="3"/>
        <v>1.7512655328668216E-2</v>
      </c>
      <c r="Z63" s="99">
        <f t="shared" si="3"/>
        <v>1.0609974623012778E-2</v>
      </c>
      <c r="AA63" s="99">
        <f t="shared" si="3"/>
        <v>0.30313492685896382</v>
      </c>
      <c r="AB63" s="99">
        <f t="shared" si="3"/>
        <v>1.9352524374412098E-2</v>
      </c>
      <c r="AC63" s="99">
        <f t="shared" si="3"/>
        <v>5.8644378176719364E-3</v>
      </c>
      <c r="AD63" s="99">
        <f t="shared" si="3"/>
        <v>0.16214121578245147</v>
      </c>
      <c r="AE63" s="99">
        <f t="shared" si="3"/>
        <v>0.28031325435923538</v>
      </c>
      <c r="AF63" s="99">
        <f t="shared" si="3"/>
        <v>0.21781490081838728</v>
      </c>
    </row>
    <row r="64" spans="1:32">
      <c r="A64" s="86" t="s">
        <v>84</v>
      </c>
      <c r="B64" s="80"/>
      <c r="C64" s="80"/>
      <c r="D64" s="80"/>
      <c r="E64" s="80"/>
      <c r="F64" s="81">
        <f>F18+F19+F23+F40+F42</f>
        <v>2.63964427076923E-2</v>
      </c>
      <c r="G64" s="80" t="s">
        <v>85</v>
      </c>
      <c r="H64" s="81"/>
      <c r="I64" s="80"/>
      <c r="J64" s="81"/>
      <c r="K64" s="81"/>
      <c r="L64" s="80"/>
      <c r="M64" s="80"/>
      <c r="N64" s="80"/>
      <c r="O64" s="80"/>
      <c r="P64" s="80"/>
      <c r="Q64" s="80"/>
      <c r="R64" s="80"/>
      <c r="S64" s="80"/>
      <c r="T64" s="80"/>
      <c r="U64" s="80"/>
      <c r="V64" s="80"/>
      <c r="W64" s="80"/>
      <c r="X64" s="80"/>
      <c r="Y64" s="80"/>
      <c r="Z64" s="80"/>
      <c r="AA64" s="80"/>
      <c r="AB64" s="80"/>
      <c r="AC64" s="80"/>
      <c r="AD64" s="80"/>
      <c r="AE64" s="80"/>
      <c r="AF64" s="80"/>
    </row>
    <row r="65" spans="1:9">
      <c r="H65" s="12"/>
    </row>
    <row r="66" spans="1:9">
      <c r="F66" s="12">
        <f>F53+F56</f>
        <v>2.1675000000000002E-3</v>
      </c>
      <c r="I66" s="18">
        <f>SUM(K14:K28)</f>
        <v>15.823352716816705</v>
      </c>
    </row>
    <row r="67" spans="1:9">
      <c r="I67" s="12"/>
    </row>
    <row r="70" spans="1:9">
      <c r="A70" s="26">
        <f>F14/F62</f>
        <v>0.99921606341518698</v>
      </c>
    </row>
  </sheetData>
  <mergeCells count="6">
    <mergeCell ref="G12:H12"/>
    <mergeCell ref="L12:AC12"/>
    <mergeCell ref="AD12:AF12"/>
    <mergeCell ref="G22:G23"/>
    <mergeCell ref="G17:G19"/>
    <mergeCell ref="I12:K12"/>
  </mergeCells>
  <phoneticPr fontId="12" type="noConversion"/>
  <dataValidations count="4">
    <dataValidation type="list" allowBlank="1" showInputMessage="1" showErrorMessage="1" sqref="B2" xr:uid="{3D8B6F88-538F-481D-A716-62254725AD1E}">
      <formula1>"70%,80%,90%,100%,0%"</formula1>
    </dataValidation>
    <dataValidation type="list" allowBlank="1" showInputMessage="1" showErrorMessage="1" sqref="B3" xr:uid="{88F1B27D-23CF-4764-912A-716AD2DDA12E}">
      <formula1>"90%,95%,100%,0%"</formula1>
    </dataValidation>
    <dataValidation type="list" allowBlank="1" showInputMessage="1" showErrorMessage="1" sqref="B4:B9" xr:uid="{EEFBF909-68FF-4960-962F-D999F7C19C7B}">
      <formula1>"80%,100%,120%"</formula1>
    </dataValidation>
    <dataValidation type="list" allowBlank="1" showInputMessage="1" showErrorMessage="1" sqref="B10" xr:uid="{63FE2292-CFCB-4E87-9790-2B08C2E2CDB9}">
      <formula1>"60%,70%,80%,90%"</formula1>
    </dataValidation>
  </dataValidations>
  <pageMargins left="0.69930555555555596" right="0.69930555555555596"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deal_recycling.ideal_recycling">
                <anchor moveWithCells="1">
                  <from>
                    <xdr:col>3</xdr:col>
                    <xdr:colOff>9525</xdr:colOff>
                    <xdr:row>7</xdr:row>
                    <xdr:rowOff>152400</xdr:rowOff>
                  </from>
                  <to>
                    <xdr:col>6</xdr:col>
                    <xdr:colOff>9525</xdr:colOff>
                    <xdr:row>9</xdr:row>
                    <xdr:rowOff>200025</xdr:rowOff>
                  </to>
                </anchor>
              </controlPr>
            </control>
          </mc:Choice>
        </mc:AlternateContent>
        <mc:AlternateContent xmlns:mc="http://schemas.openxmlformats.org/markup-compatibility/2006">
          <mc:Choice Requires="x14">
            <control shapeId="1037" r:id="rId5" name="Button 13">
              <controlPr defaultSize="0" print="0" autoFill="0" autoPict="0" macro="[0]!no_recycling.no_recycling">
                <anchor moveWithCells="1">
                  <from>
                    <xdr:col>3</xdr:col>
                    <xdr:colOff>9525</xdr:colOff>
                    <xdr:row>1</xdr:row>
                    <xdr:rowOff>152400</xdr:rowOff>
                  </from>
                  <to>
                    <xdr:col>6</xdr:col>
                    <xdr:colOff>9525</xdr:colOff>
                    <xdr:row>4</xdr:row>
                    <xdr:rowOff>9525</xdr:rowOff>
                  </to>
                </anchor>
              </controlPr>
            </control>
          </mc:Choice>
        </mc:AlternateContent>
        <mc:AlternateContent xmlns:mc="http://schemas.openxmlformats.org/markup-compatibility/2006">
          <mc:Choice Requires="x14">
            <control shapeId="1050" r:id="rId6" name="Button 26">
              <controlPr defaultSize="0" print="0" autoFill="0" autoPict="0" macro="[0]!norminal_recycling.norminal_recycling">
                <anchor moveWithCells="1">
                  <from>
                    <xdr:col>3</xdr:col>
                    <xdr:colOff>9525</xdr:colOff>
                    <xdr:row>4</xdr:row>
                    <xdr:rowOff>171450</xdr:rowOff>
                  </from>
                  <to>
                    <xdr:col>6</xdr:col>
                    <xdr:colOff>9525</xdr:colOff>
                    <xdr:row>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995AE-1708-413A-A870-9BB6AA3EA062}">
  <sheetPr codeName="Sheet8"/>
  <dimension ref="A1:H25"/>
  <sheetViews>
    <sheetView workbookViewId="0">
      <pane xSplit="1" topLeftCell="K1" activePane="topRight" state="frozen"/>
      <selection activeCell="A4" sqref="A4"/>
      <selection pane="topRight" activeCell="A5" sqref="A5"/>
    </sheetView>
  </sheetViews>
  <sheetFormatPr defaultRowHeight="15"/>
  <cols>
    <col min="1" max="1" width="53.5703125" customWidth="1"/>
  </cols>
  <sheetData>
    <row r="1" spans="1:8">
      <c r="C1" s="118">
        <f>results!G34</f>
        <v>21.494130883363429</v>
      </c>
    </row>
    <row r="2" spans="1:8" ht="15.75" thickBot="1">
      <c r="C2" s="119">
        <f>results!H34</f>
        <v>372.64481694128369</v>
      </c>
    </row>
    <row r="3" spans="1:8" ht="15.75" thickBot="1">
      <c r="B3" s="21"/>
    </row>
    <row r="4" spans="1:8" ht="16.5" thickTop="1" thickBot="1">
      <c r="A4" s="41" t="s">
        <v>147</v>
      </c>
      <c r="B4" s="122"/>
      <c r="D4" s="120"/>
      <c r="F4" s="120"/>
      <c r="H4" s="105">
        <v>0</v>
      </c>
    </row>
    <row r="5" spans="1:8" ht="15.75" thickTop="1">
      <c r="A5" s="121" t="s">
        <v>186</v>
      </c>
      <c r="B5" s="37">
        <v>0.7</v>
      </c>
      <c r="C5">
        <v>21.508604677617949</v>
      </c>
      <c r="D5" s="39">
        <v>0.8</v>
      </c>
      <c r="E5">
        <v>21.494130883363429</v>
      </c>
      <c r="F5" s="117">
        <v>0.9</v>
      </c>
      <c r="G5">
        <v>21.482873487832137</v>
      </c>
      <c r="H5">
        <f t="shared" ref="H5" si="0">ABS(G5-C5)</f>
        <v>2.5731189785812347E-2</v>
      </c>
    </row>
    <row r="6" spans="1:8">
      <c r="A6" s="105" t="s">
        <v>191</v>
      </c>
      <c r="B6" s="36">
        <f>D6*0.8</f>
        <v>0.2576</v>
      </c>
      <c r="C6">
        <v>21.448459695145967</v>
      </c>
      <c r="D6" s="38">
        <v>0.32200000000000001</v>
      </c>
      <c r="E6">
        <v>21.494130883363429</v>
      </c>
      <c r="F6" s="40">
        <f>D6*1.2</f>
        <v>0.38640000000000002</v>
      </c>
      <c r="G6">
        <v>21.53980207158089</v>
      </c>
      <c r="H6">
        <f t="shared" ref="H6:H13" si="1">ABS(G6-C6)</f>
        <v>9.1342376434923267E-2</v>
      </c>
    </row>
    <row r="7" spans="1:8">
      <c r="A7" s="134" t="s">
        <v>195</v>
      </c>
      <c r="B7" s="36">
        <f>D7*0.8</f>
        <v>0.31120000000000003</v>
      </c>
      <c r="C7">
        <v>21.438914883319256</v>
      </c>
      <c r="D7" s="38">
        <v>0.38900000000000001</v>
      </c>
      <c r="E7">
        <v>21.494130883363429</v>
      </c>
      <c r="F7" s="40">
        <f>D7*1.2</f>
        <v>0.46679999999999999</v>
      </c>
      <c r="G7">
        <v>21.549346883407605</v>
      </c>
      <c r="H7">
        <f t="shared" si="1"/>
        <v>0.1104320000883483</v>
      </c>
    </row>
    <row r="8" spans="1:8">
      <c r="A8" s="105" t="s">
        <v>189</v>
      </c>
      <c r="B8" s="36">
        <f>D8*0.8</f>
        <v>0.32000000000000006</v>
      </c>
      <c r="C8">
        <v>21.437337283317994</v>
      </c>
      <c r="D8" s="38">
        <v>0.4</v>
      </c>
      <c r="E8">
        <v>21.494130883363429</v>
      </c>
      <c r="F8" s="40">
        <f>D8*1.2</f>
        <v>0.48</v>
      </c>
      <c r="G8">
        <v>21.550924483408863</v>
      </c>
      <c r="H8">
        <f t="shared" si="1"/>
        <v>0.11358720009086909</v>
      </c>
    </row>
    <row r="9" spans="1:8">
      <c r="A9" s="105" t="s">
        <v>184</v>
      </c>
      <c r="B9" s="37">
        <v>0.9</v>
      </c>
      <c r="C9">
        <v>21.770391621120293</v>
      </c>
      <c r="D9" s="39">
        <v>0.95</v>
      </c>
      <c r="E9">
        <v>21.494130883363429</v>
      </c>
      <c r="F9" s="117">
        <v>1</v>
      </c>
      <c r="G9">
        <v>21.217870145606565</v>
      </c>
      <c r="H9">
        <f t="shared" si="1"/>
        <v>0.55252147551372843</v>
      </c>
    </row>
    <row r="10" spans="1:8">
      <c r="A10" s="105" t="s">
        <v>190</v>
      </c>
      <c r="B10" s="36">
        <f>D10*0.8</f>
        <v>2.5736000000000003</v>
      </c>
      <c r="C10">
        <v>21.037419001188816</v>
      </c>
      <c r="D10" s="38">
        <v>3.2170000000000001</v>
      </c>
      <c r="E10">
        <v>21.494130883363429</v>
      </c>
      <c r="F10" s="40">
        <f>D10*1.2</f>
        <v>3.8603999999999998</v>
      </c>
      <c r="G10">
        <v>21.950842765538042</v>
      </c>
      <c r="H10">
        <f t="shared" si="1"/>
        <v>0.91342376434922556</v>
      </c>
    </row>
    <row r="11" spans="1:8">
      <c r="A11" s="121" t="s">
        <v>188</v>
      </c>
      <c r="B11" s="36">
        <f>D11*0.8</f>
        <v>4.7656000000000001</v>
      </c>
      <c r="C11">
        <v>20.648368138595629</v>
      </c>
      <c r="D11" s="38">
        <v>5.9569999999999999</v>
      </c>
      <c r="E11">
        <v>21.494130883363429</v>
      </c>
      <c r="F11" s="40">
        <f>D11*1.2</f>
        <v>7.1483999999999996</v>
      </c>
      <c r="G11">
        <v>22.339893628131232</v>
      </c>
      <c r="H11">
        <f t="shared" si="1"/>
        <v>1.6915254895356036</v>
      </c>
    </row>
    <row r="12" spans="1:8">
      <c r="A12" s="121" t="s">
        <v>187</v>
      </c>
      <c r="B12" s="36">
        <f>D12*0.8</f>
        <v>5.7600000000000007</v>
      </c>
      <c r="C12">
        <v>20.471846082545603</v>
      </c>
      <c r="D12" s="38">
        <v>7.2</v>
      </c>
      <c r="E12">
        <v>21.494130883363429</v>
      </c>
      <c r="F12" s="40">
        <f>D12*1.2</f>
        <v>8.64</v>
      </c>
      <c r="G12">
        <v>22.516415684181258</v>
      </c>
      <c r="H12">
        <f t="shared" si="1"/>
        <v>2.0445696016356543</v>
      </c>
    </row>
    <row r="13" spans="1:8">
      <c r="A13" s="105" t="s">
        <v>185</v>
      </c>
      <c r="B13" s="37">
        <v>0.8</v>
      </c>
      <c r="C13">
        <v>27.509310362082864</v>
      </c>
      <c r="D13" s="39">
        <v>0.9</v>
      </c>
      <c r="E13">
        <v>21.494130883363429</v>
      </c>
      <c r="F13" s="117">
        <v>1</v>
      </c>
      <c r="G13">
        <v>15.478951404643997</v>
      </c>
      <c r="H13">
        <f t="shared" si="1"/>
        <v>12.030358957438867</v>
      </c>
    </row>
    <row r="15" spans="1:8" ht="15.75" thickBot="1"/>
    <row r="16" spans="1:8" ht="16.5" thickTop="1" thickBot="1">
      <c r="A16" s="41" t="s">
        <v>148</v>
      </c>
      <c r="B16" s="120"/>
      <c r="D16" s="120"/>
      <c r="F16" s="120"/>
      <c r="H16">
        <v>0</v>
      </c>
    </row>
    <row r="17" spans="1:8" ht="15.75" thickTop="1">
      <c r="A17" t="s">
        <v>186</v>
      </c>
      <c r="B17" s="37">
        <v>0.7</v>
      </c>
      <c r="C17">
        <v>373.02274818103581</v>
      </c>
      <c r="D17" s="39">
        <v>0.8</v>
      </c>
      <c r="E17">
        <v>372.64481694128369</v>
      </c>
      <c r="F17" s="117">
        <v>0.9</v>
      </c>
      <c r="G17">
        <v>372.35087042147643</v>
      </c>
      <c r="H17">
        <f>ABS(G17-C17)</f>
        <v>0.67187775955937923</v>
      </c>
    </row>
    <row r="18" spans="1:8">
      <c r="A18" s="25" t="s">
        <v>191</v>
      </c>
      <c r="B18" s="36">
        <f>D18*0.8</f>
        <v>0.2576</v>
      </c>
      <c r="C18">
        <v>371.84119633733576</v>
      </c>
      <c r="D18" s="38">
        <v>0.32200000000000001</v>
      </c>
      <c r="E18">
        <v>372.64481694128369</v>
      </c>
      <c r="F18" s="40">
        <f>D18*1.2</f>
        <v>0.38640000000000002</v>
      </c>
      <c r="G18">
        <v>373.44843754523157</v>
      </c>
      <c r="H18">
        <f t="shared" ref="H18" si="2">ABS(G18-C18)</f>
        <v>1.6072412078958109</v>
      </c>
    </row>
    <row r="19" spans="1:8">
      <c r="A19" s="134" t="s">
        <v>195</v>
      </c>
      <c r="B19" s="36">
        <f>D19*0.8</f>
        <v>0.31120000000000003</v>
      </c>
      <c r="C19">
        <v>371.67324783973532</v>
      </c>
      <c r="D19" s="38">
        <v>0.38900000000000001</v>
      </c>
      <c r="E19">
        <v>372.64481694128369</v>
      </c>
      <c r="F19" s="40">
        <f>D19*1.2</f>
        <v>0.46679999999999999</v>
      </c>
      <c r="G19">
        <v>373.61638604283206</v>
      </c>
      <c r="H19">
        <f t="shared" ref="H19:H25" si="3">ABS(G19-C19)</f>
        <v>1.943138203096737</v>
      </c>
    </row>
    <row r="20" spans="1:8">
      <c r="A20" t="s">
        <v>189</v>
      </c>
      <c r="B20" s="36">
        <f>D20*0.8</f>
        <v>0.32000000000000006</v>
      </c>
      <c r="C20">
        <v>371.64548872254824</v>
      </c>
      <c r="D20" s="38">
        <v>0.4</v>
      </c>
      <c r="E20">
        <v>372.64481694128369</v>
      </c>
      <c r="F20" s="40">
        <f>D20*1.2</f>
        <v>0.48</v>
      </c>
      <c r="G20">
        <v>373.64414516001915</v>
      </c>
      <c r="H20">
        <f t="shared" si="3"/>
        <v>1.9986564374709133</v>
      </c>
    </row>
    <row r="21" spans="1:8">
      <c r="A21" t="s">
        <v>184</v>
      </c>
      <c r="B21" s="37">
        <v>0.9</v>
      </c>
      <c r="C21">
        <v>377.50526145248261</v>
      </c>
      <c r="D21" s="39">
        <v>0.95</v>
      </c>
      <c r="E21">
        <v>372.64481694128369</v>
      </c>
      <c r="F21" s="117">
        <v>1</v>
      </c>
      <c r="G21">
        <v>367.78437243008477</v>
      </c>
      <c r="H21">
        <f t="shared" si="3"/>
        <v>9.7208890223978415</v>
      </c>
    </row>
    <row r="22" spans="1:8">
      <c r="A22" t="s">
        <v>190</v>
      </c>
      <c r="B22" s="36">
        <f>D22*0.8</f>
        <v>2.5736000000000003</v>
      </c>
      <c r="C22">
        <v>364.60861090180475</v>
      </c>
      <c r="D22" s="38">
        <v>3.2170000000000001</v>
      </c>
      <c r="E22">
        <v>372.64481694128369</v>
      </c>
      <c r="F22" s="40">
        <f>D22*1.2</f>
        <v>3.8603999999999998</v>
      </c>
      <c r="G22">
        <v>380.68102298076263</v>
      </c>
      <c r="H22">
        <f t="shared" si="3"/>
        <v>16.072412078957882</v>
      </c>
    </row>
    <row r="23" spans="1:8">
      <c r="A23" s="120" t="s">
        <v>188</v>
      </c>
      <c r="B23" s="36">
        <f>D23*0.8</f>
        <v>4.7656000000000001</v>
      </c>
      <c r="C23">
        <v>357.76295390521159</v>
      </c>
      <c r="D23" s="38">
        <v>5.9569999999999999</v>
      </c>
      <c r="E23">
        <v>372.64481694128369</v>
      </c>
      <c r="F23" s="40">
        <f>D23*1.2</f>
        <v>7.1483999999999996</v>
      </c>
      <c r="G23">
        <v>387.5266799773558</v>
      </c>
      <c r="H23">
        <f t="shared" si="3"/>
        <v>29.763726072144209</v>
      </c>
    </row>
    <row r="24" spans="1:8">
      <c r="A24" t="s">
        <v>187</v>
      </c>
      <c r="B24" s="36">
        <f>D24*0.8</f>
        <v>5.7600000000000007</v>
      </c>
      <c r="C24">
        <v>354.65690900404542</v>
      </c>
      <c r="D24" s="38">
        <v>7.2</v>
      </c>
      <c r="E24">
        <v>372.64481694128369</v>
      </c>
      <c r="F24" s="40">
        <f>D24*1.2</f>
        <v>8.64</v>
      </c>
      <c r="G24">
        <v>390.63272487852197</v>
      </c>
      <c r="H24">
        <f t="shared" si="3"/>
        <v>35.975815874476552</v>
      </c>
    </row>
    <row r="25" spans="1:8">
      <c r="A25" t="s">
        <v>185</v>
      </c>
      <c r="B25" s="37">
        <v>0.8</v>
      </c>
      <c r="C25">
        <v>481.37017352710581</v>
      </c>
      <c r="D25" s="39">
        <v>0.9</v>
      </c>
      <c r="E25">
        <v>372.64481694128369</v>
      </c>
      <c r="F25" s="117">
        <v>1</v>
      </c>
      <c r="G25">
        <v>263.91946035546164</v>
      </c>
      <c r="H25">
        <f t="shared" si="3"/>
        <v>217.45071317164417</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4:AJ30"/>
  <sheetViews>
    <sheetView workbookViewId="0">
      <selection activeCell="D9" sqref="D9"/>
    </sheetView>
  </sheetViews>
  <sheetFormatPr defaultColWidth="9.140625" defaultRowHeight="15"/>
  <cols>
    <col min="2" max="2" width="32.28515625" style="1" customWidth="1"/>
    <col min="3" max="4" width="23.85546875" style="1" customWidth="1"/>
    <col min="5" max="5" width="30.85546875" style="1" customWidth="1"/>
    <col min="6" max="6" width="13.85546875" style="1" customWidth="1"/>
    <col min="7" max="7" width="16.140625" style="1" customWidth="1"/>
    <col min="8" max="8" width="14.5703125" style="1" customWidth="1"/>
    <col min="9" max="10" width="9.5703125" style="1" customWidth="1"/>
    <col min="11" max="11" width="9.28515625" style="1" customWidth="1"/>
    <col min="13" max="13" width="32.5703125" customWidth="1"/>
    <col min="14" max="14" width="18.42578125" customWidth="1"/>
    <col min="15" max="15" width="22.28515625" customWidth="1"/>
    <col min="16" max="36" width="13.42578125" customWidth="1"/>
  </cols>
  <sheetData>
    <row r="4" spans="1:36">
      <c r="B4" s="140" t="s">
        <v>88</v>
      </c>
      <c r="C4" s="140"/>
      <c r="D4" s="140"/>
      <c r="E4" s="140"/>
      <c r="P4" s="141" t="s">
        <v>6</v>
      </c>
      <c r="Q4" s="141"/>
      <c r="R4" s="141"/>
      <c r="S4" s="141"/>
      <c r="T4" s="141"/>
      <c r="U4" s="141"/>
      <c r="V4" s="141"/>
      <c r="W4" s="141"/>
      <c r="X4" s="141"/>
      <c r="Y4" s="141"/>
      <c r="Z4" s="141"/>
      <c r="AA4" s="141"/>
      <c r="AB4" s="141"/>
      <c r="AC4" s="141"/>
      <c r="AD4" s="141"/>
      <c r="AE4" s="141"/>
      <c r="AF4" s="141"/>
      <c r="AG4" s="141"/>
      <c r="AH4" s="142" t="s">
        <v>7</v>
      </c>
      <c r="AI4" s="142"/>
      <c r="AJ4" s="142"/>
    </row>
    <row r="5" spans="1:36" ht="15.75" thickBot="1">
      <c r="A5" s="28" t="s">
        <v>156</v>
      </c>
      <c r="B5" s="12"/>
      <c r="C5" s="12" t="s">
        <v>89</v>
      </c>
      <c r="D5" s="12" t="s">
        <v>90</v>
      </c>
      <c r="E5" s="12" t="s">
        <v>91</v>
      </c>
      <c r="M5" s="30"/>
      <c r="N5" s="29" t="s">
        <v>9</v>
      </c>
      <c r="O5" s="29" t="s">
        <v>10</v>
      </c>
      <c r="P5" s="30" t="s">
        <v>11</v>
      </c>
      <c r="Q5" s="30" t="s">
        <v>12</v>
      </c>
      <c r="R5" s="30" t="s">
        <v>13</v>
      </c>
      <c r="S5" s="30" t="s">
        <v>14</v>
      </c>
      <c r="T5" s="30" t="s">
        <v>15</v>
      </c>
      <c r="U5" s="30" t="s">
        <v>16</v>
      </c>
      <c r="V5" s="30" t="s">
        <v>17</v>
      </c>
      <c r="W5" s="30" t="s">
        <v>18</v>
      </c>
      <c r="X5" s="30" t="s">
        <v>19</v>
      </c>
      <c r="Y5" s="30" t="s">
        <v>20</v>
      </c>
      <c r="Z5" s="30" t="s">
        <v>21</v>
      </c>
      <c r="AA5" s="30" t="s">
        <v>22</v>
      </c>
      <c r="AB5" s="30" t="s">
        <v>23</v>
      </c>
      <c r="AC5" s="30" t="s">
        <v>24</v>
      </c>
      <c r="AD5" s="30" t="s">
        <v>25</v>
      </c>
      <c r="AE5" s="30" t="s">
        <v>26</v>
      </c>
      <c r="AF5" s="30" t="s">
        <v>27</v>
      </c>
      <c r="AG5" s="30" t="s">
        <v>28</v>
      </c>
      <c r="AH5" s="31" t="s">
        <v>29</v>
      </c>
      <c r="AI5" s="31" t="s">
        <v>30</v>
      </c>
      <c r="AJ5" s="31" t="s">
        <v>31</v>
      </c>
    </row>
    <row r="6" spans="1:36">
      <c r="B6" s="71" t="s">
        <v>8</v>
      </c>
      <c r="C6" s="44"/>
      <c r="D6" s="44"/>
      <c r="E6" s="44"/>
      <c r="F6" s="45"/>
      <c r="M6" s="13" t="s">
        <v>92</v>
      </c>
      <c r="N6" s="14">
        <f>$F$7*[1]production!D7</f>
        <v>0.28396800022717433</v>
      </c>
      <c r="O6" s="14">
        <f>$F$7*[1]production!M7</f>
        <v>4.9966410936773125</v>
      </c>
      <c r="P6" s="14">
        <f>$F$7*[1]production!N7</f>
        <v>3.2510800026008628E-4</v>
      </c>
      <c r="Q6" s="14">
        <f>$F$7*[1]production!O7</f>
        <v>0.26799600021439673</v>
      </c>
      <c r="R6" s="14">
        <f>$F$7*[1]production!P7</f>
        <v>0.11836000009468796</v>
      </c>
      <c r="S6" s="14">
        <f>$F$7*[1]production!Q7</f>
        <v>1.0204000008163198E-3</v>
      </c>
      <c r="T6" s="14">
        <f>$F$7*[1]production!R7</f>
        <v>4.9796000039836787E-6</v>
      </c>
      <c r="U6" s="14">
        <f>$F$7*[1]production!S7</f>
        <v>2.0874000016699195</v>
      </c>
      <c r="V6" s="14">
        <f>$F$7*[1]production!T7</f>
        <v>1.6892000013513596E-3</v>
      </c>
      <c r="W6" s="14">
        <f>$F$7*[1]production!U7</f>
        <v>0.62776000050220782</v>
      </c>
      <c r="X6" s="14">
        <f>$F$7*[1]production!V7</f>
        <v>2.4590000019671993E-4</v>
      </c>
      <c r="Y6" s="14">
        <f>$F$7*[1]production!W7</f>
        <v>1.1996000009596797E-3</v>
      </c>
      <c r="Z6" s="14">
        <f>$F$7*[1]production!X7</f>
        <v>4.4140000035311985E-5</v>
      </c>
      <c r="AA6" s="14">
        <f>$F$7*[1]production!Y7</f>
        <v>2.3717600018974073E-8</v>
      </c>
      <c r="AB6" s="14">
        <f>$F$7*[1]production!Z7</f>
        <v>2.9944800023955827E-4</v>
      </c>
      <c r="AC6" s="14">
        <f>$F$7*[1]production!AA7</f>
        <v>8.0544000064435169E-4</v>
      </c>
      <c r="AD6" s="14">
        <f>$F$7*[1]production!AB7</f>
        <v>1.1600000009279997E-3</v>
      </c>
      <c r="AE6" s="14">
        <f>$F$7*[1]production!AC7</f>
        <v>2.0761200016608954E-5</v>
      </c>
      <c r="AF6" s="14">
        <f>$F$7*[1]production!AD7</f>
        <v>1.2804400010243516E-4</v>
      </c>
      <c r="AG6" s="14">
        <f>$F$7*[1]production!AE7</f>
        <v>3.2074400025659507E-5</v>
      </c>
      <c r="AH6" s="14">
        <f>$F$7*[1]production!AF7</f>
        <v>7.8456000062764771E-3</v>
      </c>
      <c r="AI6" s="14">
        <f>$F$7*[1]production!AG7</f>
        <v>2.4192800019354234E-2</v>
      </c>
      <c r="AJ6" s="14">
        <f>$F$7*[1]production!AH7</f>
        <v>1.4248400011398715E-2</v>
      </c>
    </row>
    <row r="7" spans="1:36" ht="15.75" thickBot="1">
      <c r="B7" s="46" t="s">
        <v>92</v>
      </c>
      <c r="C7" s="47">
        <f>120/100*10000</f>
        <v>12000</v>
      </c>
      <c r="D7" s="48">
        <f>20*60</f>
        <v>1200</v>
      </c>
      <c r="E7" s="49">
        <f>C7*D7/1000000*'material inventory'!B7*(1-'material inventory'!B2)</f>
        <v>1.4399999999999997</v>
      </c>
      <c r="F7" s="50">
        <f>E7*0.277777778</f>
        <v>0.40000000031999988</v>
      </c>
      <c r="M7" s="13" t="s">
        <v>93</v>
      </c>
      <c r="N7" s="14">
        <f>$F$9*[1]production!D7</f>
        <v>4.7504002709876585E-5</v>
      </c>
      <c r="O7" s="14">
        <f>$F$9*[1]production!M7</f>
        <v>8.3587042154200275E-4</v>
      </c>
      <c r="P7" s="14">
        <f>$F$9*[1]production!N7</f>
        <v>5.4386167853429103E-8</v>
      </c>
      <c r="Q7" s="14">
        <f>$F$9*[1]production!O7</f>
        <v>4.4832103301203251E-5</v>
      </c>
      <c r="R7" s="14">
        <f>$F$9*[1]production!P7</f>
        <v>1.9800025921022764E-5</v>
      </c>
      <c r="S7" s="14">
        <f>$F$9*[1]production!Q7</f>
        <v>1.7069910822753995E-7</v>
      </c>
      <c r="T7" s="14">
        <f>$F$9*[1]production!R7</f>
        <v>8.3301967790068406E-10</v>
      </c>
      <c r="U7" s="14">
        <f>$F$9*[1]production!S7</f>
        <v>3.4919376569400909E-4</v>
      </c>
      <c r="V7" s="14">
        <f>$F$9*[1]production!T7</f>
        <v>2.8258029558796601E-7</v>
      </c>
      <c r="W7" s="14">
        <f>$F$9*[1]production!U7</f>
        <v>1.0501575086330897E-4</v>
      </c>
      <c r="X7" s="14">
        <f>$F$9*[1]production!V7</f>
        <v>4.1135741584821708E-8</v>
      </c>
      <c r="Y7" s="14">
        <f>$F$9*[1]production!W7</f>
        <v>2.006768426399029E-7</v>
      </c>
      <c r="Z7" s="14">
        <f>$F$9*[1]production!X7</f>
        <v>7.3840245366166343E-9</v>
      </c>
      <c r="AA7" s="14">
        <f>$F$9*[1]production!Y7</f>
        <v>3.9676334469791276E-12</v>
      </c>
      <c r="AB7" s="14">
        <f>$F$9*[1]production!Z7</f>
        <v>5.0093597178087399E-8</v>
      </c>
      <c r="AC7" s="14">
        <f>$F$9*[1]production!AA7</f>
        <v>1.3473920984985279E-7</v>
      </c>
      <c r="AD7" s="14">
        <f>$F$9*[1]production!AB7</f>
        <v>1.9405229865145661E-7</v>
      </c>
      <c r="AE7" s="14">
        <f>$F$9*[1]production!AC7</f>
        <v>3.4730677437608806E-9</v>
      </c>
      <c r="AF7" s="14">
        <f>$F$9*[1]production!AD7</f>
        <v>2.1420028041833718E-8</v>
      </c>
      <c r="AG7" s="14">
        <f>$F$9*[1]production!AE7</f>
        <v>5.3656129722985176E-9</v>
      </c>
      <c r="AH7" s="14">
        <f>$F$9*[1]production!AF7</f>
        <v>1.3124626847412655E-6</v>
      </c>
      <c r="AI7" s="14">
        <f>$F$9*[1]production!AG7</f>
        <v>4.0471279748404826E-6</v>
      </c>
      <c r="AJ7" s="14">
        <f>$F$9*[1]production!AH7</f>
        <v>2.3835644587115644E-6</v>
      </c>
    </row>
    <row r="8" spans="1:36">
      <c r="B8" s="71" t="s">
        <v>42</v>
      </c>
      <c r="C8" s="44"/>
      <c r="D8" s="51"/>
      <c r="E8" s="52"/>
      <c r="F8" s="53"/>
      <c r="I8" s="1" t="s">
        <v>94</v>
      </c>
      <c r="J8" s="1" t="s">
        <v>95</v>
      </c>
      <c r="K8" s="1" t="s">
        <v>96</v>
      </c>
      <c r="L8" s="1"/>
      <c r="M8" s="13" t="s">
        <v>150</v>
      </c>
      <c r="N8" s="14">
        <f>$F$11*[1]production!D7</f>
        <v>0.2283559410873062</v>
      </c>
      <c r="O8" s="14">
        <f>$F$11*[1]production!M7</f>
        <v>4.0181030197394767</v>
      </c>
      <c r="P8" s="14">
        <f>$F$11*[1]production!N7</f>
        <v>2.6143911741820182E-4</v>
      </c>
      <c r="Q8" s="14">
        <f>$F$11*[1]production!O7</f>
        <v>0.21551188439413493</v>
      </c>
      <c r="R8" s="14">
        <f>$F$11*[1]production!P7</f>
        <v>9.5180475219368246E-2</v>
      </c>
      <c r="S8" s="14">
        <f>$F$11*[1]production!Q7</f>
        <v>8.2056570559178226E-4</v>
      </c>
      <c r="T8" s="14">
        <f>$F$11*[1]production!R7</f>
        <v>4.004399243007487E-6</v>
      </c>
      <c r="U8" s="14">
        <f>$F$11*[1]production!S7</f>
        <v>1.6786053056176855</v>
      </c>
      <c r="V8" s="14">
        <f>$F$11*[1]production!T7</f>
        <v>1.3583884651956475E-3</v>
      </c>
      <c r="W8" s="14">
        <f>$F$11*[1]production!U7</f>
        <v>0.50481999935544608</v>
      </c>
      <c r="X8" s="14">
        <f>$F$11*[1]production!V7</f>
        <v>1.9774314681009336E-4</v>
      </c>
      <c r="Y8" s="14">
        <f>$F$11*[1]production!W7</f>
        <v>9.6467132538994714E-4</v>
      </c>
      <c r="Z8" s="14">
        <f>$F$11*[1]production!X7</f>
        <v>3.5495658805195284E-5</v>
      </c>
      <c r="AA8" s="14">
        <f>$F$11*[1]production!Y7</f>
        <v>1.9072764777483005E-8</v>
      </c>
      <c r="AB8" s="14">
        <f>$F$11*[1]production!Z7</f>
        <v>2.408043506546923E-4</v>
      </c>
      <c r="AC8" s="14">
        <f>$F$11*[1]production!AA7</f>
        <v>6.4770329469996584E-4</v>
      </c>
      <c r="AD8" s="14">
        <f>$F$11*[1]production!AB7</f>
        <v>9.3282655672919193E-4</v>
      </c>
      <c r="AE8" s="14">
        <f>$F$11*[1]production!AC7</f>
        <v>1.6695343715143189E-5</v>
      </c>
      <c r="AF8" s="14">
        <f>$F$11*[1]production!AD7</f>
        <v>1.0296796864640747E-4</v>
      </c>
      <c r="AG8" s="14">
        <f>$F$11*[1]production!AE7</f>
        <v>2.5792975957892064E-5</v>
      </c>
      <c r="AH8" s="14">
        <f>$F$11*[1]production!AF7</f>
        <v>6.3091241667884036E-3</v>
      </c>
      <c r="AI8" s="14">
        <f>$F$11*[1]production!AG7</f>
        <v>1.9454902001412065E-2</v>
      </c>
      <c r="AJ8" s="14">
        <f>$F$11*[1]production!AH7</f>
        <v>1.1458005095603636E-2</v>
      </c>
    </row>
    <row r="9" spans="1:36" ht="15.75" thickBot="1">
      <c r="B9" s="54" t="s">
        <v>93</v>
      </c>
      <c r="C9" s="55">
        <v>130</v>
      </c>
      <c r="D9" s="56">
        <f>K9</f>
        <v>1.8530192959850751</v>
      </c>
      <c r="E9" s="57">
        <f>C9*D9/1000000</f>
        <v>2.4089250847805977E-4</v>
      </c>
      <c r="F9" s="58">
        <f t="shared" ref="F9:F20" si="0">E9*0.277777778</f>
        <v>6.6914585741881596E-5</v>
      </c>
      <c r="H9" s="1" t="s">
        <v>93</v>
      </c>
      <c r="I9" s="1">
        <v>130</v>
      </c>
      <c r="J9" s="1">
        <v>1</v>
      </c>
      <c r="K9" s="1">
        <f>'material inventory'!F21/789*1000000/J9</f>
        <v>1.8530192959850751</v>
      </c>
      <c r="L9" s="1">
        <f>I9*K9/1000000</f>
        <v>2.4089250847805977E-4</v>
      </c>
      <c r="M9" s="13" t="s">
        <v>98</v>
      </c>
      <c r="N9" s="14">
        <f>$F$12*[1]production!D7</f>
        <v>5.1114240040891374</v>
      </c>
      <c r="O9" s="14">
        <f>$F$12*[1]production!M7</f>
        <v>89.939539686191623</v>
      </c>
      <c r="P9" s="14">
        <f>$F$12*[1]production!N7</f>
        <v>5.8519440046815533E-3</v>
      </c>
      <c r="Q9" s="14">
        <f>$F$12*[1]production!O7</f>
        <v>4.823928003859141</v>
      </c>
      <c r="R9" s="14">
        <f>$F$12*[1]production!P7</f>
        <v>2.1304800017043832</v>
      </c>
      <c r="S9" s="14">
        <f>$F$12*[1]production!Q7</f>
        <v>1.8367200014693753E-2</v>
      </c>
      <c r="T9" s="14">
        <f>$F$12*[1]production!R7</f>
        <v>8.9632800071706218E-5</v>
      </c>
      <c r="U9" s="14">
        <f>$F$12*[1]production!S7</f>
        <v>37.573200030058544</v>
      </c>
      <c r="V9" s="14">
        <f>$F$12*[1]production!T7</f>
        <v>3.0405600024324474E-2</v>
      </c>
      <c r="W9" s="14">
        <f>$F$12*[1]production!U7</f>
        <v>11.29968000903974</v>
      </c>
      <c r="X9" s="14">
        <f>$F$12*[1]production!V7</f>
        <v>4.4262000035409583E-3</v>
      </c>
      <c r="Y9" s="14">
        <f>$F$12*[1]production!W7</f>
        <v>2.1592800017274233E-2</v>
      </c>
      <c r="Z9" s="14">
        <f>$F$12*[1]production!X7</f>
        <v>7.9452000063561575E-4</v>
      </c>
      <c r="AA9" s="14">
        <f>$F$12*[1]production!Y7</f>
        <v>4.2691680034153332E-7</v>
      </c>
      <c r="AB9" s="14">
        <f>$F$12*[1]production!Z7</f>
        <v>5.3900640043120498E-3</v>
      </c>
      <c r="AC9" s="14">
        <f>$F$12*[1]production!AA7</f>
        <v>1.4497920011598331E-2</v>
      </c>
      <c r="AD9" s="14">
        <f>$F$12*[1]production!AB7</f>
        <v>2.0880000016703992E-2</v>
      </c>
      <c r="AE9" s="14">
        <f>$F$12*[1]production!AC7</f>
        <v>3.7370160029896119E-4</v>
      </c>
      <c r="AF9" s="14">
        <f>$F$12*[1]production!AD7</f>
        <v>2.3047920018438332E-3</v>
      </c>
      <c r="AG9" s="14">
        <f>$F$12*[1]production!AE7</f>
        <v>5.7733920046187112E-4</v>
      </c>
      <c r="AH9" s="14">
        <f>$F$12*[1]production!AF7</f>
        <v>0.14122080011297661</v>
      </c>
      <c r="AI9" s="14">
        <f>$F$12*[1]production!AG7</f>
        <v>0.4354704003483762</v>
      </c>
      <c r="AJ9" s="14">
        <f>$F$12*[1]production!AH7</f>
        <v>0.25647120020517689</v>
      </c>
    </row>
    <row r="10" spans="1:36">
      <c r="B10" s="43" t="s">
        <v>48</v>
      </c>
      <c r="C10" s="44"/>
      <c r="D10" s="51"/>
      <c r="E10" s="52"/>
      <c r="F10" s="53"/>
      <c r="M10" s="13" t="s">
        <v>151</v>
      </c>
      <c r="N10" s="14">
        <f>$F$14*[1]production!D7</f>
        <v>8.4576274476780081E-2</v>
      </c>
      <c r="O10" s="14">
        <f>$F$14*[1]production!M7</f>
        <v>1.4881863036072136</v>
      </c>
      <c r="P10" s="14">
        <f>$F$14*[1]production!N7</f>
        <v>9.6829302747482171E-5</v>
      </c>
      <c r="Q10" s="14">
        <f>$F$14*[1]production!O7</f>
        <v>7.9819216442272203E-2</v>
      </c>
      <c r="R10" s="14">
        <f>$F$14*[1]production!P7</f>
        <v>3.525202785902528E-2</v>
      </c>
      <c r="S10" s="14">
        <f>$F$14*[1]production!Q7</f>
        <v>3.039132242932527E-4</v>
      </c>
      <c r="T10" s="14">
        <f>$F$14*[1]production!R7</f>
        <v>1.4831108307435136E-6</v>
      </c>
      <c r="U10" s="14">
        <f>$F$14*[1]production!S7</f>
        <v>0.62170566874729094</v>
      </c>
      <c r="V10" s="14">
        <f>$F$14*[1]production!T7</f>
        <v>5.0310683896135093E-4</v>
      </c>
      <c r="W10" s="14">
        <f>$F$14*[1]production!U7</f>
        <v>0.18697037013164672</v>
      </c>
      <c r="X10" s="14">
        <f>$F$14*[1]production!V7</f>
        <v>7.3238202522256797E-5</v>
      </c>
      <c r="Y10" s="14">
        <f>$F$14*[1]production!W7</f>
        <v>3.5728567607035079E-4</v>
      </c>
      <c r="Z10" s="14">
        <f>$F$14*[1]production!X7</f>
        <v>1.3146540298220478E-5</v>
      </c>
      <c r="AA10" s="14">
        <f>$F$14*[1]production!Y7</f>
        <v>7.0639869546233354E-9</v>
      </c>
      <c r="AB10" s="14">
        <f>$F$14*[1]production!Z7</f>
        <v>8.9186796538774931E-5</v>
      </c>
      <c r="AC10" s="14">
        <f>$F$14*[1]production!AA7</f>
        <v>2.398901091481355E-4</v>
      </c>
      <c r="AD10" s="14">
        <f>$F$14*[1]production!AB7</f>
        <v>3.4549131730710812E-4</v>
      </c>
      <c r="AE10" s="14">
        <f>$F$14*[1]production!AC7</f>
        <v>6.1834606352382193E-6</v>
      </c>
      <c r="AF10" s="14">
        <f>$F$14*[1]production!AD7</f>
        <v>3.8136284683854624E-5</v>
      </c>
      <c r="AG10" s="14">
        <f>$F$14*[1]production!AE7</f>
        <v>9.5529540584785421E-6</v>
      </c>
      <c r="AH10" s="14">
        <f>$F$14*[1]production!AF7</f>
        <v>2.3367126543660756E-3</v>
      </c>
      <c r="AI10" s="14">
        <f>$F$14*[1]production!AG7</f>
        <v>7.2055192597822474E-3</v>
      </c>
      <c r="AJ10" s="14">
        <f>$F$14*[1]production!AH7</f>
        <v>4.24370559096431E-3</v>
      </c>
    </row>
    <row r="11" spans="1:36">
      <c r="B11" s="59" t="s">
        <v>97</v>
      </c>
      <c r="C11" s="60">
        <f>(300+370)*(10000*'material inventory'!C25/100)^2*(3000/9999)^2</f>
        <v>385997.19557914388</v>
      </c>
      <c r="D11" s="61">
        <v>30</v>
      </c>
      <c r="E11" s="62">
        <f>C11*D11/1000000*'material inventory'!B9*(1-'material inventory'!B2)</f>
        <v>1.1579915867374313</v>
      </c>
      <c r="F11" s="63">
        <f t="shared" si="0"/>
        <v>0.32166432990661792</v>
      </c>
      <c r="M11" s="13" t="s">
        <v>152</v>
      </c>
      <c r="N11" s="14">
        <f>$F$15*[1]production!D7</f>
        <v>4.2288137238390036</v>
      </c>
      <c r="O11" s="14">
        <f>$F$15*[1]production!M7</f>
        <v>74.409315180360679</v>
      </c>
      <c r="P11" s="14">
        <f>$F$15*[1]production!N7</f>
        <v>4.8414651373741083E-3</v>
      </c>
      <c r="Q11" s="14">
        <f>$F$15*[1]production!O7</f>
        <v>3.9909608221136099</v>
      </c>
      <c r="R11" s="14">
        <f>$F$15*[1]production!P7</f>
        <v>1.7626013929512638</v>
      </c>
      <c r="S11" s="14">
        <f>$F$15*[1]production!Q7</f>
        <v>1.5195661214662636E-2</v>
      </c>
      <c r="T11" s="14">
        <f>$F$15*[1]production!R7</f>
        <v>7.4155541537175682E-5</v>
      </c>
      <c r="U11" s="14">
        <f>$F$15*[1]production!S7</f>
        <v>31.085283437364549</v>
      </c>
      <c r="V11" s="14">
        <f>$F$15*[1]production!T7</f>
        <v>2.5155341948067549E-2</v>
      </c>
      <c r="W11" s="14">
        <f>$F$15*[1]production!U7</f>
        <v>9.3485185065823355</v>
      </c>
      <c r="X11" s="14">
        <f>$F$15*[1]production!V7</f>
        <v>3.6619101261128402E-3</v>
      </c>
      <c r="Y11" s="14">
        <f>$F$15*[1]production!W7</f>
        <v>1.7864283803517539E-2</v>
      </c>
      <c r="Z11" s="14">
        <f>$F$15*[1]production!X7</f>
        <v>6.5732701491102389E-4</v>
      </c>
      <c r="AA11" s="14">
        <f>$F$15*[1]production!Y7</f>
        <v>3.5319934773116675E-7</v>
      </c>
      <c r="AB11" s="14">
        <f>$F$15*[1]production!Z7</f>
        <v>4.4593398269387463E-3</v>
      </c>
      <c r="AC11" s="14">
        <f>$F$15*[1]production!AA7</f>
        <v>1.1994505457406775E-2</v>
      </c>
      <c r="AD11" s="14">
        <f>$F$15*[1]production!AB7</f>
        <v>1.7274565865355408E-2</v>
      </c>
      <c r="AE11" s="14">
        <f>$F$15*[1]production!AC7</f>
        <v>3.0917303176191096E-4</v>
      </c>
      <c r="AF11" s="14">
        <f>$F$15*[1]production!AD7</f>
        <v>1.9068142341927311E-3</v>
      </c>
      <c r="AG11" s="14">
        <f>$F$15*[1]production!AE7</f>
        <v>4.7764770292392712E-4</v>
      </c>
      <c r="AH11" s="14">
        <f>$F$15*[1]production!AF7</f>
        <v>0.11683563271830379</v>
      </c>
      <c r="AI11" s="14">
        <f>$F$15*[1]production!AG7</f>
        <v>0.36027596298911235</v>
      </c>
      <c r="AJ11" s="14">
        <f>$F$15*[1]production!AH7</f>
        <v>0.21218527954821551</v>
      </c>
    </row>
    <row r="12" spans="1:36" ht="15.75" thickBot="1">
      <c r="A12">
        <v>500</v>
      </c>
      <c r="B12" s="54" t="s">
        <v>99</v>
      </c>
      <c r="C12" s="64">
        <f>630/350*A12/100*10000*'material inventory'!C25</f>
        <v>72000</v>
      </c>
      <c r="D12" s="56">
        <v>3600</v>
      </c>
      <c r="E12" s="57">
        <f>C12*D12/1000000*'material inventory'!B4*(1-'material inventory'!B2)</f>
        <v>25.919999999999995</v>
      </c>
      <c r="F12" s="58">
        <f t="shared" si="0"/>
        <v>7.200000005759998</v>
      </c>
      <c r="M12" s="13" t="s">
        <v>153</v>
      </c>
      <c r="N12" s="14">
        <f>$F$16*[1]production!D7</f>
        <v>1.7038080013630463</v>
      </c>
      <c r="O12" s="14">
        <f>$F$16*[1]production!M7</f>
        <v>29.979846562063884</v>
      </c>
      <c r="P12" s="14">
        <f>$F$16*[1]production!N7</f>
        <v>1.9506480015605183E-3</v>
      </c>
      <c r="Q12" s="14">
        <f>$F$16*[1]production!O7</f>
        <v>1.6079760012863809</v>
      </c>
      <c r="R12" s="14">
        <f>$F$16*[1]production!P7</f>
        <v>0.710160000568128</v>
      </c>
      <c r="S12" s="14">
        <f>$F$16*[1]production!Q7</f>
        <v>6.1224000048979198E-3</v>
      </c>
      <c r="T12" s="14">
        <f>$F$16*[1]production!R7</f>
        <v>2.9877600023902081E-5</v>
      </c>
      <c r="U12" s="14">
        <f>$F$16*[1]production!S7</f>
        <v>12.524400010019519</v>
      </c>
      <c r="V12" s="14">
        <f>$F$16*[1]production!T7</f>
        <v>1.013520000810816E-2</v>
      </c>
      <c r="W12" s="14">
        <f>$F$16*[1]production!U7</f>
        <v>3.766560003013248</v>
      </c>
      <c r="X12" s="14">
        <f>$F$16*[1]production!V7</f>
        <v>1.4754000011803199E-3</v>
      </c>
      <c r="Y12" s="14">
        <f>$F$16*[1]production!W7</f>
        <v>7.19760000575808E-3</v>
      </c>
      <c r="Z12" s="14">
        <f>$F$16*[1]production!X7</f>
        <v>2.6484000021187199E-4</v>
      </c>
      <c r="AA12" s="14">
        <f>$F$16*[1]production!Y7</f>
        <v>1.4230560011384449E-7</v>
      </c>
      <c r="AB12" s="14">
        <f>$F$16*[1]production!Z7</f>
        <v>1.7966880014373503E-3</v>
      </c>
      <c r="AC12" s="14">
        <f>$F$16*[1]production!AA7</f>
        <v>4.8326400038661123E-3</v>
      </c>
      <c r="AD12" s="14">
        <f>$F$16*[1]production!AB7</f>
        <v>6.9600000055680001E-3</v>
      </c>
      <c r="AE12" s="14">
        <f>$F$16*[1]production!AC7</f>
        <v>1.2456720009965377E-4</v>
      </c>
      <c r="AF12" s="14">
        <f>$F$16*[1]production!AD7</f>
        <v>7.6826400061461128E-4</v>
      </c>
      <c r="AG12" s="14">
        <f>$F$16*[1]production!AE7</f>
        <v>1.9244640015395712E-4</v>
      </c>
      <c r="AH12" s="14">
        <f>$F$16*[1]production!AF7</f>
        <v>4.7073600037658883E-2</v>
      </c>
      <c r="AI12" s="14">
        <f>$F$16*[1]production!AG7</f>
        <v>0.14515680011612545</v>
      </c>
      <c r="AJ12" s="14">
        <f>$F$16*[1]production!AH7</f>
        <v>8.5490400068392328E-2</v>
      </c>
    </row>
    <row r="13" spans="1:36">
      <c r="B13" s="71" t="s">
        <v>54</v>
      </c>
      <c r="C13" s="65"/>
      <c r="D13" s="51"/>
      <c r="E13" s="52"/>
      <c r="F13" s="53"/>
      <c r="M13" s="13" t="s">
        <v>154</v>
      </c>
      <c r="N13" s="14">
        <f>$F$18*[1]production!D7</f>
        <v>2.2835594108730621</v>
      </c>
      <c r="O13" s="14">
        <f>$F$18*[1]production!M7</f>
        <v>40.181030197394769</v>
      </c>
      <c r="P13" s="14">
        <f>$F$18*[1]production!N7</f>
        <v>2.6143911741820188E-3</v>
      </c>
      <c r="Q13" s="14">
        <f>$F$18*[1]production!O7</f>
        <v>2.1551188439413496</v>
      </c>
      <c r="R13" s="14">
        <f>$F$18*[1]production!P7</f>
        <v>0.95180475219368255</v>
      </c>
      <c r="S13" s="14">
        <f>$F$18*[1]production!Q7</f>
        <v>8.2056570559178241E-3</v>
      </c>
      <c r="T13" s="14">
        <f>$F$18*[1]production!R7</f>
        <v>4.0043992430074877E-5</v>
      </c>
      <c r="U13" s="14">
        <f>$F$18*[1]production!S7</f>
        <v>16.786053056176858</v>
      </c>
      <c r="V13" s="14">
        <f>$F$18*[1]production!T7</f>
        <v>1.3583884651956478E-2</v>
      </c>
      <c r="W13" s="14">
        <f>$F$18*[1]production!U7</f>
        <v>5.0481999935544621</v>
      </c>
      <c r="X13" s="14">
        <f>$F$18*[1]production!V7</f>
        <v>1.9774314681009339E-3</v>
      </c>
      <c r="Y13" s="14">
        <f>$F$18*[1]production!W7</f>
        <v>9.6467132538994721E-3</v>
      </c>
      <c r="Z13" s="14">
        <f>$F$18*[1]production!X7</f>
        <v>3.5495658805195291E-4</v>
      </c>
      <c r="AA13" s="14">
        <f>$F$18*[1]production!Y7</f>
        <v>1.9072764777483006E-7</v>
      </c>
      <c r="AB13" s="14">
        <f>$F$18*[1]production!Z7</f>
        <v>2.4080435065469232E-3</v>
      </c>
      <c r="AC13" s="14">
        <f>$F$18*[1]production!AA7</f>
        <v>6.477032946999659E-3</v>
      </c>
      <c r="AD13" s="14">
        <f>$F$18*[1]production!AB7</f>
        <v>9.3282655672919206E-3</v>
      </c>
      <c r="AE13" s="14">
        <f>$F$18*[1]production!AC7</f>
        <v>1.6695343715143193E-4</v>
      </c>
      <c r="AF13" s="14">
        <f>$F$18*[1]production!AD7</f>
        <v>1.029679686464075E-3</v>
      </c>
      <c r="AG13" s="14">
        <f>$F$18*[1]production!AE7</f>
        <v>2.5792975957892065E-4</v>
      </c>
      <c r="AH13" s="14">
        <f>$F$18*[1]production!AF7</f>
        <v>6.3091241667884046E-2</v>
      </c>
      <c r="AI13" s="14">
        <f>$F$18*[1]production!AG7</f>
        <v>0.19454902001412069</v>
      </c>
      <c r="AJ13" s="14">
        <f>$F$18*[1]production!AH7</f>
        <v>0.11458005095603639</v>
      </c>
    </row>
    <row r="14" spans="1:36">
      <c r="B14" s="59" t="s">
        <v>101</v>
      </c>
      <c r="C14" s="60">
        <f>(300+370)*(10000*'material inventory'!C28/100)^2*(1000/9999)^2</f>
        <v>42888.577286571533</v>
      </c>
      <c r="D14" s="61">
        <v>10</v>
      </c>
      <c r="E14" s="62">
        <f>C14*D14/1000000</f>
        <v>0.42888577286571533</v>
      </c>
      <c r="F14" s="63">
        <f t="shared" si="0"/>
        <v>0.11913493700245109</v>
      </c>
      <c r="M14" s="13" t="s">
        <v>163</v>
      </c>
      <c r="N14" s="14">
        <f>$F$20*[1]production!D7</f>
        <v>0.27608000022086421</v>
      </c>
      <c r="O14" s="14">
        <f>$F$20*[1]production!M7</f>
        <v>4.8578455077418363</v>
      </c>
      <c r="P14" s="14">
        <f>$F$20*[1]production!N7</f>
        <v>3.1607722247508426E-4</v>
      </c>
      <c r="Q14" s="14">
        <f>$F$20*[1]production!O7</f>
        <v>0.26055166687510822</v>
      </c>
      <c r="R14" s="14">
        <f>$F$20*[1]production!P7</f>
        <v>0.11507222231428009</v>
      </c>
      <c r="S14" s="14">
        <f>$F$20*[1]production!Q7</f>
        <v>9.920555563492008E-4</v>
      </c>
      <c r="T14" s="14">
        <f>$F$20*[1]production!R7</f>
        <v>4.8412777816508037E-6</v>
      </c>
      <c r="U14" s="14">
        <f>$F$20*[1]production!S7</f>
        <v>2.0294166682902013</v>
      </c>
      <c r="V14" s="14">
        <f>$F$20*[1]production!T7</f>
        <v>1.6422777790916013E-3</v>
      </c>
      <c r="W14" s="14">
        <f>$F$20*[1]production!U7</f>
        <v>0.61032222271048042</v>
      </c>
      <c r="X14" s="14">
        <f>$F$20*[1]production!V7</f>
        <v>2.3906944463570018E-4</v>
      </c>
      <c r="Y14" s="14">
        <f>$F$20*[1]production!W7</f>
        <v>1.166277778710801E-3</v>
      </c>
      <c r="Z14" s="14">
        <f>$F$20*[1]production!X7</f>
        <v>4.2913888923220034E-5</v>
      </c>
      <c r="AA14" s="14">
        <f>$F$20*[1]production!Y7</f>
        <v>2.3058777796224817E-8</v>
      </c>
      <c r="AB14" s="14">
        <f>$F$20*[1]production!Z7</f>
        <v>2.911300002329042E-4</v>
      </c>
      <c r="AC14" s="14">
        <f>$F$20*[1]production!AA7</f>
        <v>7.8306666729312062E-4</v>
      </c>
      <c r="AD14" s="14">
        <f>$F$20*[1]production!AB7</f>
        <v>1.1277777786800009E-3</v>
      </c>
      <c r="AE14" s="14">
        <f>$F$20*[1]production!AC7</f>
        <v>2.0184500016147615E-5</v>
      </c>
      <c r="AF14" s="14">
        <f>$F$20*[1]production!AD7</f>
        <v>1.2448722232181211E-4</v>
      </c>
      <c r="AG14" s="14">
        <f>$F$20*[1]production!AE7</f>
        <v>3.118344446939122E-5</v>
      </c>
      <c r="AH14" s="14">
        <f>$F$20*[1]production!AF7</f>
        <v>7.6276666727688059E-3</v>
      </c>
      <c r="AI14" s="14">
        <f>$F$20*[1]production!AG7</f>
        <v>2.3520777796594419E-2</v>
      </c>
      <c r="AJ14" s="14">
        <f>$F$20*[1]production!AH7</f>
        <v>1.3852611122193211E-2</v>
      </c>
    </row>
    <row r="15" spans="1:36">
      <c r="B15" s="59" t="s">
        <v>102</v>
      </c>
      <c r="C15" s="60">
        <f>(300+370)*(10000*'material inventory'!C30/100)^2*(5000/9999)^2</f>
        <v>1072214.4321642884</v>
      </c>
      <c r="D15" s="61">
        <v>20</v>
      </c>
      <c r="E15" s="62">
        <f>C15*D15/1000000*'material inventory'!B6</f>
        <v>21.444288643285766</v>
      </c>
      <c r="F15" s="63">
        <f t="shared" si="0"/>
        <v>5.9567468501225544</v>
      </c>
    </row>
    <row r="16" spans="1:36" ht="15.75" thickBot="1">
      <c r="A16">
        <v>100</v>
      </c>
      <c r="B16" s="54" t="s">
        <v>103</v>
      </c>
      <c r="C16" s="64">
        <f>630/350*A16/100*10000*'material inventory'!C28</f>
        <v>14400</v>
      </c>
      <c r="D16" s="56">
        <v>600</v>
      </c>
      <c r="E16" s="57">
        <f>C16*D16/1000000</f>
        <v>8.64</v>
      </c>
      <c r="F16" s="58">
        <f t="shared" si="0"/>
        <v>2.4000000019200001</v>
      </c>
    </row>
    <row r="17" spans="1:36">
      <c r="B17" s="71" t="s">
        <v>104</v>
      </c>
      <c r="C17" s="65"/>
      <c r="D17" s="51"/>
      <c r="E17" s="52"/>
      <c r="F17" s="53"/>
      <c r="M17" s="12"/>
      <c r="N17" s="14"/>
      <c r="O17" s="14"/>
      <c r="P17" s="14"/>
      <c r="Q17" s="14"/>
      <c r="R17" s="14"/>
      <c r="S17" s="14"/>
      <c r="T17" s="14"/>
      <c r="U17" s="14"/>
      <c r="V17" s="14"/>
      <c r="W17" s="14"/>
      <c r="X17" s="14"/>
      <c r="Y17" s="14"/>
      <c r="Z17" s="14"/>
      <c r="AA17" s="14"/>
      <c r="AB17" s="14"/>
      <c r="AC17" s="14"/>
      <c r="AD17" s="14"/>
      <c r="AE17" s="14"/>
      <c r="AF17" s="14"/>
      <c r="AG17" s="14"/>
      <c r="AH17" s="14"/>
      <c r="AI17" s="14"/>
      <c r="AJ17" s="14"/>
    </row>
    <row r="18" spans="1:36" ht="15.75" thickBot="1">
      <c r="B18" s="66" t="s">
        <v>100</v>
      </c>
      <c r="C18" s="67">
        <f>(300+370)*(10000*'material inventory'!C34/100)^2*(3000/9999)^2</f>
        <v>385997.19557914388</v>
      </c>
      <c r="D18" s="68">
        <v>30</v>
      </c>
      <c r="E18" s="69">
        <f>C18*D18/1000000*'material inventory'!B8</f>
        <v>11.579915867374316</v>
      </c>
      <c r="F18" s="70">
        <f t="shared" si="0"/>
        <v>3.2166432990661797</v>
      </c>
    </row>
    <row r="19" spans="1:36">
      <c r="B19" s="72" t="s">
        <v>105</v>
      </c>
      <c r="C19" s="44"/>
      <c r="D19" s="44"/>
      <c r="E19" s="52"/>
      <c r="F19" s="53"/>
      <c r="M19" s="3"/>
      <c r="N19" s="14"/>
      <c r="O19" s="14"/>
      <c r="P19" s="14"/>
      <c r="Q19" s="14"/>
      <c r="R19" s="14"/>
      <c r="S19" s="14"/>
      <c r="T19" s="14"/>
      <c r="U19" s="14"/>
      <c r="V19" s="14"/>
      <c r="W19" s="14"/>
      <c r="X19" s="14"/>
      <c r="Y19" s="14"/>
      <c r="Z19" s="14"/>
      <c r="AA19" s="14"/>
      <c r="AB19" s="14"/>
      <c r="AC19" s="14"/>
      <c r="AD19" s="14"/>
      <c r="AE19" s="14"/>
      <c r="AF19" s="14"/>
      <c r="AG19" s="14"/>
      <c r="AH19" s="14"/>
      <c r="AI19" s="14"/>
      <c r="AJ19" s="14"/>
    </row>
    <row r="20" spans="1:36" ht="15.75" thickBot="1">
      <c r="A20">
        <v>150</v>
      </c>
      <c r="B20" s="54" t="s">
        <v>157</v>
      </c>
      <c r="C20" s="55">
        <f>(2.8*10000/240*A20*'material inventory'!C36+57500)</f>
        <v>71500</v>
      </c>
      <c r="D20" s="56">
        <f>'material inventory'!B36/33*60</f>
        <v>181.81818181818181</v>
      </c>
      <c r="E20" s="57">
        <f>(C20*D20+50000*5*60)/1000000*'material inventory'!B5*(1-'material inventory'!B3)</f>
        <v>1.4000000000000012</v>
      </c>
      <c r="F20" s="58">
        <f t="shared" si="0"/>
        <v>0.38888888920000031</v>
      </c>
    </row>
    <row r="21" spans="1:36">
      <c r="E21" s="22"/>
      <c r="F21" s="22"/>
      <c r="N21" s="14"/>
      <c r="O21" s="14"/>
      <c r="P21" s="14"/>
      <c r="Q21" s="14"/>
      <c r="R21" s="14"/>
      <c r="S21" s="14"/>
      <c r="T21" s="14"/>
      <c r="U21" s="14"/>
      <c r="V21" s="14"/>
      <c r="W21" s="14"/>
      <c r="X21" s="14"/>
      <c r="Y21" s="14"/>
      <c r="Z21" s="14"/>
      <c r="AA21" s="14"/>
      <c r="AB21" s="14"/>
      <c r="AC21" s="14"/>
      <c r="AD21" s="14"/>
      <c r="AE21" s="14"/>
      <c r="AF21" s="14"/>
      <c r="AG21" s="14"/>
      <c r="AH21" s="14"/>
      <c r="AI21" s="14"/>
      <c r="AJ21" s="14"/>
    </row>
    <row r="22" spans="1:36">
      <c r="B22" s="1" t="s">
        <v>106</v>
      </c>
      <c r="E22" s="22">
        <f>SUM(E7:E21)*0.277777778</f>
        <v>20.003145227883543</v>
      </c>
      <c r="F22" s="22">
        <f>SUM(F7:F21)</f>
        <v>20.003145227883543</v>
      </c>
      <c r="G22" s="1" t="s">
        <v>107</v>
      </c>
      <c r="N22" s="15">
        <f>SUM(N6:N21)</f>
        <v>14.200632860179084</v>
      </c>
      <c r="O22" s="15">
        <f>SUM(O6:O21)</f>
        <v>249.87134342119833</v>
      </c>
      <c r="P22" s="14">
        <f t="shared" ref="P22:AJ22" si="1">SUM(P6:P21)</f>
        <v>1.6257956346866907E-2</v>
      </c>
      <c r="Q22" s="14">
        <f t="shared" si="1"/>
        <v>13.401907271229694</v>
      </c>
      <c r="R22" s="14">
        <f t="shared" si="1"/>
        <v>5.91893067293074</v>
      </c>
      <c r="S22" s="14">
        <f t="shared" si="1"/>
        <v>5.1028023476330918E-2</v>
      </c>
      <c r="T22" s="14">
        <f t="shared" si="1"/>
        <v>2.4901915494192226E-4</v>
      </c>
      <c r="U22" s="14">
        <f t="shared" si="1"/>
        <v>104.38641337171025</v>
      </c>
      <c r="V22" s="14">
        <f t="shared" si="1"/>
        <v>8.4473282297352209E-2</v>
      </c>
      <c r="W22" s="14">
        <f t="shared" si="1"/>
        <v>31.392936120640428</v>
      </c>
      <c r="X22" s="14">
        <f t="shared" si="1"/>
        <v>1.2296933528841406E-2</v>
      </c>
      <c r="Y22" s="14">
        <f t="shared" si="1"/>
        <v>5.9989432538422746E-2</v>
      </c>
      <c r="Z22" s="14">
        <f t="shared" si="1"/>
        <v>2.207347075896949E-3</v>
      </c>
      <c r="AA22" s="14">
        <f t="shared" si="1"/>
        <v>1.1860664931421269E-6</v>
      </c>
      <c r="AB22" s="14">
        <f t="shared" si="1"/>
        <v>1.4974754580498177E-2</v>
      </c>
      <c r="AC22" s="14">
        <f t="shared" si="1"/>
        <v>4.0278333230866305E-2</v>
      </c>
      <c r="AD22" s="14">
        <f t="shared" si="1"/>
        <v>5.8009121160862272E-2</v>
      </c>
      <c r="AE22" s="14">
        <f t="shared" si="1"/>
        <v>1.0382232467628396E-3</v>
      </c>
      <c r="AF22" s="14">
        <f t="shared" si="1"/>
        <v>6.4032068188978018E-3</v>
      </c>
      <c r="AG22" s="14">
        <f t="shared" si="1"/>
        <v>1.6039722032430695E-3</v>
      </c>
      <c r="AH22" s="14">
        <f t="shared" si="1"/>
        <v>0.39234169049970785</v>
      </c>
      <c r="AI22" s="14">
        <f t="shared" si="1"/>
        <v>1.2098302296728525</v>
      </c>
      <c r="AJ22" s="14">
        <f t="shared" si="1"/>
        <v>0.71253203616243976</v>
      </c>
    </row>
    <row r="23" spans="1:36">
      <c r="E23" s="22"/>
      <c r="F23" s="22"/>
    </row>
    <row r="24" spans="1:36">
      <c r="E24" s="22"/>
      <c r="F24" s="22"/>
    </row>
    <row r="25" spans="1:36">
      <c r="E25" s="22"/>
      <c r="F25" s="22"/>
    </row>
    <row r="26" spans="1:36">
      <c r="B26" s="2" t="s">
        <v>192</v>
      </c>
      <c r="C26" s="1">
        <f>230*0.6</f>
        <v>138</v>
      </c>
      <c r="D26" s="75">
        <f>10*60</f>
        <v>600</v>
      </c>
      <c r="E26" s="22">
        <f>C26*D26/1000000</f>
        <v>8.2799999999999999E-2</v>
      </c>
      <c r="F26" s="22">
        <f>E26*0.277777778</f>
        <v>2.3000000018399996E-2</v>
      </c>
      <c r="M26" s="2" t="s">
        <v>108</v>
      </c>
      <c r="N26" s="14">
        <f>N10/F14*F26</f>
        <v>1.6328160013062525E-2</v>
      </c>
      <c r="O26" s="14">
        <f>O10/F14*F26</f>
        <v>0.28730686288644547</v>
      </c>
    </row>
    <row r="30" spans="1:36">
      <c r="Q30" s="15">
        <f>SUM(O6:O14)</f>
        <v>249.87134342119833</v>
      </c>
    </row>
  </sheetData>
  <mergeCells count="3">
    <mergeCell ref="B4:E4"/>
    <mergeCell ref="P4:AG4"/>
    <mergeCell ref="AH4:AJ4"/>
  </mergeCells>
  <phoneticPr fontId="12" type="noConversion"/>
  <pageMargins left="0.69930555555555596" right="0.69930555555555596"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35"/>
  <sheetViews>
    <sheetView tabSelected="1" workbookViewId="0">
      <pane ySplit="2" topLeftCell="A6" activePane="bottomLeft" state="frozen"/>
      <selection pane="bottomLeft" activeCell="H34" sqref="H34"/>
    </sheetView>
  </sheetViews>
  <sheetFormatPr defaultColWidth="9" defaultRowHeight="15"/>
  <cols>
    <col min="1" max="1" width="26.140625" style="10" customWidth="1"/>
    <col min="2" max="3" width="16.5703125" customWidth="1"/>
    <col min="4" max="6" width="9.28515625" customWidth="1"/>
    <col min="7" max="8" width="17.42578125" customWidth="1"/>
    <col min="9" max="14" width="9.28515625" customWidth="1"/>
    <col min="15" max="15" width="11" customWidth="1"/>
    <col min="16" max="18" width="9.28515625" customWidth="1"/>
    <col min="19" max="19" width="15.28515625" customWidth="1"/>
    <col min="20" max="24" width="9.28515625" customWidth="1"/>
  </cols>
  <sheetData>
    <row r="1" spans="1:8">
      <c r="G1" s="143" t="s">
        <v>144</v>
      </c>
      <c r="H1" s="144"/>
    </row>
    <row r="2" spans="1:8">
      <c r="A2" s="34"/>
      <c r="B2" s="34" t="str">
        <f>'material inventory'!J13</f>
        <v>Carbon footprint</v>
      </c>
      <c r="C2" s="34" t="str">
        <f>'material inventory'!K13</f>
        <v>Primary energy consumption</v>
      </c>
      <c r="D2" s="34"/>
      <c r="E2" s="34"/>
      <c r="F2" s="34"/>
      <c r="G2" s="106" t="str">
        <f t="shared" ref="G2:G31" si="0">B2</f>
        <v>Carbon footprint</v>
      </c>
      <c r="H2" s="107" t="str">
        <f t="shared" ref="H2:H31" si="1">C2</f>
        <v>Primary energy consumption</v>
      </c>
    </row>
    <row r="3" spans="1:8">
      <c r="A3" s="33" t="str">
        <f>'material inventory'!I14</f>
        <v>FTO glass</v>
      </c>
      <c r="B3">
        <f>'material inventory'!J14</f>
        <v>0.34780676817599987</v>
      </c>
      <c r="C3">
        <f>'material inventory'!K14</f>
        <v>8.5029036949120105</v>
      </c>
      <c r="G3" s="108">
        <f t="shared" si="0"/>
        <v>0.34780676817599987</v>
      </c>
      <c r="H3" s="109">
        <f t="shared" si="1"/>
        <v>8.5029036949120105</v>
      </c>
    </row>
    <row r="4" spans="1:8">
      <c r="A4" s="33" t="str">
        <f>'material inventory'!I15</f>
        <v>Zinc powder</v>
      </c>
      <c r="B4">
        <f>'material inventory'!J15</f>
        <v>3.6278152999999992E-5</v>
      </c>
      <c r="C4">
        <f>'material inventory'!K15</f>
        <v>4.1800508549599992E-4</v>
      </c>
      <c r="G4" s="108">
        <f t="shared" si="0"/>
        <v>3.6278152999999992E-5</v>
      </c>
      <c r="H4" s="109">
        <f t="shared" si="1"/>
        <v>4.1800508549599992E-4</v>
      </c>
    </row>
    <row r="5" spans="1:8">
      <c r="A5" s="33" t="str">
        <f>'material inventory'!I16</f>
        <v>Dilute HCl</v>
      </c>
      <c r="B5">
        <f>'material inventory'!J16</f>
        <v>3.2090210384615382E-5</v>
      </c>
      <c r="C5">
        <f>'material inventory'!K16</f>
        <v>4.6518874375235582E-4</v>
      </c>
      <c r="G5" s="108">
        <f t="shared" si="0"/>
        <v>3.2090210384615382E-5</v>
      </c>
      <c r="H5" s="109">
        <f t="shared" si="1"/>
        <v>4.6518874375235582E-4</v>
      </c>
    </row>
    <row r="6" spans="1:8">
      <c r="A6" s="33" t="str">
        <f>'material inventory'!I17</f>
        <v>Ethanol</v>
      </c>
      <c r="B6">
        <f>'material inventory'!J17</f>
        <v>7.2135383999999978E-3</v>
      </c>
      <c r="C6">
        <f>'material inventory'!K17</f>
        <v>0.21431605553399993</v>
      </c>
      <c r="G6" s="108">
        <f t="shared" si="0"/>
        <v>7.2135383999999978E-3</v>
      </c>
      <c r="H6" s="109">
        <f t="shared" si="1"/>
        <v>0.21431605553399993</v>
      </c>
    </row>
    <row r="7" spans="1:8">
      <c r="A7" s="33" t="str">
        <f>'material inventory'!I18</f>
        <v>Deionized water</v>
      </c>
      <c r="B7">
        <f>'material inventory'!J18</f>
        <v>1.1383316399999998E-5</v>
      </c>
      <c r="C7">
        <f>'material inventory'!K18</f>
        <v>1.5662186060911998E-4</v>
      </c>
      <c r="G7" s="108">
        <f t="shared" si="0"/>
        <v>1.1383316399999998E-5</v>
      </c>
      <c r="H7" s="109">
        <f t="shared" si="1"/>
        <v>1.5662186060911998E-4</v>
      </c>
    </row>
    <row r="8" spans="1:8">
      <c r="A8" s="33" t="str">
        <f>'material inventory'!I19</f>
        <v>Acetone</v>
      </c>
      <c r="B8">
        <f>'material inventory'!J19</f>
        <v>3.4079009999999986E-2</v>
      </c>
      <c r="C8">
        <f>'material inventory'!K19</f>
        <v>0.99018946488503967</v>
      </c>
      <c r="G8" s="108">
        <f t="shared" si="0"/>
        <v>3.4079009999999986E-2</v>
      </c>
      <c r="H8" s="109">
        <f t="shared" si="1"/>
        <v>0.99018946488503967</v>
      </c>
    </row>
    <row r="9" spans="1:8">
      <c r="A9" s="33" t="str">
        <f>'material inventory'!I20</f>
        <v>BL-TiO₂ ink</v>
      </c>
      <c r="B9">
        <f>'material inventory'!J20</f>
        <v>2.6559624141444444E-3</v>
      </c>
      <c r="C9">
        <f>'material inventory'!K20</f>
        <v>7.1984448963916634E-2</v>
      </c>
      <c r="G9" s="108">
        <f t="shared" si="0"/>
        <v>2.6559624141444444E-3</v>
      </c>
      <c r="H9" s="109">
        <f t="shared" si="1"/>
        <v>7.1984448963916634E-2</v>
      </c>
    </row>
    <row r="10" spans="1:8">
      <c r="A10" s="33" t="str">
        <f>'material inventory'!I21</f>
        <v>La-doped BSO NPs</v>
      </c>
      <c r="B10">
        <f>'material inventory'!J21</f>
        <v>1.1164755298477922E-3</v>
      </c>
      <c r="C10">
        <f>'material inventory'!K21</f>
        <v>1.7988103397984439E-2</v>
      </c>
      <c r="G10" s="108">
        <f t="shared" si="0"/>
        <v>1.1164755298477922E-3</v>
      </c>
      <c r="H10" s="109">
        <f t="shared" si="1"/>
        <v>1.7988103397984439E-2</v>
      </c>
    </row>
    <row r="11" spans="1:8">
      <c r="A11" s="33" t="str">
        <f>'material inventory'!I22</f>
        <v>PbI₂</v>
      </c>
      <c r="B11">
        <f>'material inventory'!J22</f>
        <v>3.9586132131698096E-3</v>
      </c>
      <c r="C11">
        <f>'material inventory'!K22</f>
        <v>4.7072556356068052E-2</v>
      </c>
      <c r="G11" s="108">
        <f t="shared" si="0"/>
        <v>3.9586132131698096E-3</v>
      </c>
      <c r="H11" s="109">
        <f t="shared" si="1"/>
        <v>4.7072556356068052E-2</v>
      </c>
    </row>
    <row r="12" spans="1:8">
      <c r="A12" s="33" t="str">
        <f>'material inventory'!I23</f>
        <v>Dimethylformamide</v>
      </c>
      <c r="B12">
        <f>'material inventory'!J23</f>
        <v>5.0926724710400008E-3</v>
      </c>
      <c r="C12">
        <f>'material inventory'!K23</f>
        <v>0.13851702479781283</v>
      </c>
      <c r="G12" s="108">
        <f t="shared" si="0"/>
        <v>5.0926724710400008E-3</v>
      </c>
      <c r="H12" s="109">
        <f t="shared" si="1"/>
        <v>0.13851702479781283</v>
      </c>
    </row>
    <row r="13" spans="1:8">
      <c r="A13" s="33" t="str">
        <f>'material inventory'!I24</f>
        <v>CH₃NH₃I</v>
      </c>
      <c r="B13">
        <f>'material inventory'!J24</f>
        <v>4.8331611864973173E-2</v>
      </c>
      <c r="C13">
        <f>'material inventory'!K24</f>
        <v>1.0266332358578762</v>
      </c>
      <c r="G13" s="108">
        <f t="shared" si="0"/>
        <v>4.8331611864973173E-2</v>
      </c>
      <c r="H13" s="109">
        <f t="shared" si="1"/>
        <v>1.0266332358578762</v>
      </c>
    </row>
    <row r="14" spans="1:8">
      <c r="A14" s="33" t="str">
        <f>'material inventory'!I25</f>
        <v>Isopropanol</v>
      </c>
      <c r="B14">
        <f>'material inventory'!J25</f>
        <v>4.2817186702605578E-2</v>
      </c>
      <c r="C14">
        <f>'material inventory'!K25</f>
        <v>1.4153077578552065</v>
      </c>
      <c r="G14" s="108">
        <f t="shared" si="0"/>
        <v>4.2817186702605578E-2</v>
      </c>
      <c r="H14" s="109">
        <f t="shared" si="1"/>
        <v>1.4153077578552065</v>
      </c>
    </row>
    <row r="15" spans="1:8">
      <c r="A15" s="33" t="str">
        <f>'material inventory'!I26</f>
        <v>Toluene</v>
      </c>
      <c r="B15">
        <f>'material inventory'!J26</f>
        <v>1.3551209999999999E-3</v>
      </c>
      <c r="C15">
        <f>'material inventory'!K26</f>
        <v>5.4955341728023827E-2</v>
      </c>
      <c r="G15" s="108">
        <f t="shared" si="0"/>
        <v>1.3551209999999999E-3</v>
      </c>
      <c r="H15" s="109">
        <f t="shared" si="1"/>
        <v>5.4955341728023827E-2</v>
      </c>
    </row>
    <row r="16" spans="1:8">
      <c r="A16" s="33" t="str">
        <f>'material inventory'!I27</f>
        <v>PTAA solution</v>
      </c>
      <c r="B16">
        <f>'material inventory'!J27</f>
        <v>0.194226136277663</v>
      </c>
      <c r="C16">
        <f>'material inventory'!K27</f>
        <v>3.2878661442403283</v>
      </c>
      <c r="G16" s="108">
        <f t="shared" si="0"/>
        <v>0.194226136277663</v>
      </c>
      <c r="H16" s="109">
        <f t="shared" si="1"/>
        <v>3.2878661442403283</v>
      </c>
    </row>
    <row r="17" spans="1:8">
      <c r="A17" s="33" t="str">
        <f>'material inventory'!I28</f>
        <v>Cu</v>
      </c>
      <c r="B17">
        <f>'material inventory'!J28</f>
        <v>3.7954882559999999E-3</v>
      </c>
      <c r="C17">
        <f>'material inventory'!K28</f>
        <v>5.4579072598579199E-2</v>
      </c>
      <c r="G17" s="108">
        <f t="shared" si="0"/>
        <v>3.7954882559999999E-3</v>
      </c>
      <c r="H17" s="109">
        <f t="shared" si="1"/>
        <v>5.4579072598579199E-2</v>
      </c>
    </row>
    <row r="18" spans="1:8">
      <c r="A18" s="33" t="str">
        <f>'material inventory'!I29</f>
        <v>Ar</v>
      </c>
      <c r="B18">
        <f>'material inventory'!J29</f>
        <v>0.29058656969696967</v>
      </c>
      <c r="C18">
        <f>'material inventory'!K29</f>
        <v>4.3659558183030303</v>
      </c>
      <c r="G18" s="108">
        <f t="shared" si="0"/>
        <v>0.29058656969696967</v>
      </c>
      <c r="H18" s="109">
        <f t="shared" si="1"/>
        <v>4.3659558183030303</v>
      </c>
    </row>
    <row r="19" spans="1:8">
      <c r="A19" s="33" t="str">
        <f>'material inventory'!I30</f>
        <v>O₂</v>
      </c>
      <c r="B19">
        <f>'material inventory'!J30</f>
        <v>1.2806957575757575E-4</v>
      </c>
      <c r="C19">
        <f>'material inventory'!K30</f>
        <v>1.7448388645818179E-3</v>
      </c>
      <c r="G19" s="108">
        <f t="shared" si="0"/>
        <v>1.2806957575757575E-4</v>
      </c>
      <c r="H19" s="109">
        <f t="shared" si="1"/>
        <v>1.7448388645818179E-3</v>
      </c>
    </row>
    <row r="20" spans="1:8">
      <c r="A20" s="42" t="str">
        <f>'energy consumption'!B26</f>
        <v>UV/O₃ cleaning</v>
      </c>
      <c r="B20">
        <f>'energy consumption'!N26*'material inventory'!$B$2</f>
        <v>1.4695344011756272E-2</v>
      </c>
      <c r="C20">
        <f>'energy consumption'!O26*'material inventory'!$B$2</f>
        <v>0.25857617659780091</v>
      </c>
      <c r="G20" s="108">
        <f t="shared" ref="G20" si="2">B20</f>
        <v>1.4695344011756272E-2</v>
      </c>
      <c r="H20" s="109">
        <f t="shared" ref="H20" si="3">C20</f>
        <v>0.25857617659780091</v>
      </c>
    </row>
    <row r="21" spans="1:8">
      <c r="A21" s="42" t="str">
        <f>'energy consumption'!M6</f>
        <v>Sonication</v>
      </c>
      <c r="B21">
        <f>'energy consumption'!N6</f>
        <v>0.28396800022717433</v>
      </c>
      <c r="C21">
        <f>'energy consumption'!O6</f>
        <v>4.9966410936773125</v>
      </c>
      <c r="G21" s="108">
        <f t="shared" si="0"/>
        <v>0.28396800022717433</v>
      </c>
      <c r="H21" s="109">
        <f t="shared" si="1"/>
        <v>4.9966410936773125</v>
      </c>
    </row>
    <row r="22" spans="1:8">
      <c r="A22" s="42" t="str">
        <f>'energy consumption'!M7</f>
        <v>Spray pyrolysis</v>
      </c>
      <c r="B22">
        <f>'energy consumption'!N7</f>
        <v>4.7504002709876585E-5</v>
      </c>
      <c r="C22">
        <f>'energy consumption'!O7</f>
        <v>8.3587042154200275E-4</v>
      </c>
      <c r="G22" s="108">
        <f t="shared" si="0"/>
        <v>4.7504002709876585E-5</v>
      </c>
      <c r="H22" s="109">
        <f t="shared" si="1"/>
        <v>8.3587042154200275E-4</v>
      </c>
    </row>
    <row r="23" spans="1:8">
      <c r="A23" s="42" t="str">
        <f>'energy consumption'!M8</f>
        <v>ETL spin coating</v>
      </c>
      <c r="B23">
        <f>'energy consumption'!N8</f>
        <v>0.2283559410873062</v>
      </c>
      <c r="C23">
        <f>'energy consumption'!O8</f>
        <v>4.0181030197394767</v>
      </c>
      <c r="G23" s="108">
        <f t="shared" si="0"/>
        <v>0.2283559410873062</v>
      </c>
      <c r="H23" s="109">
        <f t="shared" si="1"/>
        <v>4.0181030197394767</v>
      </c>
    </row>
    <row r="24" spans="1:8">
      <c r="A24" s="42" t="str">
        <f>'energy consumption'!M9</f>
        <v>ETL calcining</v>
      </c>
      <c r="B24">
        <f>'energy consumption'!N9</f>
        <v>5.1114240040891374</v>
      </c>
      <c r="C24">
        <f>'energy consumption'!O9</f>
        <v>89.939539686191623</v>
      </c>
      <c r="G24" s="108">
        <f t="shared" si="0"/>
        <v>5.1114240040891374</v>
      </c>
      <c r="H24" s="109">
        <f t="shared" si="1"/>
        <v>89.939539686191623</v>
      </c>
    </row>
    <row r="25" spans="1:8">
      <c r="A25" s="42" t="str">
        <f>'energy consumption'!M10</f>
        <v>PL 1st-step spin coating</v>
      </c>
      <c r="B25">
        <f>'energy consumption'!N10</f>
        <v>8.4576274476780081E-2</v>
      </c>
      <c r="C25">
        <f>'energy consumption'!O10</f>
        <v>1.4881863036072136</v>
      </c>
      <c r="G25" s="108">
        <f t="shared" si="0"/>
        <v>8.4576274476780081E-2</v>
      </c>
      <c r="H25" s="109">
        <f t="shared" si="1"/>
        <v>1.4881863036072136</v>
      </c>
    </row>
    <row r="26" spans="1:8">
      <c r="A26" s="42" t="str">
        <f>'energy consumption'!M11</f>
        <v>PL 2nd-step spin coating</v>
      </c>
      <c r="B26">
        <f>'energy consumption'!N11</f>
        <v>4.2288137238390036</v>
      </c>
      <c r="C26">
        <f>'energy consumption'!O11</f>
        <v>74.409315180360679</v>
      </c>
      <c r="G26" s="108">
        <f t="shared" si="0"/>
        <v>4.2288137238390036</v>
      </c>
      <c r="H26" s="109">
        <f t="shared" si="1"/>
        <v>74.409315180360679</v>
      </c>
    </row>
    <row r="27" spans="1:8">
      <c r="A27" s="42" t="str">
        <f>'energy consumption'!M12</f>
        <v>PL Drying</v>
      </c>
      <c r="B27">
        <f>'energy consumption'!N12</f>
        <v>1.7038080013630463</v>
      </c>
      <c r="C27">
        <f>'energy consumption'!O12</f>
        <v>29.979846562063884</v>
      </c>
      <c r="G27" s="108">
        <f t="shared" si="0"/>
        <v>1.7038080013630463</v>
      </c>
      <c r="H27" s="109">
        <f t="shared" si="1"/>
        <v>29.979846562063884</v>
      </c>
    </row>
    <row r="28" spans="1:8">
      <c r="A28" s="42" t="str">
        <f>'energy consumption'!M13</f>
        <v>HTL spin coating</v>
      </c>
      <c r="B28">
        <f>'energy consumption'!N13</f>
        <v>2.2835594108730621</v>
      </c>
      <c r="C28">
        <f>'energy consumption'!O13</f>
        <v>40.181030197394769</v>
      </c>
      <c r="G28" s="108">
        <f t="shared" si="0"/>
        <v>2.2835594108730621</v>
      </c>
      <c r="H28" s="109">
        <f t="shared" si="1"/>
        <v>40.181030197394769</v>
      </c>
    </row>
    <row r="29" spans="1:8">
      <c r="A29" s="42" t="str">
        <f>'energy consumption'!M14</f>
        <v>Electrode sputtering</v>
      </c>
      <c r="B29">
        <f>'energy consumption'!N14</f>
        <v>0.27608000022086421</v>
      </c>
      <c r="C29">
        <f>'energy consumption'!O14</f>
        <v>4.8578455077418363</v>
      </c>
      <c r="G29" s="108">
        <f t="shared" si="0"/>
        <v>0.27608000022086421</v>
      </c>
      <c r="H29" s="109">
        <f t="shared" si="1"/>
        <v>4.8578455077418363</v>
      </c>
    </row>
    <row r="30" spans="1:8">
      <c r="A30" s="73" t="str">
        <f>'material inventory'!I31</f>
        <v>Direct emissions</v>
      </c>
      <c r="B30">
        <f>'material inventory'!J31</f>
        <v>0</v>
      </c>
      <c r="C30">
        <f>'material inventory'!K31</f>
        <v>0</v>
      </c>
      <c r="G30" s="108">
        <f t="shared" si="0"/>
        <v>0</v>
      </c>
      <c r="H30" s="109">
        <f t="shared" si="1"/>
        <v>0</v>
      </c>
    </row>
    <row r="31" spans="1:8">
      <c r="A31" s="73" t="s">
        <v>86</v>
      </c>
      <c r="B31">
        <f>'material inventory'!J62</f>
        <v>6.5339114634350737E-5</v>
      </c>
      <c r="C31">
        <f>'material inventory'!K62</f>
        <v>5.4601869797269277E-4</v>
      </c>
      <c r="G31" s="108">
        <f t="shared" si="0"/>
        <v>6.5339114634350737E-5</v>
      </c>
      <c r="H31" s="109">
        <f t="shared" si="1"/>
        <v>5.4601869797269277E-4</v>
      </c>
    </row>
    <row r="32" spans="1:8">
      <c r="A32" s="73" t="s">
        <v>145</v>
      </c>
      <c r="B32">
        <f>'material inventory'!$F$62*[1]production!$D$103</f>
        <v>2.7367990769216807E-3</v>
      </c>
      <c r="C32">
        <f>'material inventory'!$F$62*[1]production!M103</f>
        <v>8.7591324971357271E-2</v>
      </c>
      <c r="G32" s="108">
        <f>'[8]FTO with TiO2-old'!$Q$28</f>
        <v>6.2954943647999988</v>
      </c>
      <c r="H32" s="109">
        <f>'[8]FTO with TiO2-old'!$R$28</f>
        <v>102.3232979508053</v>
      </c>
    </row>
    <row r="33" spans="1:24">
      <c r="A33" s="32"/>
      <c r="B33" s="32">
        <f>SUM(B3:B31)</f>
        <v>15.198636518563431</v>
      </c>
      <c r="C33" s="32">
        <f>SUM(C3:C31)</f>
        <v>270.32151899047841</v>
      </c>
      <c r="D33" s="32"/>
      <c r="E33" s="32"/>
      <c r="F33" s="32"/>
      <c r="G33" s="110">
        <f>SUM(G3:G31)</f>
        <v>15.198636518563431</v>
      </c>
      <c r="H33" s="111">
        <f>SUM(H3:H31)</f>
        <v>270.32151899047841</v>
      </c>
    </row>
    <row r="34" spans="1:24" ht="15.75" thickBot="1">
      <c r="A34" s="33" t="s">
        <v>146</v>
      </c>
      <c r="B34" s="33">
        <f>SUM(B32:B33)</f>
        <v>15.201373317640353</v>
      </c>
      <c r="C34" s="33">
        <f t="shared" ref="C34" si="4">SUM(C32:C33)</f>
        <v>270.40911031544977</v>
      </c>
      <c r="D34" s="33"/>
      <c r="E34" s="33"/>
      <c r="F34" s="33"/>
      <c r="G34" s="112">
        <f>SUM(G32:G33)</f>
        <v>21.494130883363429</v>
      </c>
      <c r="H34" s="113">
        <f>SUM(H32:H33)</f>
        <v>372.64481694128369</v>
      </c>
      <c r="I34" s="11"/>
      <c r="J34" s="11"/>
      <c r="K34" s="11"/>
      <c r="L34" s="11"/>
      <c r="M34" s="11"/>
      <c r="N34" s="11"/>
      <c r="O34" s="11"/>
      <c r="P34" s="11"/>
      <c r="Q34" s="11"/>
      <c r="R34" s="11"/>
      <c r="S34" s="11"/>
      <c r="T34" s="11"/>
      <c r="U34" s="11"/>
      <c r="V34" s="11"/>
      <c r="W34" s="11"/>
      <c r="X34" s="11"/>
    </row>
    <row r="35" spans="1:24">
      <c r="B35" s="11"/>
      <c r="C35" s="11"/>
      <c r="D35" s="11"/>
      <c r="E35" s="11"/>
      <c r="F35" s="11"/>
      <c r="G35" s="11"/>
      <c r="H35" s="11"/>
    </row>
  </sheetData>
  <mergeCells count="1">
    <mergeCell ref="G1:H1"/>
  </mergeCells>
  <phoneticPr fontId="12" type="noConversion"/>
  <pageMargins left="0.69930555555555596" right="0.69930555555555596"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31"/>
  <sheetViews>
    <sheetView workbookViewId="0"/>
  </sheetViews>
  <sheetFormatPr defaultColWidth="9" defaultRowHeight="15"/>
  <cols>
    <col min="1" max="2" width="36.7109375" customWidth="1"/>
  </cols>
  <sheetData>
    <row r="1" spans="1:16">
      <c r="A1" s="10" t="s">
        <v>109</v>
      </c>
    </row>
    <row r="2" spans="1:16">
      <c r="P2">
        <f ca="1">_xll.CB.RecalcCounterFN()</f>
        <v>0</v>
      </c>
    </row>
    <row r="3" spans="1:16">
      <c r="A3" t="s">
        <v>110</v>
      </c>
      <c r="B3" t="s">
        <v>111</v>
      </c>
      <c r="C3">
        <v>0</v>
      </c>
    </row>
    <row r="4" spans="1:16">
      <c r="A4" t="s">
        <v>112</v>
      </c>
    </row>
    <row r="5" spans="1:16">
      <c r="A5" t="s">
        <v>113</v>
      </c>
    </row>
    <row r="7" spans="1:16">
      <c r="A7" s="10" t="s">
        <v>114</v>
      </c>
      <c r="B7" t="s">
        <v>115</v>
      </c>
    </row>
    <row r="8" spans="1:16">
      <c r="B8">
        <v>2</v>
      </c>
    </row>
    <row r="10" spans="1:16">
      <c r="A10" t="s">
        <v>116</v>
      </c>
    </row>
    <row r="11" spans="1:16">
      <c r="A11" t="e">
        <f>CB_DATA_!#REF!</f>
        <v>#REF!</v>
      </c>
      <c r="B11" t="e">
        <f>Uncertainty!#REF!</f>
        <v>#REF!</v>
      </c>
    </row>
    <row r="13" spans="1:16">
      <c r="A13" t="s">
        <v>117</v>
      </c>
    </row>
    <row r="14" spans="1:16">
      <c r="A14" t="s">
        <v>118</v>
      </c>
      <c r="B14" t="s">
        <v>119</v>
      </c>
    </row>
    <row r="16" spans="1:16">
      <c r="A16" t="s">
        <v>120</v>
      </c>
    </row>
    <row r="19" spans="1:2">
      <c r="A19" t="s">
        <v>121</v>
      </c>
    </row>
    <row r="20" spans="1:2">
      <c r="A20">
        <v>31</v>
      </c>
      <c r="B20">
        <v>31</v>
      </c>
    </row>
    <row r="25" spans="1:2">
      <c r="A25" s="10" t="s">
        <v>122</v>
      </c>
    </row>
    <row r="26" spans="1:2">
      <c r="A26" s="19" t="s">
        <v>123</v>
      </c>
      <c r="B26" s="19" t="s">
        <v>124</v>
      </c>
    </row>
    <row r="27" spans="1:2">
      <c r="A27" t="s">
        <v>125</v>
      </c>
      <c r="B27" t="s">
        <v>194</v>
      </c>
    </row>
    <row r="28" spans="1:2">
      <c r="A28" s="19" t="s">
        <v>126</v>
      </c>
      <c r="B28" s="19" t="s">
        <v>126</v>
      </c>
    </row>
    <row r="29" spans="1:2">
      <c r="A29" s="19" t="s">
        <v>124</v>
      </c>
      <c r="B29" s="19" t="s">
        <v>123</v>
      </c>
    </row>
    <row r="30" spans="1:2">
      <c r="A30" t="s">
        <v>193</v>
      </c>
      <c r="B30" t="s">
        <v>127</v>
      </c>
    </row>
    <row r="31" spans="1:2">
      <c r="A31" s="19" t="s">
        <v>126</v>
      </c>
      <c r="B31" s="19" t="s">
        <v>126</v>
      </c>
    </row>
  </sheetData>
  <phoneticPr fontId="12" type="noConversion"/>
  <pageMargins left="0.69930555555555596" right="0.69930555555555596"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59"/>
  <sheetViews>
    <sheetView zoomScale="115" zoomScaleNormal="115" workbookViewId="0">
      <selection activeCell="C8" sqref="C8"/>
    </sheetView>
  </sheetViews>
  <sheetFormatPr defaultColWidth="9" defaultRowHeight="15"/>
  <cols>
    <col min="1" max="1" width="27.140625" customWidth="1"/>
    <col min="2" max="2" width="27.42578125" customWidth="1"/>
    <col min="9" max="9" width="30.42578125" customWidth="1"/>
    <col min="11" max="11" width="30.42578125" customWidth="1"/>
    <col min="12" max="12" width="19.5703125" customWidth="1"/>
  </cols>
  <sheetData>
    <row r="1" spans="1:12">
      <c r="A1" t="s">
        <v>128</v>
      </c>
      <c r="B1" t="s">
        <v>129</v>
      </c>
      <c r="C1" t="s">
        <v>130</v>
      </c>
      <c r="F1" s="9">
        <f>21.2%*0.8</f>
        <v>0.1696</v>
      </c>
      <c r="H1" s="27"/>
      <c r="K1" s="145"/>
      <c r="L1" s="146"/>
    </row>
    <row r="2" spans="1:12">
      <c r="A2" t="s">
        <v>131</v>
      </c>
      <c r="B2" t="s">
        <v>132</v>
      </c>
      <c r="C2" s="4">
        <v>1700</v>
      </c>
      <c r="E2">
        <v>58.9</v>
      </c>
    </row>
    <row r="3" spans="1:12">
      <c r="A3" t="s">
        <v>134</v>
      </c>
      <c r="B3" t="s">
        <v>33</v>
      </c>
      <c r="C3" s="5">
        <v>0.75</v>
      </c>
      <c r="E3">
        <v>1.23</v>
      </c>
    </row>
    <row r="4" spans="1:12">
      <c r="A4" t="s">
        <v>136</v>
      </c>
      <c r="B4" t="s">
        <v>33</v>
      </c>
      <c r="C4" s="6">
        <v>0.1696</v>
      </c>
      <c r="E4">
        <v>1.05</v>
      </c>
    </row>
    <row r="5" spans="1:12">
      <c r="A5" t="s">
        <v>137</v>
      </c>
      <c r="B5" t="s">
        <v>138</v>
      </c>
      <c r="C5" s="7">
        <v>12.49</v>
      </c>
    </row>
    <row r="6" spans="1:12">
      <c r="A6" t="s">
        <v>139</v>
      </c>
      <c r="B6" t="s">
        <v>140</v>
      </c>
      <c r="C6" s="4">
        <v>5</v>
      </c>
      <c r="E6">
        <v>1.1499999999999999</v>
      </c>
    </row>
    <row r="7" spans="1:12">
      <c r="A7" t="s">
        <v>141</v>
      </c>
      <c r="B7" t="s">
        <v>142</v>
      </c>
      <c r="C7" s="20">
        <v>372.64481694128369</v>
      </c>
      <c r="E7">
        <v>1.1100000000000001</v>
      </c>
    </row>
    <row r="8" spans="1:12">
      <c r="A8" t="s">
        <v>143</v>
      </c>
      <c r="C8" s="20">
        <v>21.494130883363429</v>
      </c>
      <c r="E8">
        <v>1.1100000000000001</v>
      </c>
    </row>
    <row r="9" spans="1:12">
      <c r="B9" t="s">
        <v>133</v>
      </c>
      <c r="C9" s="8">
        <f>C7/C5/C2/C4/C3</f>
        <v>0.13797379632943635</v>
      </c>
    </row>
    <row r="10" spans="1:12">
      <c r="B10" t="s">
        <v>135</v>
      </c>
      <c r="C10" s="8">
        <f>C8*1000/C2/C3/C4/C6</f>
        <v>19.87988427984039</v>
      </c>
      <c r="J10" s="23"/>
      <c r="L10" s="23"/>
    </row>
    <row r="11" spans="1:12">
      <c r="J11" s="23"/>
      <c r="L11" s="23"/>
    </row>
    <row r="12" spans="1:12">
      <c r="J12" s="9"/>
      <c r="L12" s="9"/>
    </row>
    <row r="13" spans="1:12">
      <c r="A13">
        <f>results!G34</f>
        <v>21.494130883363429</v>
      </c>
      <c r="B13">
        <f>results!H34</f>
        <v>372.64481694128369</v>
      </c>
      <c r="J13" s="9"/>
      <c r="L13" s="9"/>
    </row>
    <row r="14" spans="1:12">
      <c r="L14" s="9"/>
    </row>
    <row r="18" spans="1:3">
      <c r="C18" s="15"/>
    </row>
    <row r="19" spans="1:3">
      <c r="C19" s="15"/>
    </row>
    <row r="29" spans="1:3">
      <c r="A29" s="27"/>
    </row>
    <row r="42" spans="1:1">
      <c r="A42" s="35"/>
    </row>
    <row r="56" spans="1:2">
      <c r="A56" s="27"/>
    </row>
    <row r="59" spans="1:2">
      <c r="B59" s="24"/>
    </row>
  </sheetData>
  <mergeCells count="1">
    <mergeCell ref="K1:L1"/>
  </mergeCells>
  <phoneticPr fontId="12" type="noConversion"/>
  <pageMargins left="0.69930555555555596" right="0.69930555555555596"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material inventory</vt:lpstr>
      <vt:lpstr>SA</vt:lpstr>
      <vt:lpstr>energy consumption</vt:lpstr>
      <vt:lpstr>results</vt:lpstr>
      <vt:lpstr>Uncertainty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dc:creator>
  <cp:lastModifiedBy>Alvin</cp:lastModifiedBy>
  <dcterms:created xsi:type="dcterms:W3CDTF">2015-06-05T18:17:00Z</dcterms:created>
  <dcterms:modified xsi:type="dcterms:W3CDTF">2020-01-05T00:14:57Z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