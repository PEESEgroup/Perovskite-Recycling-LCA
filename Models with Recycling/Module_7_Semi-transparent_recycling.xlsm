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filterPrivacy="1" codeName="ThisWorkbook"/>
  <xr:revisionPtr revIDLastSave="0" documentId="13_ncr:1_{1D4FE55A-A432-46F3-89AA-ECC16C1172FB}" xr6:coauthVersionLast="45" xr6:coauthVersionMax="45" xr10:uidLastSave="{00000000-0000-0000-0000-000000000000}"/>
  <bookViews>
    <workbookView xWindow="-120" yWindow="-120" windowWidth="29040" windowHeight="15840" xr2:uid="{00000000-000D-0000-FFFF-FFFF00000000}"/>
  </bookViews>
  <sheets>
    <sheet name="mateiral inventory" sheetId="1" r:id="rId1"/>
    <sheet name="SA" sheetId="6" r:id="rId2"/>
    <sheet name="energy inventory" sheetId="2" r:id="rId3"/>
    <sheet name="Results" sheetId="3" r:id="rId4"/>
    <sheet name="CB_DATA_" sheetId="5" state="veryHidden" r:id="rId5"/>
    <sheet name="uncertainty" sheetId="4" r:id="rId6"/>
  </sheets>
  <externalReferences>
    <externalReference r:id="rId7"/>
    <externalReference r:id="rId8"/>
    <externalReference r:id="rId9"/>
  </externalReferences>
  <definedNames>
    <definedName name="CB_1498f0c570aa47528611da8ae9c5412b" localSheetId="5" hidden="1">uncertainty!$C$4</definedName>
    <definedName name="CB_1adb21ab6e604eb094b6510f143468d3" localSheetId="5" hidden="1">uncertainty!$C$8</definedName>
    <definedName name="CB_3c4ad79b438640dabf6fb79091cbe167" localSheetId="4" hidden="1">#N/A</definedName>
    <definedName name="CB_5369fa9e403e48419f668e5893ad42f6" localSheetId="5" hidden="1">uncertainty!$C$6</definedName>
    <definedName name="CB_828bc82cdb764be08385f2fb07286589" localSheetId="4" hidden="1">#N/A</definedName>
    <definedName name="CB_Block_00000000000000000000000000000000" localSheetId="4" hidden="1">"'7.0.0.0"</definedName>
    <definedName name="CB_Block_00000000000000000000000000000000" localSheetId="5" hidden="1">"'7.0.0.0"</definedName>
    <definedName name="CB_Block_00000000000000000000000000000001" localSheetId="4" hidden="1">"'637136716717262164"</definedName>
    <definedName name="CB_Block_00000000000000000000000000000001" localSheetId="5" hidden="1">"'637136716717481292"</definedName>
    <definedName name="CB_Block_00000000000000000000000000000003" localSheetId="4" hidden="1">"'11.1.4716.0"</definedName>
    <definedName name="CB_Block_00000000000000000000000000000003" localSheetId="5" hidden="1">"'11.1.4716.0"</definedName>
    <definedName name="CB_BlockExt_00000000000000000000000000000003" localSheetId="4" hidden="1">"'11.1.2.4.850"</definedName>
    <definedName name="CB_BlockExt_00000000000000000000000000000003" localSheetId="5" hidden="1">"'11.1.2.4.850"</definedName>
    <definedName name="CB_c4afc9c94b8e42eca433de7fe90a6f77" localSheetId="5" hidden="1">uncertainty!$C$2</definedName>
    <definedName name="CB_cdcb296dd0c14006b68d29a966c8db49" localSheetId="5" hidden="1">uncertainty!$C$9</definedName>
    <definedName name="CB_d2b9a80ebb484da3941a8a423688dc42" localSheetId="5" hidden="1">uncertainty!$C$10</definedName>
    <definedName name="CB_e67efa37378c453193a6bd51da50b942" localSheetId="5" hidden="1">uncertainty!$C$7</definedName>
    <definedName name="CB_fcc81876c204460ab8cf8d0e2ef8e5b6" localSheetId="5" hidden="1">uncertainty!$C$3</definedName>
    <definedName name="CBCR_257c931ea5024a4c82b2d4404bdd31e3" localSheetId="5" hidden="1">uncertainty!$E$4</definedName>
    <definedName name="CBCR_2ca147aa25e0472ca42061c28bce5789" localSheetId="5" hidden="1">uncertainty!$E$2</definedName>
    <definedName name="CBCR_44150d60330c4bfca684cdc56bb3b541" localSheetId="5" hidden="1">uncertainty!$C$3</definedName>
    <definedName name="CBCR_472f607942974ab7a04eb65cbbf1b2ae" localSheetId="5" hidden="1">uncertainty!$E$7</definedName>
    <definedName name="CBCR_4d16fb822560492e82a4d5aa38b7d063" localSheetId="5" hidden="1">uncertainty!$E$3</definedName>
    <definedName name="CBCR_803a714d9bf2495da45c2351fdee383f" localSheetId="5" hidden="1">uncertainty!$C$7</definedName>
    <definedName name="CBCR_91fee408fcbc41ac81c82103a87336d3" localSheetId="5" hidden="1">uncertainty!$C$2</definedName>
    <definedName name="CBCR_9693578c01fc42038a316e4652d53452" localSheetId="5" hidden="1">uncertainty!$E$8</definedName>
    <definedName name="CBCR_9a2c9149b3564ae197df0f3684d4ae76" localSheetId="5" hidden="1">uncertainty!$C$4</definedName>
    <definedName name="CBCR_b158331be314495f8700de3cd241a579" localSheetId="5" hidden="1">uncertainty!$E$6</definedName>
    <definedName name="CBCR_c4d0c305e77e489b859b0ba4d146d04a" localSheetId="5" hidden="1">uncertainty!$C$8</definedName>
    <definedName name="CBCR_dbd67b95f9754175ad86bc70ecc5aee8" localSheetId="5" hidden="1">uncertainty!$C$6</definedName>
    <definedName name="CBWorkbookPriority" localSheetId="4" hidden="1">-1589539535218880</definedName>
    <definedName name="CBx_2a9da58c3e844b8288bcce61b3365a2e" localSheetId="4" hidden="1">"'CB_DATA_'!$A$1"</definedName>
    <definedName name="CBx_7ec3dce2f7e94a96a3913a0369f7e605" localSheetId="4" hidden="1">"'uncertainty'!$A$1"</definedName>
    <definedName name="CBx_Sheet_Guid" localSheetId="4" hidden="1">"'2a9da58c-3e84-4b82-88bc-ce61b3365a2e"</definedName>
    <definedName name="CBx_Sheet_Guid" localSheetId="5" hidden="1">"'7ec3dce2-f7e9-4a96-a391-3a0369f7e605"</definedName>
    <definedName name="CBx_SheetRef" localSheetId="4" hidden="1">CB_DATA_!$A$14</definedName>
    <definedName name="CBx_SheetRef" localSheetId="5" hidden="1">CB_DATA_!$B$14</definedName>
    <definedName name="CBx_StorageType" localSheetId="4" hidden="1">2</definedName>
    <definedName name="CBx_StorageType" localSheetId="5"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 i="4" l="1"/>
  <c r="P2" i="5"/>
  <c r="B22" i="6" l="1"/>
  <c r="B21" i="6"/>
  <c r="B20" i="6"/>
  <c r="B19" i="6"/>
  <c r="B18" i="6"/>
  <c r="B24" i="6"/>
  <c r="F22" i="6"/>
  <c r="F21" i="6"/>
  <c r="F20" i="6"/>
  <c r="F19" i="6"/>
  <c r="F18" i="6"/>
  <c r="F24" i="6"/>
  <c r="H22" i="6"/>
  <c r="H21" i="6"/>
  <c r="H20" i="6"/>
  <c r="H19" i="6"/>
  <c r="H18" i="6"/>
  <c r="H23" i="6"/>
  <c r="H17" i="6"/>
  <c r="H24" i="6"/>
  <c r="H11" i="6"/>
  <c r="H10" i="6"/>
  <c r="H9" i="6"/>
  <c r="H8" i="6"/>
  <c r="H7" i="6"/>
  <c r="H12" i="6"/>
  <c r="H6" i="6"/>
  <c r="H13" i="6"/>
  <c r="F11" i="6" l="1"/>
  <c r="F10" i="6"/>
  <c r="F9" i="6"/>
  <c r="F8" i="6"/>
  <c r="F7" i="6"/>
  <c r="B11" i="6"/>
  <c r="B10" i="6"/>
  <c r="B9" i="6"/>
  <c r="B8" i="6"/>
  <c r="B7" i="6"/>
  <c r="F13" i="6"/>
  <c r="B13" i="6"/>
  <c r="G25" i="3" l="1"/>
  <c r="H25" i="3"/>
  <c r="H1" i="3"/>
  <c r="G1" i="3"/>
  <c r="F30" i="1"/>
  <c r="H30" i="1"/>
  <c r="F42" i="1" s="1"/>
  <c r="F13" i="1"/>
  <c r="O13" i="1" s="1"/>
  <c r="X13" i="1" l="1"/>
  <c r="W13" i="1"/>
  <c r="V13" i="1"/>
  <c r="N13" i="1"/>
  <c r="AI13" i="1"/>
  <c r="AA13" i="1"/>
  <c r="S13" i="1"/>
  <c r="M13" i="1"/>
  <c r="U13" i="1"/>
  <c r="AB13" i="1"/>
  <c r="AH13" i="1"/>
  <c r="Z13" i="1"/>
  <c r="R13" i="1"/>
  <c r="AF13" i="1"/>
  <c r="AE13" i="1"/>
  <c r="AD13" i="1"/>
  <c r="AC13" i="1"/>
  <c r="T13" i="1"/>
  <c r="AG13" i="1"/>
  <c r="Y13" i="1"/>
  <c r="Q13" i="1"/>
  <c r="P13" i="1"/>
  <c r="C9" i="2"/>
  <c r="E9" i="2" s="1"/>
  <c r="D9" i="2"/>
  <c r="A17" i="3"/>
  <c r="A9" i="3"/>
  <c r="F9" i="2" l="1"/>
  <c r="Y7" i="2" s="1"/>
  <c r="K7" i="2" l="1"/>
  <c r="C17" i="3" s="1"/>
  <c r="H17" i="3" s="1"/>
  <c r="Z7" i="2"/>
  <c r="F24" i="1"/>
  <c r="U20" i="1" s="1"/>
  <c r="U7" i="2"/>
  <c r="AE7" i="2"/>
  <c r="M7" i="2"/>
  <c r="J7" i="2"/>
  <c r="B17" i="3" s="1"/>
  <c r="G17" i="3" s="1"/>
  <c r="L7" i="2"/>
  <c r="AA7" i="2"/>
  <c r="W7" i="2"/>
  <c r="N7" i="2"/>
  <c r="X7" i="2"/>
  <c r="V7" i="2"/>
  <c r="AB7" i="2"/>
  <c r="Q7" i="2"/>
  <c r="AC7" i="2"/>
  <c r="S7" i="2"/>
  <c r="P7" i="2"/>
  <c r="T7" i="2"/>
  <c r="AF7" i="2"/>
  <c r="AD7" i="2"/>
  <c r="R7" i="2"/>
  <c r="O7" i="2"/>
  <c r="N20" i="1" l="1"/>
  <c r="C9" i="3" s="1"/>
  <c r="H9" i="3" s="1"/>
  <c r="AH20" i="1"/>
  <c r="AF20" i="1"/>
  <c r="S20" i="1"/>
  <c r="R20" i="1"/>
  <c r="AB20" i="1"/>
  <c r="O20" i="1"/>
  <c r="P20" i="1"/>
  <c r="AE20" i="1"/>
  <c r="T20" i="1"/>
  <c r="Y20" i="1"/>
  <c r="F45" i="1"/>
  <c r="AI20" i="1"/>
  <c r="Z20" i="1"/>
  <c r="AD20" i="1"/>
  <c r="AC20" i="1"/>
  <c r="W20" i="1"/>
  <c r="X20" i="1"/>
  <c r="AA20" i="1"/>
  <c r="M20" i="1"/>
  <c r="B9" i="3" s="1"/>
  <c r="G9" i="3" s="1"/>
  <c r="V20" i="1"/>
  <c r="AG20" i="1"/>
  <c r="Q20" i="1"/>
  <c r="A3" i="3" l="1"/>
  <c r="A4" i="3"/>
  <c r="A5" i="3"/>
  <c r="A6" i="3"/>
  <c r="A7" i="3"/>
  <c r="A8" i="3"/>
  <c r="A10" i="3"/>
  <c r="A11" i="3"/>
  <c r="A12" i="3"/>
  <c r="A13" i="3"/>
  <c r="A14" i="3"/>
  <c r="A11" i="5" l="1"/>
  <c r="B11" i="5"/>
  <c r="C15" i="2" l="1"/>
  <c r="E15" i="2" s="1"/>
  <c r="C14" i="2"/>
  <c r="C11" i="2"/>
  <c r="E11" i="2" s="1"/>
  <c r="C10" i="2"/>
  <c r="E10" i="2" s="1"/>
  <c r="C12" i="2"/>
  <c r="C10" i="4" l="1"/>
  <c r="C9" i="4"/>
  <c r="E12" i="2" l="1"/>
  <c r="C7" i="2"/>
  <c r="C17" i="2"/>
  <c r="D17" i="2"/>
  <c r="F31" i="1" s="1"/>
  <c r="F32" i="1" s="1"/>
  <c r="E17" i="2" l="1"/>
  <c r="D7" i="2"/>
  <c r="E7" i="2" s="1"/>
  <c r="F15" i="1"/>
  <c r="O14" i="1" l="1"/>
  <c r="W14" i="1"/>
  <c r="AE14" i="1"/>
  <c r="Y14" i="1"/>
  <c r="M14" i="1"/>
  <c r="P14" i="1"/>
  <c r="X14" i="1"/>
  <c r="AF14" i="1"/>
  <c r="AG14" i="1"/>
  <c r="AD14" i="1"/>
  <c r="F34" i="1"/>
  <c r="Q14" i="1"/>
  <c r="R14" i="1"/>
  <c r="Z14" i="1"/>
  <c r="AH14" i="1"/>
  <c r="AB14" i="1"/>
  <c r="AC14" i="1"/>
  <c r="V14" i="1"/>
  <c r="S14" i="1"/>
  <c r="AA14" i="1"/>
  <c r="AI14" i="1"/>
  <c r="T14" i="1"/>
  <c r="N14" i="1"/>
  <c r="U14" i="1"/>
  <c r="H17" i="1"/>
  <c r="F17" i="1" s="1"/>
  <c r="F16" i="1"/>
  <c r="A15" i="3"/>
  <c r="A16" i="3"/>
  <c r="A18" i="3"/>
  <c r="A19" i="3"/>
  <c r="A20" i="3"/>
  <c r="A21" i="3"/>
  <c r="A22" i="3"/>
  <c r="A23" i="3"/>
  <c r="A2" i="3"/>
  <c r="A24" i="3"/>
  <c r="B3" i="3" l="1"/>
  <c r="G3" i="3" s="1"/>
  <c r="C3" i="3"/>
  <c r="H3" i="3" s="1"/>
  <c r="Q24" i="1"/>
  <c r="Y24" i="1"/>
  <c r="AG24" i="1"/>
  <c r="AA24" i="1"/>
  <c r="AE24" i="1"/>
  <c r="AF24" i="1"/>
  <c r="R24" i="1"/>
  <c r="Z24" i="1"/>
  <c r="AH24" i="1"/>
  <c r="S24" i="1"/>
  <c r="AI24" i="1"/>
  <c r="W24" i="1"/>
  <c r="T24" i="1"/>
  <c r="AB24" i="1"/>
  <c r="N24" i="1"/>
  <c r="V24" i="1"/>
  <c r="O24" i="1"/>
  <c r="P24" i="1"/>
  <c r="U24" i="1"/>
  <c r="AC24" i="1"/>
  <c r="M24" i="1"/>
  <c r="AD24" i="1"/>
  <c r="X24" i="1"/>
  <c r="P25" i="1"/>
  <c r="X25" i="1"/>
  <c r="AF25" i="1"/>
  <c r="R25" i="1"/>
  <c r="AH25" i="1"/>
  <c r="W25" i="1"/>
  <c r="Q25" i="1"/>
  <c r="Y25" i="1"/>
  <c r="AG25" i="1"/>
  <c r="Z25" i="1"/>
  <c r="V25" i="1"/>
  <c r="AE25" i="1"/>
  <c r="S25" i="1"/>
  <c r="AA25" i="1"/>
  <c r="AI25" i="1"/>
  <c r="U25" i="1"/>
  <c r="AC25" i="1"/>
  <c r="T25" i="1"/>
  <c r="AB25" i="1"/>
  <c r="N25" i="1"/>
  <c r="M25" i="1"/>
  <c r="AD25" i="1"/>
  <c r="O25" i="1"/>
  <c r="F44" i="1"/>
  <c r="F43" i="1"/>
  <c r="C13" i="3" l="1"/>
  <c r="H13" i="3" s="1"/>
  <c r="B13" i="3"/>
  <c r="G13" i="3" s="1"/>
  <c r="C14" i="3"/>
  <c r="H14" i="3" s="1"/>
  <c r="B14" i="3"/>
  <c r="G14" i="3" s="1"/>
  <c r="C2" i="3"/>
  <c r="H2" i="3" s="1"/>
  <c r="B2" i="3"/>
  <c r="G2" i="3" s="1"/>
  <c r="F12" i="2" l="1"/>
  <c r="E14" i="2"/>
  <c r="F14" i="2" s="1"/>
  <c r="F15" i="2"/>
  <c r="F11" i="2"/>
  <c r="D5" i="2"/>
  <c r="C5" i="2"/>
  <c r="E5" i="2" s="1"/>
  <c r="F5" i="2" s="1"/>
  <c r="L5" i="2" l="1"/>
  <c r="T5" i="2"/>
  <c r="AB5" i="2"/>
  <c r="U5" i="2"/>
  <c r="AC5" i="2"/>
  <c r="N5" i="2"/>
  <c r="V5" i="2"/>
  <c r="AD5" i="2"/>
  <c r="W5" i="2"/>
  <c r="AE5" i="2"/>
  <c r="P5" i="2"/>
  <c r="J5" i="2"/>
  <c r="S5" i="2"/>
  <c r="M5" i="2"/>
  <c r="O5" i="2"/>
  <c r="X5" i="2"/>
  <c r="AF5" i="2"/>
  <c r="K5" i="2"/>
  <c r="Q5" i="2"/>
  <c r="R5" i="2"/>
  <c r="AA5" i="2"/>
  <c r="Y5" i="2"/>
  <c r="Z5" i="2"/>
  <c r="F10" i="2"/>
  <c r="O8" i="2" s="1"/>
  <c r="O12" i="2"/>
  <c r="W12" i="2"/>
  <c r="AE12" i="2"/>
  <c r="J12" i="2"/>
  <c r="AB12" i="2"/>
  <c r="AC12" i="2"/>
  <c r="V12" i="2"/>
  <c r="P12" i="2"/>
  <c r="X12" i="2"/>
  <c r="AF12" i="2"/>
  <c r="K12" i="2"/>
  <c r="AA12" i="2"/>
  <c r="M12" i="2"/>
  <c r="Q12" i="2"/>
  <c r="Y12" i="2"/>
  <c r="T12" i="2"/>
  <c r="R12" i="2"/>
  <c r="Z12" i="2"/>
  <c r="L12" i="2"/>
  <c r="U12" i="2"/>
  <c r="AD12" i="2"/>
  <c r="S12" i="2"/>
  <c r="N12" i="2"/>
  <c r="P11" i="2"/>
  <c r="X11" i="2"/>
  <c r="AF11" i="2"/>
  <c r="J11" i="2"/>
  <c r="AB11" i="2"/>
  <c r="N11" i="2"/>
  <c r="K11" i="2"/>
  <c r="Q11" i="2"/>
  <c r="Y11" i="2"/>
  <c r="R11" i="2"/>
  <c r="Z11" i="2"/>
  <c r="L11" i="2"/>
  <c r="W11" i="2"/>
  <c r="S11" i="2"/>
  <c r="AA11" i="2"/>
  <c r="T11" i="2"/>
  <c r="V11" i="2"/>
  <c r="O11" i="2"/>
  <c r="M11" i="2"/>
  <c r="U11" i="2"/>
  <c r="AC11" i="2"/>
  <c r="AD11" i="2"/>
  <c r="AE11" i="2"/>
  <c r="O10" i="2"/>
  <c r="W10" i="2"/>
  <c r="AE10" i="2"/>
  <c r="J10" i="2"/>
  <c r="AB10" i="2"/>
  <c r="AD10" i="2"/>
  <c r="P10" i="2"/>
  <c r="X10" i="2"/>
  <c r="AF10" i="2"/>
  <c r="Z10" i="2"/>
  <c r="Q10" i="2"/>
  <c r="Y10" i="2"/>
  <c r="AA10" i="2"/>
  <c r="L10" i="2"/>
  <c r="T10" i="2"/>
  <c r="K10" i="2"/>
  <c r="R10" i="2"/>
  <c r="S10" i="2"/>
  <c r="V10" i="2"/>
  <c r="M10" i="2"/>
  <c r="U10" i="2"/>
  <c r="AC10" i="2"/>
  <c r="N10" i="2"/>
  <c r="O9" i="2"/>
  <c r="W9" i="2"/>
  <c r="AE9" i="2"/>
  <c r="Z9" i="2"/>
  <c r="M9" i="2"/>
  <c r="N9" i="2"/>
  <c r="P9" i="2"/>
  <c r="X9" i="2"/>
  <c r="AF9" i="2"/>
  <c r="R9" i="2"/>
  <c r="AC9" i="2"/>
  <c r="Q9" i="2"/>
  <c r="Y9" i="2"/>
  <c r="AD9" i="2"/>
  <c r="J9" i="2"/>
  <c r="S9" i="2"/>
  <c r="AA9" i="2"/>
  <c r="L9" i="2"/>
  <c r="T9" i="2"/>
  <c r="AB9" i="2"/>
  <c r="U9" i="2"/>
  <c r="K9" i="2"/>
  <c r="V9" i="2"/>
  <c r="F17" i="2"/>
  <c r="F7" i="2"/>
  <c r="E19" i="2" l="1"/>
  <c r="F19" i="2"/>
  <c r="C20" i="3"/>
  <c r="H20" i="3" s="1"/>
  <c r="C21" i="3"/>
  <c r="H21" i="3" s="1"/>
  <c r="B22" i="3"/>
  <c r="G22" i="3" s="1"/>
  <c r="B15" i="3"/>
  <c r="G15" i="3" s="1"/>
  <c r="B19" i="3"/>
  <c r="G19" i="3" s="1"/>
  <c r="C19" i="3"/>
  <c r="H19" i="3" s="1"/>
  <c r="B21" i="3"/>
  <c r="G21" i="3" s="1"/>
  <c r="C22" i="3"/>
  <c r="H22" i="3" s="1"/>
  <c r="B20" i="3"/>
  <c r="G20" i="3" s="1"/>
  <c r="C15" i="3"/>
  <c r="H15" i="3" s="1"/>
  <c r="P8" i="2"/>
  <c r="M8" i="2"/>
  <c r="AE8" i="2"/>
  <c r="V8" i="2"/>
  <c r="K8" i="2"/>
  <c r="T8" i="2"/>
  <c r="AA8" i="2"/>
  <c r="Z8" i="2"/>
  <c r="J8" i="2"/>
  <c r="S8" i="2"/>
  <c r="AC8" i="2"/>
  <c r="Y8" i="2"/>
  <c r="AF8" i="2"/>
  <c r="R8" i="2"/>
  <c r="U8" i="2"/>
  <c r="Q8" i="2"/>
  <c r="X8" i="2"/>
  <c r="AB8" i="2"/>
  <c r="AD8" i="2"/>
  <c r="W8" i="2"/>
  <c r="L8" i="2"/>
  <c r="N8" i="2"/>
  <c r="N13" i="2"/>
  <c r="V13" i="2"/>
  <c r="AD13" i="2"/>
  <c r="AC13" i="2"/>
  <c r="O13" i="2"/>
  <c r="W13" i="2"/>
  <c r="AE13" i="2"/>
  <c r="P13" i="2"/>
  <c r="X13" i="2"/>
  <c r="AF13" i="2"/>
  <c r="K13" i="2"/>
  <c r="Z13" i="2"/>
  <c r="Q13" i="2"/>
  <c r="Y13" i="2"/>
  <c r="J13" i="2"/>
  <c r="AA13" i="2"/>
  <c r="U13" i="2"/>
  <c r="R13" i="2"/>
  <c r="S13" i="2"/>
  <c r="L13" i="2"/>
  <c r="T13" i="2"/>
  <c r="AB13" i="2"/>
  <c r="M13" i="2"/>
  <c r="O6" i="2"/>
  <c r="W6" i="2"/>
  <c r="AE6" i="2"/>
  <c r="AB6" i="2"/>
  <c r="N6" i="2"/>
  <c r="P6" i="2"/>
  <c r="X6" i="2"/>
  <c r="AF6" i="2"/>
  <c r="Y6" i="2"/>
  <c r="J6" i="2"/>
  <c r="B16" i="3" s="1"/>
  <c r="G16" i="3" s="1"/>
  <c r="Q6" i="2"/>
  <c r="V6" i="2"/>
  <c r="R6" i="2"/>
  <c r="Z6" i="2"/>
  <c r="K6" i="2"/>
  <c r="C16" i="3" s="1"/>
  <c r="H16" i="3" s="1"/>
  <c r="AA6" i="2"/>
  <c r="T6" i="2"/>
  <c r="S6" i="2"/>
  <c r="L6" i="2"/>
  <c r="M6" i="2"/>
  <c r="U6" i="2"/>
  <c r="AC6" i="2"/>
  <c r="AD6" i="2"/>
  <c r="C23" i="3" l="1"/>
  <c r="H23" i="3" s="1"/>
  <c r="B18" i="3"/>
  <c r="G18" i="3" s="1"/>
  <c r="B23" i="3"/>
  <c r="G23" i="3" s="1"/>
  <c r="C18" i="3"/>
  <c r="H18" i="3" s="1"/>
  <c r="F26" i="1"/>
  <c r="K28" i="1"/>
  <c r="J28" i="1"/>
  <c r="I20" i="1"/>
  <c r="H19" i="1"/>
  <c r="H20" i="1"/>
  <c r="H21" i="1" l="1"/>
  <c r="B21" i="1" s="1"/>
  <c r="F21" i="1" s="1"/>
  <c r="P23" i="1"/>
  <c r="X23" i="1"/>
  <c r="AF23" i="1"/>
  <c r="U23" i="1"/>
  <c r="Q23" i="1"/>
  <c r="Y23" i="1"/>
  <c r="AG23" i="1"/>
  <c r="AE23" i="1"/>
  <c r="R23" i="1"/>
  <c r="Z23" i="1"/>
  <c r="AH23" i="1"/>
  <c r="W23" i="1"/>
  <c r="S23" i="1"/>
  <c r="AA23" i="1"/>
  <c r="AI23" i="1"/>
  <c r="N23" i="1"/>
  <c r="T23" i="1"/>
  <c r="AB23" i="1"/>
  <c r="O23" i="1"/>
  <c r="M23" i="1"/>
  <c r="AC23" i="1"/>
  <c r="V23" i="1"/>
  <c r="AD23" i="1"/>
  <c r="F27" i="1"/>
  <c r="P21" i="1"/>
  <c r="X21" i="1"/>
  <c r="AF21" i="1"/>
  <c r="O21" i="1"/>
  <c r="N21" i="1"/>
  <c r="Q21" i="1"/>
  <c r="AG21" i="1"/>
  <c r="M21" i="1"/>
  <c r="AE21" i="1"/>
  <c r="Y21" i="1"/>
  <c r="R21" i="1"/>
  <c r="Z21" i="1"/>
  <c r="AH21" i="1"/>
  <c r="AA21" i="1"/>
  <c r="AI21" i="1"/>
  <c r="S21" i="1"/>
  <c r="T21" i="1"/>
  <c r="AB21" i="1"/>
  <c r="U21" i="1"/>
  <c r="AC21" i="1"/>
  <c r="AD21" i="1"/>
  <c r="W21" i="1"/>
  <c r="V21" i="1"/>
  <c r="F40" i="1"/>
  <c r="C10" i="3" l="1"/>
  <c r="H10" i="3" s="1"/>
  <c r="B12" i="3"/>
  <c r="G12" i="3" s="1"/>
  <c r="B10" i="3"/>
  <c r="G10" i="3" s="1"/>
  <c r="C12" i="3"/>
  <c r="H12" i="3" s="1"/>
  <c r="B19" i="1"/>
  <c r="F19" i="1" s="1"/>
  <c r="Z17" i="1"/>
  <c r="AA17" i="1"/>
  <c r="X17" i="1"/>
  <c r="W17" i="1"/>
  <c r="F37" i="1"/>
  <c r="R17" i="1"/>
  <c r="AB17" i="1"/>
  <c r="AH17" i="1"/>
  <c r="AD17" i="1"/>
  <c r="AC17" i="1"/>
  <c r="N17" i="1"/>
  <c r="AI17" i="1"/>
  <c r="M17" i="1"/>
  <c r="S17" i="1"/>
  <c r="U17" i="1"/>
  <c r="AG17" i="1"/>
  <c r="AF17" i="1"/>
  <c r="P17" i="1"/>
  <c r="Y17" i="1"/>
  <c r="O17" i="1"/>
  <c r="V17" i="1"/>
  <c r="Q17" i="1"/>
  <c r="AE17" i="1"/>
  <c r="T17" i="1"/>
  <c r="B22" i="1"/>
  <c r="F22" i="1" s="1"/>
  <c r="P18" i="1" s="1"/>
  <c r="P52" i="1"/>
  <c r="X52" i="1"/>
  <c r="AF52" i="1"/>
  <c r="Q52" i="1"/>
  <c r="Y52" i="1"/>
  <c r="AG52" i="1"/>
  <c r="N52" i="1"/>
  <c r="AE52" i="1"/>
  <c r="R52" i="1"/>
  <c r="Z52" i="1"/>
  <c r="AH52" i="1"/>
  <c r="M52" i="1"/>
  <c r="S52" i="1"/>
  <c r="AA52" i="1"/>
  <c r="AI52" i="1"/>
  <c r="T52" i="1"/>
  <c r="AB52" i="1"/>
  <c r="O52" i="1"/>
  <c r="U52" i="1"/>
  <c r="AC52" i="1"/>
  <c r="W52" i="1"/>
  <c r="V52" i="1"/>
  <c r="AD52" i="1"/>
  <c r="F28" i="1"/>
  <c r="F41" i="1" s="1"/>
  <c r="Y15" i="1" l="1"/>
  <c r="AI18" i="1"/>
  <c r="AG15" i="1"/>
  <c r="C6" i="3"/>
  <c r="H6" i="3" s="1"/>
  <c r="B6" i="3"/>
  <c r="G6" i="3" s="1"/>
  <c r="Z15" i="1"/>
  <c r="AB15" i="1"/>
  <c r="R15" i="1"/>
  <c r="O15" i="1"/>
  <c r="U15" i="1"/>
  <c r="T15" i="1"/>
  <c r="AD15" i="1"/>
  <c r="F35" i="1"/>
  <c r="F20" i="1"/>
  <c r="AH16" i="1" s="1"/>
  <c r="P15" i="1"/>
  <c r="AA15" i="1"/>
  <c r="N15" i="1"/>
  <c r="V15" i="1"/>
  <c r="AE15" i="1"/>
  <c r="W15" i="1"/>
  <c r="M15" i="1"/>
  <c r="AI15" i="1"/>
  <c r="S15" i="1"/>
  <c r="X15" i="1"/>
  <c r="AH15" i="1"/>
  <c r="AF15" i="1"/>
  <c r="Q15" i="1"/>
  <c r="AC15" i="1"/>
  <c r="F23" i="1"/>
  <c r="Y19" i="1" s="1"/>
  <c r="R18" i="1"/>
  <c r="AH18" i="1"/>
  <c r="O18" i="1"/>
  <c r="Q18" i="1"/>
  <c r="T18" i="1"/>
  <c r="AD18" i="1"/>
  <c r="S18" i="1"/>
  <c r="X18" i="1"/>
  <c r="U18" i="1"/>
  <c r="Y18" i="1"/>
  <c r="AG18" i="1"/>
  <c r="M18" i="1"/>
  <c r="W18" i="1"/>
  <c r="AF18" i="1"/>
  <c r="Z18" i="1"/>
  <c r="N18" i="1"/>
  <c r="AC18" i="1"/>
  <c r="V18" i="1"/>
  <c r="AA18" i="1"/>
  <c r="F38" i="1"/>
  <c r="AE18" i="1"/>
  <c r="AB18" i="1"/>
  <c r="T53" i="1"/>
  <c r="AB53" i="1"/>
  <c r="M53" i="1"/>
  <c r="U53" i="1"/>
  <c r="AC53" i="1"/>
  <c r="W53" i="1"/>
  <c r="AI53" i="1"/>
  <c r="V53" i="1"/>
  <c r="AD53" i="1"/>
  <c r="AE53" i="1"/>
  <c r="AA53" i="1"/>
  <c r="P53" i="1"/>
  <c r="X53" i="1"/>
  <c r="AF53" i="1"/>
  <c r="Q53" i="1"/>
  <c r="Y53" i="1"/>
  <c r="AG53" i="1"/>
  <c r="O53" i="1"/>
  <c r="Z53" i="1"/>
  <c r="N53" i="1"/>
  <c r="AH53" i="1"/>
  <c r="R53" i="1"/>
  <c r="S53" i="1"/>
  <c r="W19" i="1" l="1"/>
  <c r="N16" i="1"/>
  <c r="X16" i="1"/>
  <c r="C5" i="3"/>
  <c r="H5" i="3" s="1"/>
  <c r="B7" i="3"/>
  <c r="G7" i="3" s="1"/>
  <c r="C7" i="3"/>
  <c r="H7" i="3" s="1"/>
  <c r="B4" i="3"/>
  <c r="G4" i="3" s="1"/>
  <c r="C4" i="3"/>
  <c r="H4" i="3" s="1"/>
  <c r="X19" i="1"/>
  <c r="U16" i="1"/>
  <c r="AI16" i="1"/>
  <c r="AD16" i="1"/>
  <c r="Z19" i="1"/>
  <c r="W16" i="1"/>
  <c r="V16" i="1"/>
  <c r="T16" i="1"/>
  <c r="AA16" i="1"/>
  <c r="Q16" i="1"/>
  <c r="Z16" i="1"/>
  <c r="P19" i="1"/>
  <c r="AG16" i="1"/>
  <c r="AC16" i="1"/>
  <c r="P16" i="1"/>
  <c r="AF19" i="1"/>
  <c r="S16" i="1"/>
  <c r="AF16" i="1"/>
  <c r="AE16" i="1"/>
  <c r="R16" i="1"/>
  <c r="AB16" i="1"/>
  <c r="Y16" i="1"/>
  <c r="O19" i="1"/>
  <c r="M16" i="1"/>
  <c r="F36" i="1"/>
  <c r="R29" i="1" s="1"/>
  <c r="O16" i="1"/>
  <c r="AB22" i="1"/>
  <c r="AG22" i="1"/>
  <c r="S19" i="1"/>
  <c r="T19" i="1"/>
  <c r="Q22" i="1"/>
  <c r="U19" i="1"/>
  <c r="AH19" i="1"/>
  <c r="M19" i="1"/>
  <c r="AF22" i="1"/>
  <c r="AG19" i="1"/>
  <c r="AD19" i="1"/>
  <c r="Q19" i="1"/>
  <c r="V19" i="1"/>
  <c r="AC19" i="1"/>
  <c r="AE19" i="1"/>
  <c r="R19" i="1"/>
  <c r="N19" i="1"/>
  <c r="AI22" i="1"/>
  <c r="O22" i="1"/>
  <c r="AA22" i="1"/>
  <c r="AD22" i="1"/>
  <c r="S22" i="1"/>
  <c r="M22" i="1"/>
  <c r="U22" i="1"/>
  <c r="V22" i="1"/>
  <c r="AE22" i="1"/>
  <c r="P22" i="1"/>
  <c r="AH22" i="1"/>
  <c r="AC22" i="1"/>
  <c r="AI19" i="1"/>
  <c r="X22" i="1"/>
  <c r="N22" i="1"/>
  <c r="T22" i="1"/>
  <c r="R22" i="1"/>
  <c r="W22" i="1"/>
  <c r="Y22" i="1"/>
  <c r="AA19" i="1"/>
  <c r="AB19" i="1"/>
  <c r="F39" i="1"/>
  <c r="Z22" i="1"/>
  <c r="X29" i="1" l="1"/>
  <c r="AF29" i="1"/>
  <c r="S29" i="1"/>
  <c r="F46" i="1"/>
  <c r="M44" i="1" s="1"/>
  <c r="B26" i="3" s="1"/>
  <c r="AB29" i="1"/>
  <c r="AI29" i="1"/>
  <c r="C11" i="3"/>
  <c r="H11" i="3" s="1"/>
  <c r="B8" i="3"/>
  <c r="G8" i="3" s="1"/>
  <c r="B11" i="3"/>
  <c r="G11" i="3" s="1"/>
  <c r="B5" i="3"/>
  <c r="G5" i="3" s="1"/>
  <c r="C8" i="3"/>
  <c r="H8" i="3" s="1"/>
  <c r="AE29" i="1"/>
  <c r="M29" i="1"/>
  <c r="T29" i="1"/>
  <c r="Z29" i="1"/>
  <c r="W29" i="1"/>
  <c r="AC29" i="1"/>
  <c r="P29" i="1"/>
  <c r="AA29" i="1"/>
  <c r="AD29" i="1"/>
  <c r="N29" i="1"/>
  <c r="Q29" i="1"/>
  <c r="V29" i="1"/>
  <c r="AH29" i="1"/>
  <c r="AG29" i="1"/>
  <c r="Y29" i="1"/>
  <c r="U29" i="1"/>
  <c r="O29" i="1"/>
  <c r="O32" i="1"/>
  <c r="P32" i="1"/>
  <c r="M32" i="1"/>
  <c r="Z32" i="1"/>
  <c r="AE32" i="1"/>
  <c r="AB32" i="1"/>
  <c r="T32" i="1"/>
  <c r="AI32" i="1"/>
  <c r="W32" i="1"/>
  <c r="AC32" i="1"/>
  <c r="X32" i="1"/>
  <c r="R32" i="1"/>
  <c r="Q32" i="1"/>
  <c r="AA32" i="1"/>
  <c r="V32" i="1"/>
  <c r="S32" i="1"/>
  <c r="AH32" i="1"/>
  <c r="Y32" i="1"/>
  <c r="AD32" i="1"/>
  <c r="AG32" i="1"/>
  <c r="U32" i="1"/>
  <c r="N32" i="1"/>
  <c r="AF32" i="1"/>
  <c r="V26" i="1" l="1"/>
  <c r="Z26" i="1"/>
  <c r="T44" i="1"/>
  <c r="AH44" i="1"/>
  <c r="S44" i="1"/>
  <c r="O44" i="1"/>
  <c r="AD44" i="1"/>
  <c r="W44" i="1"/>
  <c r="AF44" i="1"/>
  <c r="V44" i="1"/>
  <c r="X44" i="1"/>
  <c r="AC44" i="1"/>
  <c r="Q44" i="1"/>
  <c r="Q26" i="1"/>
  <c r="Q39" i="1" s="1"/>
  <c r="T26" i="1"/>
  <c r="T39" i="1" s="1"/>
  <c r="AI26" i="1"/>
  <c r="AI39" i="1" s="1"/>
  <c r="N26" i="1"/>
  <c r="N39" i="1" s="1"/>
  <c r="M26" i="1"/>
  <c r="AB26" i="1"/>
  <c r="AB39" i="1" s="1"/>
  <c r="AE26" i="1"/>
  <c r="AE39" i="1" s="1"/>
  <c r="U26" i="1"/>
  <c r="U39" i="1" s="1"/>
  <c r="AA26" i="1"/>
  <c r="AA39" i="1" s="1"/>
  <c r="S26" i="1"/>
  <c r="S39" i="1" s="1"/>
  <c r="Y26" i="1"/>
  <c r="Y39" i="1" s="1"/>
  <c r="P26" i="1"/>
  <c r="P39" i="1" s="1"/>
  <c r="AF26" i="1"/>
  <c r="AF39" i="1" s="1"/>
  <c r="O26" i="1"/>
  <c r="O39" i="1" s="1"/>
  <c r="AG26" i="1"/>
  <c r="AG39" i="1" s="1"/>
  <c r="AC26" i="1"/>
  <c r="AC39" i="1" s="1"/>
  <c r="X26" i="1"/>
  <c r="X39" i="1" s="1"/>
  <c r="AD26" i="1"/>
  <c r="AD39" i="1" s="1"/>
  <c r="AH26" i="1"/>
  <c r="AH39" i="1" s="1"/>
  <c r="W26" i="1"/>
  <c r="W39" i="1" s="1"/>
  <c r="R26" i="1"/>
  <c r="R39" i="1" s="1"/>
  <c r="AB44" i="1"/>
  <c r="AG44" i="1"/>
  <c r="Y44" i="1"/>
  <c r="AE44" i="1"/>
  <c r="AI44" i="1"/>
  <c r="R44" i="1"/>
  <c r="U44" i="1"/>
  <c r="Z44" i="1"/>
  <c r="N44" i="1"/>
  <c r="C26" i="3" s="1"/>
  <c r="P44" i="1"/>
  <c r="AA44" i="1"/>
  <c r="V39" i="1"/>
  <c r="Z39" i="1"/>
  <c r="B24" i="3" l="1"/>
  <c r="M39" i="1"/>
  <c r="C24" i="3"/>
  <c r="C28" i="3" l="1"/>
  <c r="H24" i="3"/>
  <c r="H28" i="3" s="1"/>
  <c r="B28" i="3"/>
  <c r="G24" i="3"/>
  <c r="G28" i="3" s="1"/>
  <c r="C2" i="6" l="1"/>
  <c r="C12" i="4"/>
  <c r="C1" i="6"/>
  <c r="B12" i="4"/>
</calcChain>
</file>

<file path=xl/sharedStrings.xml><?xml version="1.0" encoding="utf-8"?>
<sst xmlns="http://schemas.openxmlformats.org/spreadsheetml/2006/main" count="249" uniqueCount="147">
  <si>
    <t>80% active area</t>
  </si>
  <si>
    <t>thickness (nm)</t>
  </si>
  <si>
    <t>area (m2)</t>
  </si>
  <si>
    <t>density (kg/m3)</t>
  </si>
  <si>
    <t>utilization efficiency</t>
  </si>
  <si>
    <t>mass (kg)</t>
  </si>
  <si>
    <t>Substrate</t>
  </si>
  <si>
    <t>ITO glass</t>
  </si>
  <si>
    <t>HTL deposition</t>
  </si>
  <si>
    <t>PL deposition</t>
  </si>
  <si>
    <t>PbI2</t>
  </si>
  <si>
    <t>MAI</t>
  </si>
  <si>
    <t>MACl</t>
  </si>
  <si>
    <t>ETL deposition</t>
  </si>
  <si>
    <t>PCBM</t>
  </si>
  <si>
    <t>AZO</t>
  </si>
  <si>
    <t>Electrode deposition</t>
  </si>
  <si>
    <t>ITO</t>
  </si>
  <si>
    <t>-</t>
  </si>
  <si>
    <t>substrate</t>
  </si>
  <si>
    <t>DMF</t>
  </si>
  <si>
    <t>Ethanol</t>
  </si>
  <si>
    <t>sputtering</t>
  </si>
  <si>
    <t>spin-coating</t>
  </si>
  <si>
    <t>Direct emissions</t>
  </si>
  <si>
    <t>Al2O3</t>
  </si>
  <si>
    <t>ZnO</t>
  </si>
  <si>
    <t>Power (W)</t>
  </si>
  <si>
    <t>Time (s)</t>
  </si>
  <si>
    <t>Electricity consumption (MJ)</t>
  </si>
  <si>
    <t>Perovskite layer deposition</t>
  </si>
  <si>
    <t>Sputtering</t>
  </si>
  <si>
    <t>Total</t>
  </si>
  <si>
    <t>Substrate cleaning</t>
  </si>
  <si>
    <t>UV/O3 cleaning</t>
  </si>
  <si>
    <t>PbI2 spin coating</t>
  </si>
  <si>
    <t>MAI/MACl spin coating</t>
  </si>
  <si>
    <t>MACl treatment</t>
  </si>
  <si>
    <t>AZO layer spin coating</t>
  </si>
  <si>
    <t xml:space="preserve">ReCiPe Midpoint (E) </t>
  </si>
  <si>
    <t>ReCiPe Endpoint (E,A)</t>
  </si>
  <si>
    <t>agricultural land occupation</t>
  </si>
  <si>
    <t>climate change</t>
  </si>
  <si>
    <t>fossil depletion</t>
  </si>
  <si>
    <t>freshwater ecotoxicity</t>
  </si>
  <si>
    <t>freshwater eutrophication</t>
  </si>
  <si>
    <t>human toxicity</t>
  </si>
  <si>
    <t>ionising radiation</t>
  </si>
  <si>
    <t>marine ecotoxicity</t>
  </si>
  <si>
    <t>marine eutrophication</t>
  </si>
  <si>
    <t>metal depletion</t>
  </si>
  <si>
    <t>natural land transformation</t>
  </si>
  <si>
    <t>ozone depletion</t>
  </si>
  <si>
    <t>particulate matter formation</t>
  </si>
  <si>
    <t>photochemical oxidant formation</t>
  </si>
  <si>
    <t>terrestrial acidification</t>
  </si>
  <si>
    <t>terrestrial ecotoxicity</t>
  </si>
  <si>
    <t>urban land occupation</t>
  </si>
  <si>
    <t>water depletion</t>
  </si>
  <si>
    <t>ecosystem quality</t>
  </si>
  <si>
    <t>human health</t>
  </si>
  <si>
    <t>resources</t>
  </si>
  <si>
    <t>Mass of module</t>
  </si>
  <si>
    <t>Landfill</t>
  </si>
  <si>
    <t>End of life</t>
  </si>
  <si>
    <r>
      <t>UV/O</t>
    </r>
    <r>
      <rPr>
        <sz val="11"/>
        <color rgb="FFFF0000"/>
        <rFont val="Times New Roman"/>
        <family val="1"/>
      </rPr>
      <t>₃</t>
    </r>
    <r>
      <rPr>
        <sz val="11"/>
        <color rgb="FFFF0000"/>
        <rFont val="Calibri"/>
        <family val="2"/>
        <scheme val="minor"/>
      </rPr>
      <t xml:space="preserve"> cleaning</t>
    </r>
  </si>
  <si>
    <r>
      <t>PbI</t>
    </r>
    <r>
      <rPr>
        <sz val="11"/>
        <color rgb="FFFF0000"/>
        <rFont val="Times New Roman"/>
        <family val="1"/>
      </rPr>
      <t>₂</t>
    </r>
  </si>
  <si>
    <r>
      <t>Al</t>
    </r>
    <r>
      <rPr>
        <sz val="11"/>
        <color rgb="FFFF0000"/>
        <rFont val="Times New Roman"/>
        <family val="1"/>
      </rPr>
      <t>₂</t>
    </r>
    <r>
      <rPr>
        <sz val="11"/>
        <color rgb="FFFF0000"/>
        <rFont val="Calibri"/>
        <family val="2"/>
        <scheme val="minor"/>
      </rPr>
      <t>O</t>
    </r>
    <r>
      <rPr>
        <sz val="11"/>
        <color rgb="FFFF0000"/>
        <rFont val="Times New Roman"/>
        <family val="1"/>
      </rPr>
      <t>₃</t>
    </r>
  </si>
  <si>
    <t>carbon footprint</t>
  </si>
  <si>
    <t>primary energy consumption</t>
  </si>
  <si>
    <t>Ni</t>
  </si>
  <si>
    <t>PCBM spin coating</t>
  </si>
  <si>
    <t>item</t>
  </si>
  <si>
    <t>unit</t>
  </si>
  <si>
    <t>module 4</t>
  </si>
  <si>
    <t>EPBT</t>
  </si>
  <si>
    <t>Insolation</t>
  </si>
  <si>
    <t>kWh/m2/yr</t>
  </si>
  <si>
    <t>performance ratio</t>
  </si>
  <si>
    <t>module efficiency</t>
  </si>
  <si>
    <t>epsilon</t>
  </si>
  <si>
    <t>MJ/kWh</t>
  </si>
  <si>
    <t>lifetime</t>
  </si>
  <si>
    <t>yr</t>
  </si>
  <si>
    <t>MJ/m2</t>
  </si>
  <si>
    <t>CO2</t>
  </si>
  <si>
    <t>CO2 emission factor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</si>
  <si>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</si>
  <si>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</si>
  <si>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</si>
  <si>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</si>
  <si>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</si>
  <si>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</si>
  <si>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</si>
  <si>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</si>
  <si>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</si>
  <si>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</si>
  <si>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</si>
  <si>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</si>
  <si>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7ec3dce2-f7e9-4a96-a391-3a0369f7e605</t>
  </si>
  <si>
    <t>CB_Block_7.0.0.0:1</t>
  </si>
  <si>
    <t>Decisioneering:7.0.0.0</t>
  </si>
  <si>
    <t>CB_Block_0</t>
  </si>
  <si>
    <t>㜸〱敤㕣㕢㡣㈴㔵ㄹ敥慡敥敡改敡㤹搹ㄹ㜶㤶换㉥〸愳㠸〸戳づ㍢ぢ㉢愰慥敢㕣搸ぢ捣敥っ㍢戳ぢ〴㐹㙦㑤昷愹㤹㘲扢慡㠶慡敡搹ㄹ㈴ㄱㄵ㈵摥㠵㜸㠹㡡㐲㠸㈱昱挵摢㠳㡡昰㘲㘲愲㌱㑢㘲㈲㍥㤸昸㠰㠴攸㠳挶㙣攲㠳㍣㤰攸昷㥤慡敡慥敥㥥慥ㄹㅡ搰挱捣㔹晡捣愹㜳慢㜳晥晢昹晦㔳㘴㤴㑣㈶昳㙦㈴晥㘵捡戱㜰挵摣㥡ㅦ〸㝢㜴搲慤㔶㐵㌹戰㕣挷ㅦㅤ昷㍣㘳㙤摡昲㠳㉣㍡攴㑢ㄶ摡㝤慤攴㕢て㡡㐲㘹㐵㜸㍥㍡㘹㤹㑣愱愰慢㘸攷㈴晣つ挶て㍡㐷昵攵㤰捤㑦㑥捣㉣摣㡦㔹攷〲搷ㄳ㝢㠷㑦㠷㘳て㡥㡤㡤㡥㡤摥㜴昳搸晢㐷昷敤ㅤ㥥慣㔵㠳㥡㈷づ㍡愲ㄶ㜸㐶㜵敦昰㙣㙤愱㙡㤵敦㄰㙢昳敥㔹攱ㅣㄴぢ晢㙥㕣㌰㙥扡㘵散愶〳〷捣㕢㙦扤愵て慦捥㥣㤸㥣㤸昵㠴改扦㐹㜳㙡㕣昲㑤㔳愲㙣㜱㙦㐲㜸㤶戳㌸㍡㌹㠱晦ㄲ敢挷搳捤愳㜳㑢㐲〴㝣戵昰㠴㔳ㄶ扥㡥㠱扤昶戸敦搷散㘵〲㑦户て㘳慢㘵挳て㌴㝢㔲㔴慢扡ㅤ捦㕡戰㘷〰扢慡戱搶㘷捦〹挷户〲㙢挵ち搶昲昶㍣㈶慡昴摢愷㝣㜱搲㜰ㄶ挵〹挳ㄶ㥡㝤愴㘶㔵㜲㘱捡㘴慦㡤愷㐸㉥㑣㙥㝦㜴摣户㈷㤷っ㑦慥挸㈷㘰㔲晡ㅥ昶捡捤㝤慦敥㍣㉦㤷㉥摦挰㌹慦改摣て㉤愷つ慦摥㜳愴㜳捦㘸昳捤㉢戸愱㜳晦〴㡣㥡挷㕣搷㜹㡣〴㘵㜳㙦愵㌷愲㙦〹㔱㙣㐶捦㌳敢㘱㔶㘰㐶〴敡㐵㘶扤捣晡㤰㈹戹㝦㠲㑢㤲〳搹愴㤶っ戵戴愰㤶捡㙡愹愲㤶㠴㕡㌲搵搲愲㕡㕡㔲㑢㤶㕡扡㕦㉤㥤㐵㥦㌸ㄵ㝡㝡搴㈸晤攴ぢ挷㕦㌹晦晢慦㑥㝦攲搱攷晥昵愰昶搸挷晡㜶愰搳㥤搱愲愶㍣攳ㅣ㐸慤㐱挵晢㐷昷昱摦挶㕣〱愶㌰て㤸㌷㥢㘳㘳㤵〳晢㡣ㅢつ㡤摢㑡㐱㝥ㄳ愱っ愲㙦㥦㜹㤷攵㔴摣㜳ㄲ㜷㔷㑣ㄸ扥㘸〰㙥㈴㙡㥢㜰㙢㑥挵扦㝣晤挶戹挰〸挴㥥搶戶挶㈴㙤挳收挰㔶挲㤷敦扢戲㜵搸㘹愳㕡ㄳ攳慢㔶搸晣㡥㤶㘶㝢搶㜳ㄷ㍡户ㅥ昶挴〳昵搶戶ㄵ㡤㐳愸慤挸戹摢㜶ㄹ㌶㠵敢ㅡ㥥㕣㜲㝤攱挸攵㡤搸戳㔶昹慣昰收〴㐵愲愸挸慤㕥捣愶㠸敢㐷㘶ㅣ㙣ㄴ摣㕡㜹㔷戲搶扣㙤㌵〰㌳㡢ち搶扢㉣扣㘰㙤摥㔸愸㡡㑢㥡扡㠴敦㐴挳敥愶敡挳㙥戹收㑦扡㑥攰戹搵收㤶昱捡㡡〱㐹㔳㌹敥㔶㐴㉥㤷㤱㐲〱〲㌷㥢㔵㤴捣昵㥤㜹㐱㈲㈲㠱㘲㌲昲㘵捤㘴㌷㝡ㄲ扢挳㉥慡㠲㌴愹扥㝢㠳挹戸㕥㈹㘳㔲㌸㌰戱㈷敡て扥昴扤ㅢ㑣㕢挷摣㕢摢㔹㔵㠷愲摤摦戶㈲㥣攰愸攱㔴慡挲㑢搵㝥ち㔷愴て㈰搳㉥㐰㈰㜴㠴ㅥ㔵㥤戲慡慣㘹攷慣㑡戰㤴㕦ㄲ搶攲㔲㠰㍡㘸挸㐲㠱愰㙤㑢晡㐵愸搲㜷㌲ㅢ㐲㔶㉣㘶昲扢搸㈹㕦㐴捡㘸㤴㑥㈹扣摣㈴挸㌹慥㠹㤷晢捣挳㔶㌵㄰愱㔰ㅥ㌰㠱㤱㔰慢㐹昴昵㤳㐴㍤愳ㅣ㉡㡣㕤收㈴愸搴戰㥣㘰慤挱户㙤㕣ㄲㄲ搱戶㉣搸㜲戲㠰愲愰㔹ㅥ愴昰ㅡ㠸愶㐵ㅡ愴㜷㑥㄰ㄱ搹㈰㐵戳㘳收㘶㈲㘳晦ㄴㄹ㠱晥㐹㈲㘴敦㝤㥤㘵〴㠹扤㥤㐸㌹愸㈳㍦㙥㑢戳昵㙣昹㔰㥡㕤っ挰改㤷㌰扢㤴搹㘵捣㜶㈳㔳晥〲〹㐷㈹㠷㜲㜳搲㉦挷戳㝥〵戳㜷㈰㠳㝣搲㈹㜳㈲㔱㐵ㅢ㙡㌳㜶㈴晢昵挳㑥㤶㐶㜱㈸㡡㘸ㄹ搷敤捣㝥㕢㈲㍡戲㍡户㠶慥捤㐹ㅤ晢㥥捥戴㤹摣づ㈹㌲愵㙢㜲慦ㅢ㜴㑤〲㠲㕤扢搴㕢㔷㘱愸㍥捣散㥤挸㡡晡扢㤸㐳戹搰攰摤㥣㐵㑦㤳昲㙤㘱ㄶ㠵挶㔰㤷ち㍥㈲㘴ㅥ〱㔲㠴㕣摢昱㘵摢㠶愶㌹㌸㘲扥敤㙤攸扤㥤昹㍢㐲㝡㡢摥摣搶㍢昴ㄷ扤㑥㉢晡㙡戰㤷昲愷㡥㍡收ㅡ㌴敢敦㘱㜶㉤戲ㄶㅤ挳搳昷敢昵ㄴ㐸戳搸㑥㘰㙥㈷扤㉥搲捡㥤㕦㕢ㄶ㔲〳昵㤹昳㠶户㈸〲㜸㌰㡥㑤挱ㄶ㜶㍤㑦㔴㜱愸慤挸ち㥥㕦㉥㙤慥昴て㝢慥捤晡㙤ㅢ搹㝦㕢㈸㠶㕣㑥捤㘶㕡㙣攴ㄴ㕢㌳攱㜳㑡㔰づ㜵昰㡤㥤㠵㐴㘲㔰㌳㜹㜱㕣晡昹㜲㕢㤲㜴㈱㐹慥〳㔸昵敢㤱㐱㑡㈸㝦攸㈸㔱昶戲摢晢㘴户㘶㡢㤵ㅥ扥㤴搳㐹㡢て戱㑤㡥昴㠶づ摢〹昸て晣㝥㝢捥戲敢挲愲搷㥥ㄵ㕥ㄹ扥〵慢㉡㡡愱㕢㤶愲㘶㕢㔶扣㑤㘴㐵㌶摢㜶㥥㑥昱慦㐹㍡㘹㤱ㄲ愹摣㥥摡㤸㜲ㄶ㙦㄰ㄵ摤㤰ㄴ㉡㈹慥愱扡〴㈲攵戱敦戶㠸改㐲挴摣〰挰改晢㤸㡤㌱摢㡦㑣㝢〱㤲㘶戳㠰㘷㌸慣㘷㠵㉥敤㔲㈹㔳㈰ㅡ愴㡢昰㝣㐷㘱㜵㠰慦㜹㍦戳㥢㤱戵㤸㍦㜴㐰愶㄰愲㐴㜹㠲㄰㘵ㄸ挳㍣㙤㠹㜳愴㠱ㅤ㈶〲㑢㤳㌵㍦㜰㙤㐶㤶晡捤㈹昷㠴ㅢ㑣㔹晥㌲㈲㔱㐳㘶㔴戸㙢㐹㌸愰㉥て戶㑦㑢㥤扢扣㉣㉡扡㌹攷搶㈰摡㡥㑤㙤㠵㠳㌹挰〱㕢㔲㥥捤㔵〵愹扢昳㌱愶㔰〰㘹改㙦愵㌷㜶㔳摥㙦ㅥ晡〶ㅡ㄰㥤户㠲慡攸㌵㐳愶㘳戹㘰〲㡡㠸ㅣ㔴㝡捣昹㈵㑦㠸愹㝥昳㠸㘷㔵慡㤶㈳㠸っ搸㤸っ搶㑤㡢㐵㐴〹㘶㕤挶〰㕤愷摦㥣昷っ挷㕦㌶ㄸ㔰㕣摢搹昴㈴挳㈲㥡㌹㘱㌹㍥㕥㈳戱挸昲㠰㌹户攴㥥㐳挴戶㘶㍢㐷㡣㘵㝦㑢㘰㠵㐴ㅦ㈶㠹ㅡ㐵㔵㔴㔵㈹愸㠵㙥昱挳〳㜹㈶㐳摥换㌱㤳戸捡㘸昴㤹愷㘸㙦摡昵㔱㡣㠶㜶㍡搷搴㠷攸㔱扤㌲㥢㉡㠵挹愹晡慤ㅣ昳〱㘴户ㅦ㌹㜵慣ㄱ㤹㝢㐳㌱㙢㡤㕥晥ㄴㄹ㉦挹愲ㅥ〸愱㡦㙥㐷㐸㉡慣㈳攵㠰〳㠱㜱㍥戵㤲㕦搱㤴㝤㐸㝤㍢ㅡ挵挳㠸㈴昵㤹搳挶㠲愸㈲ㅥ㙤ㅢ挱㡥昰㠱㘶慣㙤㔴晤愸㙤搲戵㙤㠳愴㐵戲㥣㉢ㅢ愴攰昱㕡攰ㅥ户ㅣ摤㐴㈶改㉦慡㌲㔶㔱㘵慣捡慡㍥昳㈴㐳㠳戲捣戹摣㐵挳戳㠲㈵摢㉡ㄷ昸挰昰摤㤶愰㐹㌰㌹㈵㙦㥣㘲㤹㌱摣㘲捤㥦㠲挹收㡦〲摤愳㤰愳〴ㅤ搱て捡㔵㤵㍣晥㈹㕤㍡㤶㈰㘰愴愷㔴晦㄰㘶搳攴敤〸㠸ㅣ㤹㉥挴㜷㌰㉥㝣ㅣ㌵愱㄰㈲搶㔳㐸〴㕥挱㠴㤰愷㡢㍢㙦㥥㜲慣〰搸㈳挶づ㕢挱㤴て㤴㈳㐳㔱ㅥ㙦昷㐸慣㈶〶㡤搴戵挲㔵敤㑤㑤㙡攲捡昶昶愴摥㜸昷㍡捤愱㐶㐹㈸㤲㡤㍡㐹捤戲捥ㅡ户㤲慡㔱愴攲㡥戵㡤㤲收㌶㙤挰㥤㔲攴つ㈸㈶㐹㌳ㄹ晤挳㤲㔰㄰攸㡤㜴ㄴ㝤昶改攴㤱㠸搸搰〶㈸㔲㑦㠵㜵晤㔱㐸昰ㄸ慥㥤㔴㐴㌱㝡〲㝦敦㠸㡡㌳戵愰愹挵㔸ㅤ㡡㕡挶慢搵ㄹ〷㔶㐲搹昰㉡㕢㠴愵戱户㔰挳㐸敥散㔶晢㠷攰㑤㌰㘲挴㠶っ㡢愴昸㠱挱㠶㘰慥㐴㐴㤵搶㔹㍦㐱㕤慦㉥昰改戸㌰ㅣ㠹㠱戹愰㌲㈵㔶愴ㄹ搶戰攴㠷攴㠰晡㘹㔱捡㔱摤ㅣ㕦昰愱搲〳捡昱愸㈴ㄹ㕣㌷㑦搲㉤㠵㑢っ㄰扢㔱㘹戶ㅣ㈰戴㕢㥦㠰㈷㠳慤㠳ㅤ㐰㈴っ㥤搰㍡愳〴捤愷㄰㙥昳㈶挸㍢㕤㘲ㄴ㠲搴㤴改ㅦ㠷㤴㙦㝤㤳改晢㠷㌲㜱㈱㘲㈲㠶扢㔲慣〷㈰㌷ㄹ㤹㈴ㄷつ挵〱昳㔰戲㐹愱搵ㄷ搷搱挴攸愷挹攷〵戸挵挳㔸搶〰搹愶㡡㝢㙥㠱〵㙤㕡㕤摢㘱ㅥ㜳捡搵㕡㐵㐸㔵ㅣ换㙡愹㤱户〴扥攴ㄵ挰㤰㥢㔲攰ㄲ〱攵ㄸ㡥㔲摣㌲㤱搴扤摤慤ㅦ挲㜰㈹攴㌰㐷愸晡ㄸ㠰㑣㜱换挹㠰㔸摢㍤〵摡㠷㍢ㅢㄷㄸ攴攵㌹㠸戴戶㉡捡戲㘹摣挷慢㐷㤱㈵户㈵扡㑤扢搳㉥㙤昶㐴搵㔱㉢慣摡ㄲ㌸挲㍥㐳㠱㤷捦挳ㄸ改㤲㍢㌸㐹收㐲ㄴ摤扤昰㜱昹㤸戹〰㔴㐸っ㈸㡣昱昲ㄴ㤴〱㔴挱㐸㌴戸搵㠶搵慤㌰晡㑢换㕢ㅦ㐷愶㌰っ㑣㠳ㄶ㍤㐳〳㘷ㄲ攵㡤つ㥣慢搰㉢㈵㐲㥡っ愶㌲㐶㌹〴㠷㍤㤰〶㙥攲㐱㝡摥㠵ㄲち㜶挹㡢㘱昱摤挴ㄱㅢ㐷㈰搷扢愴愵㜲搶〸㜰晤挵搹摤㔲㍤㕥愹搰摣㠵㝦㙥㑢㘰ㄵ㔷㌷㐲㜳㜴㔷换愵㉣戹㈷摡㜷㔷户㌴㐴㤷〵昷㑦㡤ㅥ㌵㠲昲搲㕣戰ㄶ㕥摣敡㤶㈴戴攷攱㡦㔸昷敤戴㤹㜳づ㉦愲慥㄰昶挵戳㡥㝢捥㤱敢搲㝣摥晡〳㠵攰ち㘵てㄷ㔹捣晣ㅢ晦㘴㔲㌳摡㜳㤸㜱㌳换收〴つ〷〹攷㤱㈹㤴〶挳㈸愷搰〹㙣昷晡慤〱搲挹慥ㄶ㍡㤱㠲㘰㥢㔰㥣挵㌷㡤㔰㤴㕦〰慤㈴㤶昰㐸づ㤸㍦〳搶㔷㥥㐵つㄱ㡥攷㐸㡣㘸敦㐴㈹〵㜵㔲㤰㐷㔷㍣㜸㈱攴晦〷㑢㌱㌷慦换㑥晦〵㘶㔶㝥摥㡡愲㉢㠹愲㥦戵愱㐸攱㌵㄰挹扦户㐷〵㍥㘸っ捦扥慥㐰㌸昷戴㝤〰㝤换㉦晣晥てて愰搳挰㌰㤳戴搱㄰㙡扢〶攵扡㠹㤰㙤㌳ㄱㄸ扣㤷㈶挲㜱㡥㘱ㄴ㍦㌴ㄱ㈲ㅦ挸っ㉡㌶㌶ㄱㄸ摢㑢㌱〴ㄳ愱搶㠴㕢㠳㈷戰㑢㙣晡挷㡥攲攲慤昰ㄱ捦㠷搲昲㈷攱㤱扡戴扤㝡搶昰っ㝢户慣㍦攲〹㈸㌳㙦ㅥ㌷戹攵㄰㡥搸戳㙥㡢ㅣ戴㡥慦㈲昶戲㙦晢㔳㌶㜷㝦ㅤ㤸ち㔳攸扥㔷ち㑡晥つ㜸㑡ㄴ㥥ㅢ㌲ㅦ摢昵㠳㈳㝦㝥昰㤱㐳扣慤ㄶ搱慡㜶㍤捡摤㠴散㘹㑦㈰愸㥢戸㈸㜲㌱㍦捣㌹㡥㑦㤴慣攵慡㤸㌰㍣㘹〵昹扡ㅤㄷ㐳挲㑢㄰㘶㐸㝣㕢挱挴挴扤㠷搰挴ㅣ㙤㜱㜷捡て㥢愴㡢㜰㌴戱㜰改搳㡢挳㠶㑡㐷㐵搶愵戵愹晤〸慡攸㜵㉥愴搹㑡攴愹㤳㐹㔱㝥搸慡敢づ㔰搷㠵〷ㄹ㠶晤㘳㈹㠵昸〳㈹㈴㜹㤰攱㠵〰㈹愵㑥愲愰摤㠰㉣㈵戲搶ㅡ攲愵㍦㘰㕢〸㠸晡愵扦㉥㍦㘲〱ㄴ㠱挵搸ㄷ摦敤㠹㤶戶㘸慣㥡ㄸ慡㤵㌶捤ㅣち昲昰挲㡡戱戸㜶ㅥ㠵㌸㘹晢㔱摡戴㍢㡡㉦改户挳挰㕢挸搸㥡㑤㕦㕢搱扥捤愹攱收〷昴㑣㕥㉡っ㘷㈷慢㜱㈰㤵㌱扡戰㙢㌱慣㘲㍥㄰ㄶ敢㠳㝡愳㈶攸㉣㘷㌷㑥愵〸晥昱㑢㈱戶㡦㌴愶扥戸戵㠵㍡捥改挱〶昹㠳晤㜵㘵ち㘳攳慤攴ㄸ㐸搸㑤昵㉡㠴搷挳㑦㘱〸㌷㥤㔱昴㐶㔱㍥㉢〷昰㈷收慣慣摡愶晦ㄹ扤㤶㥣㜵㥡愳ㄹ挶㙥搲晦㜷愳㘲㐳晤慦㌰昶㈶ㄱ㜹㑦㔴㤰挶㈹攳㈷ㅢ㠶㙣〸ㄱ㜸戶ㄱ扣㤱〷㘳㕤ㄶㄹ昲づ㑢㜳昸㜸㌵㙣㤶ㄲㅣ㝥慦㕣敢搵㠸晡㔸摡戶扤ㅤ〵㈰㘳㐳摡㌳㄰㐱ㅤ挷㌷换慤昸㜴㥢扦ㄷ〳㜷ㅤ户捡㥥敢扢㘶㌰㍣㠷愰敦㌰扦㍤㌳㘱昳㡣㉢摦㙢ㄵ㙡㔷〳ㄲ㝤昷㘱捣㠹ㄹ〸散ㄳ㈲㜸戳㘲㤱㡣㉣㙣㉥㤲挱敦㤰〶ㄳ攱㈵㙡〷晦㈲昳捥㥡㔱挵愷慢㌳昰㜵〶慣摡ㄲ捡㉥昴㌸户摥搰㈰攸㜰㐷敢づ昸㠳㐴㜵ㄴ挱㌱戹㠵㝢敦㈳㕣㕢㘱搰摣㌷摡㥢捦㥥摤昹摣㡡摡搳挰改收摥搲㑣㌲㝣㈷扦㐸㉥敡㈵收戸戴㝦〸㝦㌷敦愰攵㙣㐳愰昳攸㠳㙥㍡挲㐶慡㜰㥦㙤㈲晡㝤〶㐳㤵㜱㘶昸改㐶㔴攰㠳㐲㉦ㅦ㔹㔱昹㉥戶㐵〶㐰㌹㤳㉦㈳敢㑣搵㑦慣㐷搵㠳户㘳っ昹㔵ㄷ挸晡戳ち㡦ㅡ愴捡愲昲㉤昴㈷搴挲摤㉦戲づ㐷て㜹愴㐰㔹㑦㑡㜲㠵㐷ち戹㥥㙦㘰㐰㝤㍤昷愳戶昳㝡扥戶摥㝡ㄴㅡ〳㜲扦挹昹〷㘳㘵愲摢㝣戵挳捣㘵戶㡣㙣㌰敥㌹㐰㌱挹扤攴挳㔰挳戳挴ㄴ搲敦愲扦㉦ㅤ㝡攱㍣搳摦て㈹㔲㌰愲愹㜹ㄷㄴ㡣㜲ㄷ㕦㑡敥挲㐷㙤攷㕤㝣㘱扤㕤っ㔲㘶㑡愸搶㔰〰㔴㑢昸㈳㜷戵㠲〲〱捡㥦㜲㠶ㄹ㝥㑤慢ㄸ㌴㔰㈳挷慥愲搰㥦搵㠸㤸て㜶搶㉥㌴ㅥ攳㑦㘱ㄱㅣ㘸晡收昵㌶㝣挳扡挶㘸㜷ㄶ㥦昰㙢㔲ㄵ收搴て㜴㌷㔷㙣㡥㔲㤳㘹㡦㘲搷㙦㘰ㅥ㙥扡攱㜳攴㡣㝢昰㉢㈰〸㐱㌲㤳㈰㜹㄰㠵ㄸ㔰ㅡ戱㥥昲㘵㤳㌴づ㜹ぢ㤴㡥慣㝣攸㠹捥㠷㈶㐱挱㡥㕣搰㕢㐲㌰㘲㑢晣㔴戸愳㍥换㜷㜹扤㐱昹㜴㑣㠵㐷㡦挶㥦㡤愹㔱挰つ㕣㄰㥡攳攴ㅡ〲㔲㜹㈴敥晣攳㥦㌶晣挵㘸㐰〲慢㠴㥤挹㕤戲昳愷攲捥晢昱㐹㥡散㤳㈱㐱㌱扤ㄴ㜷㈶ㄷ捡捥㥦㡣㍢晦㙤晦敥㝡攷㤸改挲㤹㌵㜲㐴㡡愱㉦㡦㍥㠹捦搳〷搰㕤㌳㘹㍣昴㥡㘱㌵〹㔱挶捤慢搲㝣攸挳㑤ㄸてㅦ㠸㑦攳㘲ㄷ敥扦㐰挳㠴晦㥦㠸㘳戸昰㌵㘵〴〶扥晦㕥㐱愴摤搳攵ㄳ〷攷捤ㄹてㄵ㍤收㌱ㅦ〷捡捡㤶㈲ㄱ搸㐲戹㄰扥ㅢ㐴㈴㔲散收〶㍣攲〸愱捡ぢ㌴摤㘹㑥ㄹ㔵捡㈹て挷㤸捤㍣摣愰ㄹ晤ㄳ㐰づ㜴〲㜲ㄶ昴㑦㈲て愳㔰扢㔸㌱㐸㘱㈷㈵搹㈳㙣昸㌴戳捦㈰㉢㉡㤴㙣愴㠳晣愳挸〶攲晦㑢挷昰㡡㜴ㄶ愹捡㙡晣戲㈴ㄹ改㥦攵㠰捦㈱换挲㜷慤㐴㐴㔸搴㍦㡦㥡攴㑢㈹㌸攴㑢扦挸㠶㉦㌱晢㌲戲愲挶挵㙥ㅡ㙡摣㔳㤷㙡晢㉢ㄸ慡㄰ㄴ㥣㐳㝦㉣㉡昰㐱㈱ㅣ㈸捥ㄵ〷㍢愴っ愵戶㈹愸㜹㠵戰㤱つ㜶搴㜰㔰㌶㈸ち攱㈵ㅢ慡㔱〳㜵㤹晥㌵㘴ち攱挱㍤改㕦攷ㄳ挱㈰㕦昸㡤愸㈰㕦㐸ㄸ挸攱㑢㉤㉦㈴㕣㘴挳㘲换ぢ〹㉢搹㘰㈶㕦昸㙤㑥㉡㌷㠶㐲戳扡攲〶㈵扣扦㠳㐲㝦㜶㠰㙢扢ぢ㍦㜵㔵㈹㥦愹㥣㌹昳敡㐰㙥㜸㑦敥敥㡦昴㝤昳愵摦扥晣昸㡢ㅦ㍤昸搷搷㥥㜸攲挵㔷ㅥ㍦晦摡昳ぢ〷㝦晤昴搳扦扡晤挹昳㉦敦㌴㥦㔲㝦晡敡昴㔳て㡤㥤㝤攸〱昳搴昵㐷ㅥ扡攷晥㍢挷㘶㉦ㅡ挹㘶㝢㝡慥ㅤ晡捤㘵敦ㅤ㝣昸㠱㥦㉢扦晣攳愵㡥㈲户㡢ㄷ㌴㉦㠳摢㤶换㜸ㄲ〵㉣㠳㉢㝥㑢㤷挱敤㑡㐰㥤㠹〰㌵㠱㡡〲㥣ㅦ㕣㠰㙣㈸㌵㌷昴晥〷㈵㔵扤挱</t>
  </si>
  <si>
    <t>2a9da58c-3e84-4b82-88bc-ce61b3365a2e</t>
  </si>
  <si>
    <t>㜸〱敤㕣㕢㙣ㅣ㔷ㄹ摥㌳摥㕤敦慣敤搸㡤搳㑢㑡㘹つ愵㉤搴挱㡤搳㠶㔲㈰〴㕦敡㈴挵㠹摤搸㐹㐱㠰㌶攳摤㌳昱㌴㍢㌳敥捣慣ㄳ㤷愲㔶搰㜲ㄱ㌷㜱ㄵ㠵〲㔵㠵㉡昱㐲攱㠵㙢㕦㤰㤰㐰愸㐸㍣挰〳ㄲて〵㈱㄰〲愱㐸扣㠰㠴〴摦㜷㘶㘶㜷㘶搷㍢㜶户㉤戸挸㈷摤摦㘷捥㙤捥㌹晦昵晣晦㤹收㐴㉥㤷晢㌷ㄲ晦㌲攵㤹戹㙥㘹挳て愴㍤㌱攳搶敢戲ㅡ㔸慥攳㑦㑣㜹㥥戱㌱㙦昹㐱ㅦㅡㄴ㉢ㄶ敡晤㐲挵户ㅥ㤴愵捡扡昴㝣㌴㉡攴㜲愵㤲慥愱㥥㠳昰㌷ㄲ㍦攸散㌵㤸〷㔸㥥㤹㕥㔸戹ㅦ愳㉥〵慥㈷て㡣㥤つ晢ㅥ㤹㥣㥣㤸㥣戸攳捥挹㌷㑤ㅣ㍣㌰㌶搳愸〷つ㑦ㅥ㜱㘴㈳昰㡣晡㠱戱挵挶㑡摤慡扥㔳㙥㉣扢ㄷ愴㜳㐴慥ㅣ扣㝤挵戸攳捤㤳㜷ㅣ㍥㙣摥㜵搷㥢〷昱敡摣愹㤹改㐵㑦㥡晥㑢㌴㘶㠱㔳扥㘳㔶㔶㉤慥㑤㑡捦㜲捥㑦捣㑣攳扦挴晣昱㜴攷挴搲慡㤴〱㕦㉤㍤改㔴愵慦愳攳㠰㍤攵晢つ㝢㡤㥢愷摢㜳㔸㙡搵昰㠳㠲㍤㈳敢㜵摤㡥㐷㉤搹ぢ搸扢扡戱㌱㘸㉦㐹挷户〲㙢摤ち㌶㡡昶㌲〶慡つ搹㘷㝣㜹摡㜰捥换㔳㠶㉤ぢ昶戱㠶㔵换㠷㈹搷㜷㑢㍣㐴㜲㘲㙡昹ㄳ㔳扥㍤戳㙡㜸㙡㐶㍥㌷㈶愳敤㥣㔷㑤户扤戱晢戸㥣扡㝡〳挷扣愹㝢㍢搴㥣㌵扣㘶换昱敥㉤愳挵愷㘷㜰㕢昷昶㠹㍤㑡昷㜹㐳昷㍥㙡㉢搳慤挵㐰㐴摦㙡㐷戱ㄸ扤㐸搰㑦㔰㈲㈰〲昵㌲挱〰挱㈰㠰挸晦ㅤ㕣㤲散挸㉡慤㘲㘸㤵ㄵ慤㔲搵㉡㌵慤㈲戵㡡愹㔵捥㙢㤵㔵慤㘲㘹㤵晢戵捡〵戴㠹㔳愹扦㕦㡢搲㤱搹㝦㑥扦敤㡦㝦㥥㝢攲㡡㉦㝥攰晤㥦㜹收搹挱㍤㘸㜴㙦㌴愹㔹捦戸〸㔲㙢㔱昱愱㠹㠳晣户㌵㔷㠰㈹捣挳收㥤收攴㘴敤昰㐱攳㜶愳挰㘵㘵㈰㍦㐵㈸㈳㘸㍢㘸摥㘷㌹㌵昷愲挲摤㜵搳㠶㉦㕢ㅢ㌷ㅥ搵㑤扢つ愷收扦㙡昳捡愵挰〸攴戵敤㜵慤㐱㍡扡㉤㠱慤愴慦摥㜷㝤㝢户戳㐶扤㈱愷㉥㔹㘱昵慢摢慡敤㐵捦㕤改㕥㍢攷挹〷㥡戵ㅤ㌳㥡㠲㔰㕢㔷㘳㜷慣㌲慣ち攷㌵㌶戳敡晡搲㔱搳ㅢ户ㄷ慤敡〵改㉤㐹㡡㐴㔹㔳㑢扤㤲㔵ㄱ搷㡦㉦㌸㔸㈸戸戵昶摡㘴愹㜹昷愵〰捣㉣㙢㤸敦㥡昴㠲㡤㘵㘳愵㉥慦㑡㌵〹摦㠹㡡晤愹攲㌹户摡昰㘷㕣㈷昰摣㝡扡㘶慡戶㙥㐰搲搴㑥扡㌵㤹捦攷㤴㔰㠰挰敤敢ㄳ㈲㜷㙢㜷㕥㔰㠸㐸愰㤸㡣㝣㑤㥡散㈶㑥㘳㜵㔸㐵㕤㤲㈶戵搷㙤㌱ㄸ攷慢㘴㑣〶〷㈶搶㐴晤挱㤷扥㝥㡢㘱㥢㤸㝢㜹ㅢ㙢摡㘸戴晡扢搷愵ㄳㅣ㌷㥣㕡㕤㝡㤹摡㑦㜰㐶晡㌰㐰攱㌲〴㐲搷摤愳慡ㄳ㤷挴㐶攱愲㔵ぢ㔶㡢慢搲㍡扦ㅡ愰っㅡ戲㔴攲搶㜶㈴晤ちㄴ改㝢〹㐶〱捡攵㕣㜱ㅦㅢㄵ换㐸戹〲愵㔳〶㉦愷〴㌹晢愵㜸㜹搰㥣戳敡㠱っ㠵昲戰〹㡣㠴㕡㑤愱㙦㠸㈴敡ㄹ搵㔰㘱散㌳㘷㐰愵㠶攵〴ㅢ㉤扥敤攰㤲㤰㠸㜶㘵挱㡥㤳〵ㄴ〵㘹㜹㤰挱㙢㈰㥡㌶㘹㤰摤㌸㐱㐴㘴㠳っ捤㡥㤱搳㐴挶昶ㄹ㌲〲敤㤳㐴挸搶〷扢换〸ㄲ㝢㈷㤱戲㔳㔷㝥摣㤵㘶㥢搹昲愱㌴扢ㄲㅢ愷㕦㐵㜰㌵挱㌵〴晢〱挴ㅦ㈱攱㈸攵㤰㑦㈷晤㔵㜸搶慦㈳㜸㌵〰攴㤳㑥㤹ㄳ㠹㉡摡㔰摢戱㈳搹㙥〸㜶戲㌲㡡㐳㔱㐴换戸㘹㘷づ搹ち搱㤱搵戹㌳㜴㙤㕥改搸㥢扢搳㘶㜲㌹愴挸㡣愶挹戵㙥搱㌴戹ㄱ㙣摡愳摥扡〱㕤昵㌱㠲搷〰㤴昵搷ㄲ㐲戹搰攰摤㥥㐵㑦㤳昲ㄵ㘱ㄶ㠵挶㔰㡦ち㍥㈲㘴ㅥ〱㌲㠴㕣挷昱㘵搷㠶愶㌹㌸㙥扥攲㙤攸〳摤昹㍢㐲㝡㥢摥摣搵㍢昴ㄷ扤㐰㉢晡㐶戰㤷昸㙤㔷ㅤ㜳ㄳ慡昵㥢〹㙥〱㘸搳㌱㍣㝤扦㔰㑦㠱㌲㡢敤〴收昶搲敢愲慣摣攵㡤㌵愹㌴搰愰戹㙣㜸攷㘵〰て挶㠹㔹搸挲慥攷挹㍡づ戵㌵㔵挰昳换搵改㐲㝦捥㜳㙤㤶敦摡挸晥㉢㐲㌱攴昳㕡㕦慥捤㐶捥戰㌵ㄳ㍥愷〴攵㔰〷摦摥㕤㐸㈴㍡愵挹㡢晤戲捦㤷扢㤲愴〷㐹昲〶㙣慢㝥㉢〰愴㠴昸㜵㔷㠹㜲㠰捤摥愸㥡愵㉤㔶㝡昸㌲㑥㈷㙤㍥挴づ㌹㌲㄰㍡㙣愷攱㍦昰㠷散㈵换㙥ち㡢〱㝢㔱㝡㔵昸ㄶ慣扡㉣㠷㙥㔹㡡㥡㕤㔹昱ち㤱ㄵ㝤㝤ㅤ攷改っ晦㥡愲㤳㌶㈹㤱挹敤㤹㤵ㄹ㘷昱ㄶ㔱搱つ㐹愱㤲攱ㅡ㙡㑡㈰㔲ㅥ摢敥㡡㤸ㅥ㐴捣㙤搸㌸晤㈰挱㈴挱㈱㠰挲㉦㈰㘹戶扢昱っ㠷昵慦搳愵㕤愹攴㑡㐴㠳㜲ㄱ㍥搷㔵㔸ㅤ收㙢摥㐴㜰㈷㐰㥢昹㐳〷㘴〶㈱㉡㤴㈷〸㔱㠵㌱捣戳㤶扣㐸ㅡ搸㘳㈲戰㌴搳昰〳搷㘶㘴㘹挸㥣㜵㑦戹挱慣攵慦㈱ㄲ㌵㙡㐶㤹晢㔶愵〳敡昲㘰晢戴㤵戹㙢㙢戲愶㥢㑢㙥〳愲敤挴散㑥㌸㤸㘳㍢㘰㑢慡戳戹㈶㤰㝡㍢ㅦ㘳〸㠱㥤㔶晥㔶㝡㘳户攵晤收愱㙦戸戵愳换㔶㔰㤷〳㘶挸㜴捣㤷㑣散㈲㈲〷戵㝥㜳㜹搵㤳㜲㜶挸㍣收㔹戵扡攵㐸㈲〳㌶㈶㠳㜵昳昲㍣愲〴㡢㉥㘳㠰慥㌳㘴㉥㝢㠶攳慦ㄹっ㈸㙥散㑤㍤愹戰㐸挱㥣戶ㅣㅦ慦㔱㔸㘴㝥搸㕣㕡㜵㉦㈲㘲摢戰㥤㘳挶㥡扦㈳戰㐲愲て㤳㐲㡤搰㠴愶㠹㤲㔶敡ㄵ㍦㍣㤰攷㜲攴扤㍣㠱挲㔵慥㐰㥦㜹㠶昶愶㕤ㅦ挵㘸㘸愷㜳㑥㠳㠸ㅥ㌵ぢ晢㌲愵㌰㌹㔵扦㡢㝤摥〲㜰捦戱㌳㈷㕡㤱戹ㄷㄵ戳㉥搰换㥦㈱攳ㄵ㔹㌴〳㈱昴搱敤〹㐹㠵㘵愴ㅣ㜰㈰㌰捥愷㜶昲㉢㥢慡つ愹㙦㑦㉢㍢㠷㐸搲愰㌹㙦慣挸㍡攲搱戶ㄱ散〹ㅦ㘸挶摡㐶摤㡦敡㘶㕣摢㌶㐸㕡㈴换愵慡㐱ち㥥㙡〴敥㐹换搱㑤〰㐵㝦㔱㤱㜱〹㐵挶㈵㔵㌴㘸㥥㘶㘸㔰攵㌹㤶㝢摥昰慣㘰搵戶慡㈵㍥㌰㝣户㈳㘸ㄲ㑣㑥挹ㅢ愷㔸㘶㡣戵㔹昳㘷㘰戲昹ㄳ㐰昷〴攴㈸户㡥攸〷攵㙡愲㠸㝦愲㐷挷ㄲ〴㡣昲㤴敡㙦挳㘸〵㜵㍢〲㈲㐷愵换昱ㅤ㡣换て愳㈴ㄴ㐲挴㝡〶㠹挰㉢㤸㄰昲㜴㜱ㄷ捤㌳㡥ㄵ〰㝢挴搸㥣ㄵ捣晡㐰㌹〰戲敡㜸㝢慤挲㙡愲搳㜸㔳㉢摣搰㔹㤵㔲ㄳ搷㜷搶㈷昵挶敢㌶愹づ㌵㑡㐲㤱㙣搵㐸㘹㤶㑤收戸㤳㔴㡤㔰㡡㍢搶㌶㈲换㙤摡摡㜷㑡㤱ㄷ愱㤸ㄴ捤攴昴户㉢㐲㐱愰㌷搲㔱昴搹㘷㤳㐷㈲㘲㐳ㅢ愰㑣㍤ㄵ㤶つ㐵㈱挱ㄳ戸㜶㔲㤳攵攸〹晣扤㈷捡㉥㌴㠲㔴㡤㜱㘹㌴慡㤹慡搷ㄷㅣ㔸〹㔵挳慢敤㄰㤶挶摡㐲つ愳戸戳㔷敤ㅦ㙥㙦㠲ㄱ㈳㌶㘴㔸㈴挳てっ㌶〴㜳㈵㈲慡戴捥㠶戸搵捤攲ㄲ㥦㑥㑡挳㔱ㄸ㔸ち㙡戳㜲㕤㤹㘱㉤㑢㝥㔴㜵㘸㥥ㄶ㤵ㅣ搵捤愹ㄵㅦ㉡㍤愰ㅣ㡦㜲㡡挱㜵昳㌴摤㔲戸挴〰戱ㅢ攵ㄶ慢〱㐲扢捤〱㜸㌲搸㌹搸挱㡥㠴愱ㄳ㕡㘷㤴愰挵っ挲㑤㉦㠲扣搳㈳㐶㈱㐸㑤㤵晥㜶㔴㝣昹㜱愶㙦ㅥ捤挵㤹㠸㠹ㄸ敥捡戰ㅥ㠰摣㘴㘴㤲㕣㌴ㅡ〷捣㐳挹愶㠴搶㘰㕣㐶ㄳ㘳㠸㈶㥦ㄷ攰ㄶて㘳㔹挳㘴㥢㍡敥戹〵ㄶ戴㘹㝤㘳㡦㜹挲愹搶ㅢ㌵愹㔴㜱㉣慢㤵㐶摥ㄱ昸㔲㔷〰㐳㙥捡搸㤷㘸㔳㑥攰㈸挵㈵ㄳ㐹扤摢摤晡㔱㜴㔷㐲づ㘳㠴慡㡦〱挸っ户㥣ち㠸㜵摣㔳愰㝤戸户㜵㠱㐱㕤㥥㠳㐸敢㈸愲㉣㥢挷㝤扣㘶ㄴ㔹㜱㕢愲搹扣㍢敦搲㘶㑦ㄴㅤ户挲愲ㅤ㠱㈳慣㌳ㄴ㜸挵㈲㡣㤱ㅥ戹㠳㠳攴㉥㐷搱摤换て慢挷摣㘵愰㐲㘱㐰㌰挶换㔳㔰づ扢ち㐶愲挱慤戵慣㙥挱攸㉦㉤㙦㝤ち㐰㌰っ㑣㠳ㄶ㉤㐳〳㘷〶昹慤つ㥣ㅢ搰㉡㈳㐲㥡っ愶㌲㐶㌹ち㠷㍤㤰〶㙥攲㐱㝡搹㠵ㄲち昶愹㡢㘱昱摤挴㜱ㅢ㐷㈰搷扢慡慤㜰搱〸㜰晤挵搹摦㔶㍣㔵慢搱摣㠵㝦㙥㐷㘰ㄵ㔷㌷㐲㜳㜴㕦摢愵㉣戵㈶摡㜷㌷戶㔵㐴㤷〵て捤㑥ㅣ㌷㠲敡敡㔲戰ㄱ㕥摣敡㤵㈴ち捦挲ㅦ戱改摢㘹㌳攷ㅤ㕥㐴㕤攷摥㤷㉦㌸敥㐵㐷捤慢攰昳搶ㅦ㈸〴㔷㈸晢㌹挹㜲敥摦昸愷㤲㤶㉢晣〸㈳㙥㘷摡ㅣ愰攵㈰攱㌸㉡㠵搲㘰っ昹っ㍡㠱敤摥扣㌵㐰㍡搹搷㐶㈷㑡㄰散ㄲ㡡㜳晥㈵㈳ㄴ昱㐳愰㤵挴ㄲㅥ挹戱攷㑦㠳昵挵て㔰㐲㠴攳㌹ㄲ㈳㠵搷㈰㤷㠱㍡㈵挸愳㉢ㅥ扣㄰昲晦㠳愵㤸㥢㌷㘵愷晦〲㌳㡢敦户愳攸㝡愲攸㝢ㅤ㈸ㄲ扣〶愲昸昷ㅥ㘴攲㔴㘰㜸昶〵〵挲戹愶摤〳攸换㝥攱昷㝦㜸〰㥤㡦㠸㐳搹㘸〸戵摤㠴攷愶㠹搰搷㘱㈲㌰㜸慦㑣㠴㤳挸〸㐶昱㐳ㄳ㈱昲㠱㉣愰㘰㙢ㄳ㠱戱扤っ㐳㌰ㄱ㙡㑤戸㌵㜸〲扢捡愶㝦散㌸㉥摥㑡ㅦ昱㝣㈸㉤㝦〶ㅥ愹慢㍢㡢ㄷつ捦戰昷慢昲㘳㥥㠴㌲昳㤶㜱㤳㕢㜵㘱㡦㙢㌷慤㔱㥤㌶昱㔵挴㕥昶㕤㝦捡昶敥慦〳㔳㘱ち摤昷愲㈴㡡㉦挲㔳㈲㜸㙥挸扤㝦摦户㡥晤敥挱㐷㡦昲戶㕡㐴慢㠵㕢㤱敦㈵㘴㑦㝢〲㐱摤挴㐵㤱㉢昹㘱捥㐹㝣愲㘴慤搵攵戴攱㈹㉢挸搷敤㌸ㅢㄲ㕥㠲㌰㐳攲摢〹㈶㈶敥㍤㠴㈶收㐴㥢扢㔳㝤搸愴㕣㠴ㄳ㠹㠹㉢㥦㕥ㅣ㌶ㄴ㕤ㄵ㔹㡦搶㘶攱摢㔰㐵㉦㜰㈲㘹㉢㤱愷㑥㈶㈱㥥㘹搷㜵㠷愹敢挲㠳っ挳晥戱㤴㐲晣㠱ㄴ㤲㍣挸昰㐲㠰㤲㔲愷㤱㈹摣〶㤰ㄱ㔹㙢て昱搲ㅦ戰㉢〴㘴昳搲㕦㡦ㅦ戱㘰ㄷ㠱挵搸ㄷ摦敢㠹㤶戶㘸慣㥡ㄸ慡㔵㌶捤ㄲ㌲敡昰挲㠲挹戸㌴㘵改ㅣ㐲改戶摤㔱㝣挹㤰ㅤ〶摥㐲挶㉥搸昴戵㤵敤扢㥤〶㙥㝥㐰捦ㄴ㤵挲㜰昶戲ㄸ〷㔲ㄵ愳ぢ㥢㤶挳㈲挲攱㌰摢散㌴㄰㔵㐱㘷㌹晢㜱㉡㐵昰㡦㕦ち戱㝥扣㌵昴㤵敤㌵搴㜱㑥㍦ㄶ挸ㅦ散慦敢㌳ㄸㅢ㙦㈵挷㐰挲㙥慢㔵㈹扣ㅥ㝥〶㕤戸攸㥣搰㕢㔹昵㉣づ攳㑦捣㔹㝤㕡㠷晥㘷昴㕡㜱搶㔹昶㘶ㄸ㍢愵晦摦㠵㠲㉤昵扦㘰散㑤㈱昲摤㔱㠶て〵挶㑦戶っ搹㜰㐷攰搹㐶昰㐶ㅤ㡣㜵㤵㘵挸㍢捣㉤攱攳搵戰㕡㐹㜰昸扤昲敤㔷㈳㥡㝤㘹摢づ㜴ㄵ㠰㡣つㄵ㥥㠶〸敡摡㍦㉤户攲搳㙤昱㍤攸戸敦愴㔵昵㕣摦㌵㠳戱㈵〴㝤挷昸敤㤹〹㥢㘷㑡㝣愳㕤愸摤㠸㥤ㄸ㝣ㅦ晡㥣㕡㠰挰㍥㈵㠳㤷㉡ㄶ挹挸挲昶㈲ㄹ晣づ㘹㈴ㄱ㕥愲㜶昰慦㌰敦㙤ㄸ㜵㝣扡扡〰㕦㘷挰愲ㅤ愱散㐲㡦㜳晢つつ㙥ㅤ敥㘸扤ㄳ晥㈰㔹㥦㐰㜰㑣㉤攱㍤敦攳扥戶敦㐱扡㙤戴㌶㥦㉤㝢昳戹㤵ぢ㑦〱愷摢㝢㑢㥡㘴昸㑥㝥㤱㕣搶㉢㠴戸戴㝦ㄴ㝦户敦愰攵㘸愳愰昳攸㠳㙥㍡挲挶敢㜰㥦㙤㈳晡㝤づ㕤挵ㄴ〱㝥扡ㄱ㘵昸㈰攸攵㈳㉢㡡慦㘱㔹㘴〰攴㜳挵㉡㐰㜷慡㝥㘲㌳慡ㅥ㠹〵戲攰ㄹ㠳攴㔸ㄶ㕦㐱㐳㙥㔷戸㙣戰〴㤷㉤搴㔹〲㜹㍤敥㠱㝣㑥昰㉣愱㈶昲㈵㜴㘸㑥挴㐲㘹昷㠹㝣㜱戳㠹〸㕡〱㙡愱挹昱㐷㘲㉤愲搷㔱慤摢〴づ㠱ぢ㌰㑣戱㐸㔹㔳っ㐳ぢ㍦㈰㘶㤰㝥ㄹ晤㝤晥攸㉦㥥㘳晡敢㔱愱〴㈱慡搲㤳愷㈰㔴㤳晦㜴㜲昲ㅥ㑡扢㑦晥㤳㥢㑤㝥㠴㌲㤲㌳搱〳㠰愱㍥㔱挱ㅦ戵㤸〶㌲摣㐷晥挴㌹〲晣㔲戳ㄸ㌱㔰愲晡㕥㐴〶㝤戹攱慡搵㈵㘴攲扥〵慥㍦攳攳ㅥ㘵ㅦ昱㈲㈴㝤㌹挵搰ㄹ㕢っ戵㘲挹㡥扣戰㍢㐲㌶㘰㐹晣㕡戶慢㐸㉦昶ㄸ攱ㄷㅦ㠹ㄱ㜳晣㜸晣攵㤴ㄶ挵㥣㐰ㄸ愱㐵㑡晡攱㐶㡡て挷㡤扦昳摤㤶换ㄴㄵ㐸愰㥥戰㌱改㑣㌵㝥㉣㙥㝣〸㕦㘵愹㌶㌹摥㈰㘰㝡㍥㙥㑣㝡㔴㡤ㅦ㡤ㅢ晦攵搰晥㘶攳㤸づ挳㤱ぢ㈴㤲っ㕢㔷㔹晦㠹㉦戴㠷搱扣㘰㔲㝦づ㤸㘱㌱㈵愷ちㅤ搷㤵〶ㅤ挴㘵㄰て摦㐸捦攳㙥ㄳ慥㠰㐰挸㠶晦慢㠴ㄳ戸昳㌴㙢〴〶㍥㠱㕥㐷戰搹搳搵ㄳ㍢ㄷ捤〵て〵晤收〹ㅦ㘷慡摡㡥㈲ㄱ㤸〳昹㜰㝦户㜰捡㘷㤸㡥慤晤㠸㠳㘴ㅡ敦㤰昴愶㍣㔴㘰㈵㉦㍥ㄸ㘳㌶昷㐸㡢㘶昴㠷㠱ㅣ㐸㐷㐰㘶昴㐷〰挳㐰っ㙦㉢攷㐶挸晦㡡戹㍦挸㡡てㄱ㍣ち㔰ㄶ㘴㜶搲㐱昱㌱㠰攱昸㝦㔴㌱戶慥晣㈵㥡㜸㌰㝥㔹㤲㡣昴㡦戰挳㐷〱晡攰扥ㄵㄱㄱ㤶昵㡦愱㈴昹㔲ちづ昵搲㡦戳攲ㄳ〴㥦〴㈸ㄷ㌸搹㙤敦ㅡ搷搴愳收晡ㄴ扡㡡㐷〸昰搳㍦ㅤ㘵昸㔰攰㍥扣戵扢慤捣愳㜰晣㘱㍦㐲㥤愹㉦昸敦挶ㄷ昹ㅢ㕣㜴ㅦ晥㠷㈴〵㘵搸攷戵户昴㌶ㄶ㤹㠰㌶戹晡慤㘱戳㕦挴㌸㕣㔷㉢㠲挲ㄱ愹㔴㑡㕡㔱㄰摦㕣戰㜰昱〶扥攵㠸慡㄰㠲㌴愰㉡㥣愸攲㈸ち昴捦戱㈹㜱㑣㍣改㥦攷ㄳ㔱慢㌶昱ぢ㔱㠶て㠲㜸㔵摤敦㡦扡挷㉦㈴慥㔵㠵搵昶㐲攲㕦㔵慣㈶㕦昸㌸〷㔳挸㐲㈶慤㤵㠸㌴㐵㐳㕦㐱㘶愸㙦㤸㜳扢て㍦敤㤲愸㥥慢㥤㍢昷㡦攱晣搸戵昹㜷扤㘳昰昱攷㝦晥晢捦晥敡扤㐷晥昴慦㈷㥥昸搵ㅦ㍥晢摣扦㥥㕤㌹昲搳愷㥥晡挹㍤㕦㝦敥昷㝢捤㈷戵敦晥㘳晥挹㠷㈶㉦㍣昴㠰㜹收搶㘳て扤晢晥㝢㈷ㄷ慦ㄸ敦敢敢敦扦㘵昴㘷搷扣㝥攴㤱〷扥㉦㝥晣㥢慢ㅤ愱㤶㡢ㄷ愴愷挱㘵慢㘹㝣ㄵㄹ㑣㠳㌳㝥㔹愷挱攵慡㡤㕡㠹㌶㙡ㅡ〵㈵昸㌴㌸〱㔵㘱愴㉢〶晥〳敦㤲戳㡦</t>
  </si>
  <si>
    <t>HTL sputtering</t>
  </si>
  <si>
    <t>PL 1st-step spin coating</t>
  </si>
  <si>
    <t>PL 2nd-step spin coating</t>
  </si>
  <si>
    <t>PL treatment</t>
  </si>
  <si>
    <t>ETL 1st-step spin coating</t>
  </si>
  <si>
    <t>ETL 2nd-step spin coating</t>
  </si>
  <si>
    <t>Electrode sputtering</t>
  </si>
  <si>
    <t>Ar</t>
  </si>
  <si>
    <t>O2</t>
  </si>
  <si>
    <t>O₂</t>
  </si>
  <si>
    <t>NiO</t>
  </si>
  <si>
    <t>Tem</t>
  </si>
  <si>
    <t>Treatment</t>
  </si>
  <si>
    <t>Nitrogen</t>
  </si>
  <si>
    <t>Nitrogen glove box</t>
  </si>
  <si>
    <t>Inert gas purging</t>
  </si>
  <si>
    <t>Key input parameters</t>
  </si>
  <si>
    <t>Current value</t>
  </si>
  <si>
    <t>Notes</t>
  </si>
  <si>
    <t>Recycling level of substrate</t>
  </si>
  <si>
    <t>0%--&gt;no recycling</t>
  </si>
  <si>
    <t>Recycling level of electrode</t>
  </si>
  <si>
    <t>100%--&gt;current practice</t>
  </si>
  <si>
    <t>Consumption of electrode sputtering</t>
  </si>
  <si>
    <t>CF</t>
  </si>
  <si>
    <t>Recycling level of substrate (90%)</t>
  </si>
  <si>
    <t>PEC</t>
  </si>
  <si>
    <t>Consumption of PL 1st-step spin coating</t>
  </si>
  <si>
    <t>Consumption of PL 2nd-step spin coating</t>
  </si>
  <si>
    <t>Consumption of HTL sputtering</t>
  </si>
  <si>
    <t>Consumption of inert gas purging</t>
  </si>
  <si>
    <t>Consumption of ETL 2nd-step spin coating</t>
  </si>
  <si>
    <t>Recycling level of electrode (90%)</t>
  </si>
  <si>
    <t>Energy consumption of PL 2nd-step spin coating, kWh (17.16)</t>
  </si>
  <si>
    <t>Energy consumption of electrode sputtering, kWh (10.90)</t>
  </si>
  <si>
    <t>Energy consumption of PL 1st-step spin coating, kWh (9.650)</t>
  </si>
  <si>
    <t>Energy consumption of HTL sputtering, kWh (7.350)</t>
  </si>
  <si>
    <t>Energy consumption of inert gas purging, kWh (2.750)</t>
  </si>
  <si>
    <t>Energy consumption of ETL 2nd-step spin coating, kWh (0.360)</t>
  </si>
  <si>
    <t>㜸〱捤㔸㕤㙣ㅣ㔷ㄵ㥥㍢扢㌳摥㔹敦㈶摢㈴㙤ㅡ户㑤㔷㄰愹〹㌶㕢㍢㠹昳搷㠶挶扢敢扦挶戱摤散㈶ㄱ㐸㘸㍡摥戹攳㥤㝡㝥捣捣慣敤㉤ㄲて愵愰〲㐵愲ㄲ㐲㐲愸て㈵㐲㙡㜹攰〵〹挴扦愰㉦愵ㄵ〵昱〰ㄲ敤〳㐵〸㔱㠹ㄷ㤰㔰ㅦ㔰ㄵ捥㜷㘷搷摥㕤慦摢挴〴㈹㤳散昱扤昷摣㝢敥㤹㜳捦昹捥戹㈳㌱㐹㤲㙥搰㠳扦㜸㤲㘸摣㕦㘹㠶ㄱ㜷ぢ㈵摦㜱㜸㉤戲㝤㉦㉣㑣〴㠱搱㥣戳挳㈸㐱ㄳ㔴摤㈶㝥愸攸愱晤㌴㑦改㙢㍣〸㘹㤲㈲㐹愹㤴㈶ㄳ扦晤换戵ㅢㅡ㔶㘹㐹㈲ㄹ㥡㈵㔵㑢挵㠵愵愷㐸㜴㈵昲〳㍥㤲扦ㅡぢ㌸㍦㌶㔶ㄸ㉢㥣㍣㍤㜶慡㌰㍡㤲㉦㌵㥣愸ㄱ昰昳ㅥ㙦㐴㠱攱㡣攴ㄷㅢ㑢㡥㕤扢挸㥢㔵㝦㠵㝢攷昹搲攸㠹㈵攳攴㤹戱㤳攳攳搶搹戳㘷㌲㉡㐹㕥㉣ㄵ㘷戸戳㑡昲㙥㤷搴〱㤲㍡㕦㉡㉥〶摣扡㕤㌲ㄵ㔸㘳慣捣㙢㌶捣挶㜹㘰㝢换㠵㔲㤱晥㜷㔸㠵㝡愷ぢぢ㤵ち昷㐲㍢戲搷散愸〹换㘹敥㐲㙤改慡攱㌴戸敡ち㤵㔲敥㔵㈳㤸㌷㕣㥥㜵慦㠴晣戲攱㉤㜳昴ㄴ㜷扡㘱㥢㐹㍡捥挴戱㝥ㅢ戵㡣㔴㔸㈸ㄵ㑢㜵㈳㠸㘲㤱戴挱挳晤㘶㡢㥤ちㅤ慡㠸㌵㘲ㄴ收㘱㠳㉤㠷挱㥥㐲换ㄴ㔴搵㠸愸㘹㈲晢㍢㔶收挵搲晣ㄸ㑢晥㥢摣慥㜳攱㈰捤㤴㜵㐳搶㤷㘴扤㈶敢愶慣㜳㔹户㘴㝤㔹搶敢戲㙥换晡㔳戲扥㐲㜳摡㑦㙡㘰㐰㙥㍤㈳慦㝤攵㤹戵户晥㝣昱昳㕦昸搷㝦〶㡥昲㉦㌱㜸㥡㜰戹っ㌵戴㉣ㄱ㜵て㤱㍥㡡ㅣ㘷散㥦愴〸㤴昹搶ㅦㅦ㝦昴㡢愵㍦㕤昸㠵晦挳慦扤昰挶㍢换㤹ㅣ㉤㤹㈷ぢㄵ收㜹㜴㥢摣㐹㠱㘵㙥晥㐴愰扥攲挶〷㕡收㘱㑤挳㘹捦㝡㈶摦㔰愹㐵㕥㤰㜱㑢扥ㄷ昱㡤愸㙣㐴挶㠰扢㘸〴摣㡢㌴㥡㌴㉣㔶挵㉤慣捣㡡戱昶敡㜴慢㐷ㄲ㜲愲搹㈱㘵㔰っ挴㤲ㄸ挱㐱㈲ㄹ搳㤴摡てㄷ㘶㡣戰ㅥㄹ㑢づ㍦搲攳㌸戰ㅢ昹敡㤵挸㜶挲〲㠹㥣づ晣挶㉡㉣㝡扢攴㈰摣㌵戸㤷扡㡦㠸㐰㌱晣愵つ㉥㘸晢改㑦㕡㌰㌵㌰改㜰㙦㠰戳挵换ㅣ愴づ愹㔸昶㕤挳昶㙥搳攱㘶敥㈵愱㑦戴㘲愱ㅣㄸ敢ㄴ搷㕢愲㡦ㄷ㐶昱敦挳㠱㡤㜰捤ㅡ户㑥㕢㘳㘳收昸愸㜱挲㔰㄰㐸户ㅡ㤷〷㘸㑤挶扤㘶㝢愶扦㉥〲㜵㥦㑢㔱㈸㠲慦摡㕣攵㘲㈸㘳㔵㡤㘰㤹㔳昰〷戳攵〳㔶挹て〲敥ㄸㄱ㌷挵〰挰晥㘰昷㘰㌸ㄵ昸㉥挶敦㉦ㅡ㈱摦〲㠱㘱㉢摥愸攸㌷㍣㌳扣慦㍦戳ㄲ㤱攸愱㕥摥㤶㤰㙤换㉡〴㡣㍣ㄴ㥡ㅥ敥㕤㈶㥣㝦㘲挳㡥搹て昴戰〹ㅡ晤愵㥤戹㔳〱晦捣㈶㜷㥢㐶ㄳ㤴昱搶㌸昸摢摥㌲㘶挵㝡ㄱ㤰昹㈱昷㠴㝡挳敥愲㕤㕢攱㐱㠵㈳㕦㜲㔳扣敡摤㘰㜱㡡挷ㅡて㠷ㄷ㘰㝡挲㘶昳㈳㥤愳搶攴㐶挴㈹㥡㑤搲㤷㜲㔶搴慣㈲㤲敥改㥡ㄲ敦㐹㡣㐳㕤挳㔳㝥慤ㄱ㈲㙡〳摦改收㑣㤸㙢〶敤㘹㕥昲㑤㥥㑣捡〹㈹㈹㈵昱㐸㤴ぢㄲㄴ捡愳㍤㠱㉡ㄲて㘴㠷㥤〸摦攱㌹㠰昸ㄳ㌷戵愸摢扤戰慥ㅦ㘴㙣㤶ㄲ散摥敥㔸㈹㕣㈶敢㤱㤵ㅣ㡥㐰㤲㝢ㄱ愵㐳搱㉤慦挱㈶㝤昱㌴㝥愳づ㥢挱㙦㌱晢攸捥慦㈲挴㙥㝡挶晦㜷戲㉣敦㙦扤晤攴ㅡ㘱昶㡣攱㤹づて㍥搸㕥搰㐸㍢〴㌲〴㜲ㅦ㤱戴愴晣㤵搰㙤㐷㑢㈲ㄳ戲つ搶㔴搶㙤㌳慡慢㜵㙥㉦搷㈳ㅡ愳㔲㉤㤵㠲㤹攷摥扦㜱攳敦〴昳慦搳敦㕤㔴㝦摡〳㈰㠷㠹愴搳㘹㐹攰愷㥡搶昲愲㉦㌱㘴㈴㤱摤㤱㑦户㠳敢㐷㌱㑤晢〰ㅥ㐳㌲〶愰㘹て㠱ㅣ〵㌹㐶㈴㉤戱㍦搰㝢攰㕤收㐹㈳扢㑢愳㘱捣ㅡ挱慣づ㡤ち愲㉦㈵㠱昵晤捣戶㤹㤹㘰戵昴㥣㙦㤸㔳㐶㡤敡捤㠱㔶戵㤹㉡昹敥㉡攵换㈰㠷㤹㈵㡡ㄶ㡡挲㌵摢攴㐱ち〳ㄵ㉡㙤㤳㔴㙣㠶慡挰㥡㤰ㄲ㘱㐲㔲㤴挱㔴扦扤㘶摢戲㡥戴捥戴戳㜴㥥摤㈶晦ㅦ㑦㥣㜹っ愵㜱㍡㉤㡡㤴㠷愹愹㡤ㄲ㔱㜰戶户ㅣ㥦㝢㘹搱㍤㙥愵敥慦捦搰攱昲㌰㉥收挲㔲㘰㐷〷户て㔳㘲㌷摣㐳㘲㝣㍡攰〴挹㐱㤵㤰㐹扣㈳㔶っ昵攵㠸㐵㐳㈲㍣㍡㠰㘱搸扡㙡昳㜵愴㤳〷户戳愸ㅡ㉤㌵挲挸ㄷ㜵挸攱敤晣戲㍦敦㐷㘵㍢㕣㜵㡣收㤱㍥散㤸㜳慤捥㍤㐲搳㠰㐰昵挳㈶昹慢慢摣散愳㘳挵㙦〴㌵㍥㕢扥ㄳ昰㤸㑥㉡㝥㤸㠰㘲㤶㘲慡捣攸搹ㅤㄴ㌰戸㡢昴搹〳摦㥢㝥攷改㘷ㅦ㔳〹攰ㄹ〵〸㠵㠸〲㜸搸つ㘴㈳㌰戳㕤㠵挲摤戸㔶㕣愲慢㤸扤敡昰愲ㄱ㤰㘳晢㐱愸戹敤㘶散㜸ㅤ〵㝥ㅣ㉤㜷㠲戱㈹敦挵ㄹ慦戰㌳攲㜷㈸㉥㝣㄰捥っ扣㘰〷㝡㔲㤳㜸㙦攰攵㉥捦㑡昹㉤㈱摢㉤㉡〲㌴ㅥ㔸㐳㤹慦敢㔲ち㙡攱㘱捡㥢㈴慡慦㝥〰晢愴㠷敢㥦㔸㤵㕥昱晣㜵㑦㘸慥㠴愸扥〴扣てっ攰㌵㔰㌸㡢㘷扣敤㌶㤲㠲㝣㌲摣捦㔶㜱㤵扣㜹㍦㥤㌵㈹㘱戵㉥愴ㄹ㕣㐸慢〱ㄷ户捥㤴攸㤰〹戳敥㌵㍦㔸㔹昲晤ㄵ摣㕤昶㠸㕥㔸攷㍣挲つ㜱搰㡤慦戹㘸㤳敦㈷ㄲ㕤户挰㤶摤挱㐴㡤ㅥ攷㥦㤳搴㑡㑣〵㌵搱㘳慦搳晢攳挲昶㤷户㕦晤摣扢敦㝤攳昱敢㉦㥣㑢搸敦晤㑤㘱扦㙥㌱摣㘳㙦晣收㤷扦㔳㉦晣攰慢挷㕥戱㕥㝢㙢㔶㐱㑡扢愹㜲〲ㄷ㤴扤搶㈶㜶㔵敤挸攱㠳㔶散ㅡ㘸愷㉣㐲㈳㉡昵捣〱慢㕡愷户㉥㘷慤改挰㌶ㅤ摢攳㜰ㅤ㉡愲㜱㥢㥥攳换㔴搶㉤晡戸戹晢㕥搶慡〶㠶ㄷ㈲搷㜸戵收扥慥㥥㠸ㄶ挵㉡摡㕥㐸摢〸扣㐴㝢慦〵㌸愷㤳㙢戸摥戴戱ㅡ摥〹攱㐴㝥搲㝥㘲昰㤲㤹㉣戳㤴㥣摡㘵㐴㐸敡ㄹ㤲㜷㔷㐷〴㥥换㑦㉥ㄶ慢㔴昹挹〲搹攴攳搸㉦〶㌴㤴㈳㌷㕦收㐱搳㡣昸㍥搲慡扦ㄳ晤㤲昶㘶ㅤ㡡挸搲捥ㄲ㘱㜹㄰晡㘹攷㕡つ㜴ㄸ㡡ㅡ㔴ㄹ㍤㘹晢ㄱㅡ搲ㅥ挵㠴㠷㠸〰㡢㜷〴㘴㠶㍡〷愰捣㕥㈵ㄷ〵ㄴ㔰㕢㘲散㔷搴㐲㌴昷㠹㐶㠶慡〸ㄱ㈹㝣㕥㐳〴挴摥晦㜳㥡摦搷晢㝦搶㘲散㜹昹㐷扦㥦昹挹昵㑢㕦ㅦ晡㜲昱搴㜳㙦ㄷㄹ捡㈷㐴㠰愴㤶㠹攴扢㉣㍥㍤㌳㥤攷慥ㅤ攲㑢㔴摥ㄲ〵㔲扦〳㘰愸扥㜰〸摡㈴ㄱ㠶摡㑢搸㘹慡搵㐰㈷㠷㍡〶㘵㡤㍡㑤攴慥㔲㔱㡦攳扣つㄷ敡っつ敦愱攱㡥愲㍣㠷戲〷㙢戴㔹㄰攴ㅦ㈶㑥〲扤㡢㐴摡㑦づ㈷〲㝣搳收㠸㘴ㄳ㌹㔸㕦㉣挴㘶ㅡ㐴攷㜰ㄶ㘲㘸〱㐳㈸㌴㤹搰ㄶ扤㉥㔹搰㕡挸扡㑣㡤㙣㠲㘱㙦㤸㕡慤愰㍦攱㌸昹㌶㝣㠵㉡昹愳㤴敤晥㑣㜶㠵㠶㡥搲昵慡攱㜰晤戴㕥㈱昳㝤㥣扥㔰戶㈲㍣搲〳㕥㙢搶〸ㄱ㤶ぢㅢ㑥攸戲敦戶㡥攵昹敦扣昸戱㘷㍦昱捣挵攷㝥晡愶昱晤㔳㥦㉡戰㔷㕡㡣摥慦㔷戹戶慥ち㕥昵㤱㝥㠰扣敤㜲㌳摣㝢㤳㥣愴㥢㘱ㄳ挶㐸㔰つ慢〸㤸㐹捡攷㜶㈷慢㥤ㄴㄱ㈷捡换愴昵晦㈰〷㡥搲㥤搳ㅥ愴ㄱ敤㤳㐴ㄸ㡥㑤㜸㍣㡥㐱㠳攱㌵㤸㥡㕤摦挹㠲摦㙥㌱㝡扦摣㌱㥣㉢㡣挷㕥愲ㄹ搰㔸㙣昲㈴㡤㈸搸愹㌷㜹愲搶㥦㠲戱㝡㙥㐹㠳㠳㐸㤵㤵㙦晥昸挲晢㈷㍥㍤挱㥥愴づ㤶户〷〶晦ぢ㝥㥦㉦㠳</t>
  </si>
  <si>
    <t>㜸〱敤㝣㝢㤸㕣㔵㤵㙦敤敡慡搳㝤㉡摤改㠲㠴〰攱搵㡣㠹㍣ㄲ㥡㝡㜶㔵愳㈱晤挸慢戱挹慢挳㐳〵摢㔳㔵愷搲㐵敡ㄱ慡慡㤳㌴㈲㌰㥦づ攳㌰〳㈲㈰㔷戸㌳㠸㜲ㄵ〱㐵昸扣㠳㠳㡡ち攸〸搷ㄷ㠲愳愲㡣ㄷㅤ㜵〶〱〹愰㠸㝥㡣戹扦摦㍡攷㔴㥤㝡㜴㜷㤲㠹摦捤ㅦ㜳扡㙢搵摥㙢慦晤晡敤搷㕡㝢敦㔳ㅥ攵昱㜸昶攱攱㌷ㅦㅦㅤ挷㑦捣㔴慡㘶愱㝦戴㤴捦㥢改㙡慥㔴慣昴て㤷换挶捣㜸慥㔲敤㠰㠰㌶㤹㐳㜸挵㍦㔹挹㕤㘶㜶㑤敥㌲换ㄵ〸昹㍤㥥慥㉥摤㡢昰㉥晢ㄳ㜴㍣㍡㘳改㍥ㄲ㐸㜹㜴㡤愴㤳㠴愲扡㑥ㄲ〰改㕥〰戲㙤㜴㘴㔳敡ㄲ㘴㍣㔱㉤㤵捤㤵㝤攷㕢挹慦ち㠷晢挳晤戱㐴㜸愰㍦戴戲㙦㜴㍡㕦㥤㉥㥢慢㡡收㜴戵㙣攴㔷昶㙤㥥㑥攵㜳改户㤹㌳摢㑡㍢捣攲㉡㌳ㄵ㡡愶㡣㔸㌲ㅣ㡢挷戳㠳㠳挹敥㙥愴扣㜱㜴㘴㜳搹捣㔶づ㔵㥡㍤㑣㜳搳攸㐸晦㐶戳㝡愸搲㕣㠸㌴㤱攴㥡㔲挱挸ㄵて㔱愲㝥挲ㅦ㕤㘳愶㜳㙣㈷搳㉣攷㡡摢晢㔱散〶愰攱㑢昴慦〳攲㘹愳㔲ㅤ㌵昳昹慤㘶㤶㑤搴㕤㈰㘶㘶搹㉣愶捤捡挲挲摡㍤㘹㌳㙦〷㔷扡ち攷ㅢ攵㡤㐶挱昴搱搱㕢戰摡㙤㉣㘳ㄶ慢戹敡㑣㑦攱扣㡡戹搵㈸㙥㌷㈹攲㉦慣㥦捥㘵㝣㍥攵昳㜹㍡㑥㘹㔷ㄸ㘹㥢晥㜵攵昴攸㤴㔱慥㡡㡦慤ㄶ㙥㈷敢敡㈱㔲昰㠶㘲戱ㄷ昵㌵挵㘲㌳㑤攴ち㙦㌳换㐵㌳捦㑣搸㜸㉢㥡㠴〴ㄳぢ晡ㅡ㌸㑥㙤搸㌰㙡㠱㍤㌴㔸ㄵ收愲昷㤲〴㐱戴㈳㐰㝣㙢㌷㡦㙣搳㡦㈴㙦ㄱ㠸昲扤㠰戱搵ㅣ挷㍢㘹㜸㈷㔳摥挹戴㜷㌲攳㥤㌴扤㤳㔹敦攴㜶敦攴㤴㜷㌲攷㥤扣挴㍢戹〳㌱㥤愷慢戳搳㙢㍦㠵搳扥昹敤㠷㥦搰㠶ㅥ戸昶戴扢戲㡦晤㘴捣捦攱ㄴ㙦㔷㠱㘶㙣㠶㉢㤵改挲㑥㡥㘳扢摤㘴搰ㄵ搶㔴慡㥢㡤㜲愱㜲㘸ㅢㄸ捤㍢㕦ぢて㔷ち㝦晥ㄶ㐶㈶㠷愴㠵戵愳〰昳㤹攳愵敤ㅢ㑢攵〲㈶㥡昵㘶改㕣搳㈸慥ち昵㠷改㥥愸㘶搶㤸扢㔶㠵晢㐳昱㤵攳愵戴㐱㤴㔷㠵昴㈵㠸愴ㅦつ愲ㅤ〳㜲㐲愱㤴㤹捥㥢㝤㘶㌶㥢㑢攷㌰㤰㘶晡ㅥ昹㝣㥦捤㡣改挷㔲㜸㈹㠸㔲扦㐴㝦㘱㥦昹晡摥㡦㉣扥㝢攷搶昵㔷ㅦ昱攳㙢㥥晢晡昰ち挵㘹㤳つ慥ㅤて㜲㐶㙢㜱攲つ㠵〹㌷ㄴ收〴㐴搱㑦㘴攴㤳㐰ㄶ攷㜳㔹戳㥡㉢㤸つ㘵攸愳捣挹㈰㑡晤搴㉥挳㙤㝦捣㑤㥣㍤㌴扣攱愳搹敢㉥扣昱㌳㈳慦㈹捥摡㔲㠶㌷挱㜱扣㡤㠷㠰ㄱ㑥㠴㐲㉢㙤㈸攲挹晥㐱㝤ㄹ㤳㕢づ愲扤ㄹ㘴挹㔸戱㔲捡ぢ㌶つ㤹㥥㐲愹㔳㐱㤴晡愱㥤改攳㡦㝦昶㙢搷扤敤㠵㤱晦ㄵ晤改㤵捦〵㑡扢ㄵ愷㈰挹昴㜴㌸捥㙥慤㜸㌴搹ㅦてて㐴攲昱㔸㈸㌴㤸㠸㠶㤳〳㡤㐸㠴摤捤戲㠲ㄹ慥〴搱捥〰改ㅤ摤ㄴ㘹㈸㑦㍦㠳捦〴㔱敡〹扢㍣昷㥣晣㤳愵敦㉥摥户昱愶〷戶昴㉥㡥㑤㍤愵㌸㜶愴㍣㘱㌸㐲慤攵〹昵㈷ㅡ摢㈲ㄲ㜵㤷㈰挲㉣愲㈰㕡っ攴㠴㥤㘶㌹换㝥㠵戹戵慦㑣㠰ㅡ捡ㄳ愷昰〰㠸㔲㡦摢攵搹㜵捣㘳㙦昸ㅥ〹慣晢愷敦㕥扢戰晦昵㕦㍥愰戸㜶捡敡㥡愴昰㈰㠸㜶ㄶ挸愲昵ㅢ搶昷㤹㠵㕣㠵㌳㝥㕦搶㐸㘳㉤搵摦㐲㤱户㠲㈸昵愸㥤摥挲㑦㍤昸攴㠶㉦摥㜱敥㑤㑢慦ㄹㄹ昸挰㌳㈳㡡换戰搴敦㙣㌸摡攰㍤㤰㠸昴㐷㘲〳〳挹㘸㌴ㄹ㡢㈶㤳戱戹昰㕥捤っ㠷㐰戴㘱㤰㌷敦㉣攷ち㐶㜹愶捦㉣㥡攵敤㌳㝤㘹㈸ㄶ昶挴搴㔰敤ㄱ挶ㅡ〵㔱敡㑢㜶㌱ㄳ㝦扣攲㔷㝦㤷〸慦扤昱㤳て㙤昹昱收〷㐷扡搷㈲㜸㡢㍤ㄹ慦㈹ㅢ扢戱愲搵ㄷ换㐸㝦㠸㝦昳㙢〹㔰ㄲ戲昱㙣㈲ㅢづ㘷攲㈱㈳㙡昸㌹㥤敦敦摡戴ㄸ戲摤搹ぢ㜲挵㑣㘹户戵㔸㘵搷攵昲㔵戳㉣㥥摥㉣扥慣〵㔷晣㍤搹戵㝢愰愹愴慤㜵㙤㜱㜶搴㉣㔷戱挲㔷㘷敡㔳攱昱㈳㐶挵慣㝢㔷搸㘹㡦㤴愶㡢㤹捡㜱敤〳㈷慡㐶搵㕣摡ㅣ㔶㑦愴㈵摡〴㔶㝦戳㈲㐵㍡戱㌹摡昹㐶㝥摡ㅣ摥㤳戳㠲㑦㘸ち㠶ㅥ㔰㑡捤ㅥ扡慥㙣㕥㕡ぢ㙤㈹搱㌰昴挸㕤㤲㜶㑢㉤慤㈰慢㕣㝤愳㔳愵㡡㔹㤴攲慤㈸㙣捥愵㜷㤸攵〹㤳㕡愸㤹㤱慡ㅥ挵㈰㕢ㄹ㔹戱愹㠸㡡㐲扤挸晣㠵㥢㑢愰捤㘲挶捣愰扣ㄸ㕦搵㤹㙤㐶㉡㙦㉥㘹㄰戱昲㐴挰戱つ散㜵愵昴㜴㘵戴㔴慣㤶㑢昹挶㤰攱捣㉥づ搲捣戹愵㡣改㤳挷㘳㔱攵改攸㔰捡㜳㙡扢㠵㤸㘹㔷愸㙢戸㍢〹㝡捤摣挲慥㑥㐴昵愷慤㡥㔲㑢ㄹづ㔷㈷愳晣㘹㜳㤶挴摤〹㈹ㅤ㥡㔳扡㑤㈷㘵愴㘳ㅡ〷㕥晦㔶戴て摡㈱㙦㜲㔴㝡㤷捤㥥㘴扤㕦捥㔳㔲㔷慢搰攸愰昴ㅣ愰㐹戲戵扥昷攷ㄵ昶㝡ㄷ搹戵㕦扢ぢ㙡敥〶愳㤸挹㥢攵㌹㑤㈶挵ㄲ改敢㐸搶㤳㙣㈰ㄹ㈳㌹〷挴晦㡦㤸攳㘶㐵㤴㔳戱摡愳㘶晣扢㜳㤹敡㤴㌶㘵收戶㑦㔵挱㠳愹搵搵㐵戸㡦晥攳扥㝤ㄱ㔸㙤㕦㠳慤昵ぢ㕡㙦晡㌸挹戹㈴ㅢ㐱〲〱㡦戶〹摦ㅥ㉤愰㙦收搷ㄶ㌲〵戱扥㙤㌳㍢捤㠰昲㔳㝤㍤㜰㈵㥢戶㥤㉥㍡㍤㡣慥㡡扦〰搳愱搲搱搱づ㠸つ㐶㘵慡捡㌱㌸㘷愰愸搳㕢㤹攸〴㐸昷㌶㤰㡤ㅢ捣㍣㐶昰愱戲搷晣㔴捣攷戵ぢ㈸戴愴㌰㌱㔳㑣㑦㤵㑢㐵ㄸ戸㙢㡣慡㌱㥣㠶昱㔳㔱㠶㔶ㄸ㉦㡤㑥㔷戵挲㠶ㅣ扥扡ぢ㕢捤㥤愶㔱ㅤ挵っ㕤敤㈹㡣挳㜰㤲㈹㜴㉣戳挷㕦戰㙣㥥㌵㘶㈵慤搳㌸ㅡ挳㡣戴㐷㠳ぢ㔳㙣㜷㠱㜳㡣戹愷捡愴㍢ぢ搰挲搱㤳㜴〸慤㤰㔸㤶㡢㌱㝢㠴攷挴づ搸㍥愴㄰ㄴ愷㉢㤵〵挲戰㔲㤲昵ㅢ㡢㈷ㄴ〳㥦㑤㥢〷捦㜹搵㕣扥搲㙦挳摢扦愶〴攳搹ㄴㄳ㥦戰㙢ㅡ晡㤶㌶㘷㘳㌵㡦㜱㕡㔷㥢搲㈹㉢㔹ㄴ㘵㝤戹㌴扤㤳晡昷愱㑡㠷㘹㜹昴昳㐰㍥晡昲摤㙦㔹晥て㥦摤㘷㝦㕦㠹搱㈳㡦㑥〳㑣㘷㔷愷ㄷ㕦昲攸ㄷ攲㉢㌰㔷㤸㥦㤶㕡摢㐹㜶ㄶ㐳搰て昹敥〲㙡扢慤㙣㡡㘵摢㈵ㅥ㡣愵㥥挲〵愵昲㡥㔴愹戴㠳㡤扦㔰㝣㤵㈹搳慣㡡戹㘸㕢挷㜴㉢愵㍡㍡ㅡ散㐲㤷㕤㐹㐳㔳扢〸愴㘷㌸㥦敦㜳㔲慣㘸ㄷ㠳搵㠱挵㐴㝢ㄷㅣ愷㘲㈱㠲㐹㌱㤹㤸㥣㠰㤶㜷〶㌴㡢㘲㘵愷昴愳㐹慣〸㌳改㍣㑤晣㍤昹㑡㐱㝤っ㘸搰愴昸昹㌳㡦㕥昱摣敦㙦㍥攷㡥て㥤搵㤱晢晤慦晣敡㜶㍢愰挵戰愴昱㌲㠷ㄲ搴㘰扥㜱敥㘸㔰㠲㕡㤶㜷㙢敤晢㙦㈵收戰㔳㘲ㅡㄵ㤸搳攷㔹戵㥢㔴㤸㔹ㄷ慣晦㔶〱摡敤㥡㕡㉡㠰㠱挱愲㙥挳戰攳㤲て㜷攳愳愷攱搷㌳㈴㈶〸ㄶ㙥㤹捤戰㙥㙦户扣㡡ㅢちㅣ㜰晡ㄴ㐹づ挴捦扤㠳戹㤷㌴っ㔷㕡㌵㍥敥昷昴ㄴ搶㤸㔹〳㕢愷戲っ㈹攳晦攷㉡攵挳㘶戳㙢㠹㥡扢ㄲ㉣㍢㉡愱㌵㉢户㡤扢㝡搸㙢捣慣㌷㡢㔴㙢㉡㠷㜲昱㌹㤴㡢㤸㝥〹敡攱㍣晥て愳㈳散㝦㥤愸摥㜵敥愲〶㌱㌹改改㘲つ挹搱戹挵搴扡昰ㄵ挱つ捣ㄵ愶戸攵挴挵㑦攷㘲愳㔵㐰㍡搰㔹㜴㉥㉦敡㙦敤挵愱㘵搵戸挶づ㘸搹愱攲㉥㤳㙣㝢敤㘶晣て㐰慣㝤㉦㥦㐱戰㝥ㄹ挹㝢㐰㕣扤晣扤㤶㔷㜱愷㑡㝡昹ㄵㄴ扡ㄲ㐴昵㠱挸㉥搹㔵㜰㌸㡦扡ㄲ㜹㄰㐰〱攱㈴戰㕢㐱㜸㍦戸〱㝤㡥㌰㜵㌲㈴㙡㈰攸〴挱〲㘰ㅡ〹户㕤㌶慢㜶㐰换昶搸㌲挴ㄵ〰慥㠵㐳㤵㈱搶ㅥ㠰て㌲㡦敢㐹㍥〴攲〲攰㐶换慢㤶攳㕢〰戸㠹㐲ㅦ〶㔱摣㈹ㄳ〰㙥㠶挳㜹㔴づ㜹搴〰攰㐶㕢㉢〰户㠲ㅢ搰攷〸㔳摣㝦㙢〷挰愴㕤捦㤶ㅥ昰㉥㍢愰㘵慢㡥扢㙢〲挰ㅤ㜰愸㡢㈰搶ㅥ㠰㑦㈰㔸晦㈴挹㥤㈰㉥〰敥戲扣㙡㈵扥〵㠰扢㈹㜴て㠸攲搶㥣〰昰㘹㌸㥣㐷㑤㈰㡦ㅡ〰㘷㠰摤ち挰㝤攰〶昴㌹挲搴㤹㤰㘸〷挰搸㙣〰㙣戰〳㕡昶〶戹戹㈷〰㍣〸㠷㕡㌷㉢〰㕦㐴戰晥㈵㤲㠷㐰㕣〰㝣挵昲慡㈸扥〵㠰慦挲愱㍦っ愲戸ㄷ㈸〰㍣〲㠷昳愸㔵㙥〰㘲㘰户〲昰捦攰〶昴㌹挲搴〰㈴摡〱㄰㥤つ㠰㠸ㅤ搰戲ㄹ挹㍤㐸㉥㌶晡㜷㐹㥥㈰昹ㅥ挹㤳㈴㑦㠱愸㤵㌶㈸扦㜸愳搹㙣晤ㄷ捡晣㠰攴㠷㈰㉥㔰㥥㈶㑦慣㔶愵〶攱ㄶ㘰㝥㐲收㌳㈰㡡㥢㥡戴搹㍣晡扦㠲捣㙡ㅤ㜰㔳戴ㄵ㥣㘷挱つ攸㜳㠴愹户㐲愲づ捥挵㑣㐵㈶挸㘳㘷〳攷ㄸ㍢愰㘵㘷㜵㌵攲㑡敦㜸づづ戵挴〶〲敥挶㐷㝦ㅥ㝥晤〵㤲ㄷ㐱㕣㐰扣㘴㜹搵㄰扥〵㠴扤㜰攸㉦㠳㈸㙥㤹㑡敦㜸〵づ攷㔱㍤挸愳㌶㍣㠶挱㙥〵攰㌵㜰〳晡ㅣ㘱㡡ㅢ戱㜵〰㉡㑣㐵〰攸㤸つ〰慦ㅤ搰扣㘷敢㕦㠷戸捤㠶愸㥣戸搵㜶戳㕣㑡愶㔸㐱搹昳㡡戹㙡㘵㐱㜶㜸扡㕡㕡㤷慢㐲ぢ攸捥㠲挰㈹㔱㤶捡㌶㠶㉢搲㡡散昹㌹㜳㌷搷晦㤳㕡㠳㜰ㄸ㌹㍡㕤愹㤶挴挶㍥戱㌵㝣㑤㘹㘳愹扡㈶㔷搹㤹㌷㘶㤶戵〹戶㐲㉥㤸㌲㡢搸㠹㉣㘳㐳㜲㍥愱搲捥㥤㘶愶㑤ㄹ㈷㑡搳攵戴㌹戶收㜰搸换㔴搶㘶㠱〷昶㈸戴㌱戵㝣㜶㉢挰㠵㝢㌷ㅡ搲ぢㅢ㔶ㅤ摣㔶㤸戶て昱㝤㌳愶㔱昶攸愲挱㈰㘳昴㜳㥤敡㈰扡扢㥦㥢㘴㜳昷ㄳ搷ㄶ㈹户㡤〲㔹戴慤挵敢戱昷攰㜱攲㤴换㤸〱摢㜷㙥慥戸搰㜶㙥㥡慥㌶㠴ㄸ㝢ㄶ搹㈱戰戶㌷ㄵ搱晥㘹愳㥣㌹ㅣ㥡〶ㄵ挳㘳戵㡢搲昰㜷㜰㘸㕢挹㜸㍣㝢㥤㑢ㅥ㝢慦挴㠸昷摡㔸㜳㉦戲敤收㐷㙤㑣挲攱摡㘱收散摥㐳戸㙢散㉥晡㜸ち㈸慤㘰ㅤ〲㉥ㄴ〹ㄳ扤ㅣㄷ〱昲收愲㐶慦ㄸㅦ㝡㜶㌸㠵㐳挱改慡戹戰收㤲搱慥㘷户㥡㍣㉢摣㘵㜶搷㕣㥢搳㔵㥣愷搴搲攳㐹挰攱搳㐲㐰挴㘷户㤲㤲㜶搲收攸扣㡤㤵攰㐰㍡挸㔶㐵晢㘵攵昹捤㙡㜵敢㉤㝣敥㕡敤㜱ㅣ〱㍥ㅥ㍦昷㤸㥢慤㡢挶〹搷㝤ㅣ挰㤱戴挸㌹愵戲愶㌹㤹挱扡ㅤㅥ㜷攲㝢戲㌲昹㘱㜷㠹㜷〹㝡㌹㜴昲戸愰㔳捤愵㡤㝣㝥㘶㘱㜶慣㤸捥㑦㘷捣㜱㈳㘵收㥤㠹㥢〷㥣㠷㐷㝢挹昵㈶慢慤收挰挵〶㘵っ㜷㥣㥣挳㠷㠳㥥敢㍣㝡〷㕡㑡搶㕤愴ㄱ搰晤昶戸攳捥晦〱㥦扤〴㄰改挸晡挹愱㕣慤挱搴搶挲攲㥣挶捤攸摡昱㡤㡣㌸㤷搸㜸〹㜷ㄵ㜶㤸ㄹㄷ㙢㐳捥㘲ㅤ㌶攳㑡㥡㐹搳戴㠳㕤㘵㜶㥦㜲敢慡ㄵ慦㍥戱晡㜳㑢敦㍦敡㝦㝦攲㤷慢㥤搱挲㌵㠶㠳㘳ㅣ㘰㌶㙦㘳扢〶㠷㈸〰㌲〹㔲搵敡攵っ㘶㘹て摢㜲搵扣戹㈰㉢攱攲敥攲㤰㈰㥡㥤搹㙤㔳搸ㄲ㕥搳㤳㕤㕦捥㘵戰〳㙢㔲ㄳ挱㔱㉦慦㌳㡤㥢摢㜱㈸戹戹㔴挹昱㡡㐸㑦㜶㕢㙤挷㌶㍤㜳㘴㠳㑦ㅡ换㥦ㅤ挹ㄵ㌱㠰慣㍣改敥捤㑥㑣㤵㜶攳㑥摥㜴愱戸摥搸㔹㌹㉣ㅡち扤搹㝥慣㔱攵㔵㕥慦敡昲㜶ㅤ散㕡㈵ㅢ昵搰㘷㍤ㅥ摡㔲㕥ㄲ扢戹捥㠵㙢㡥㌱换㤶戲㡦㠵㌹㘶㔹慥㠶㝢㑤㙤て愶㙡㤷ㅡ㌹て敢㥤㠸搴摤〵㜲捥晡昳挶敡㤷〹晥㑢搷づ晤ㅢ㤱昲ㅣ换㠱㜴㡤摡挹攵㔱㄰㕥㘸㜵ㄷ昲搸㝢㜴㘹㜵晡㥡扢㘰㈰㉢㌲散㡤㔸㐱㈹㑥攷㍡ㅣ㉣㜵㘳昰㘳晡挵㠱ㅣ收摤㠵㤶㠷㝡ㅤ慥㉦㔵散戰搱㔲愱㘰戰㝢戱㙢㑥㘰敥㌶扢㐴挹挶㙣愲㘷㐱愴て摡㉣㘳て㔸挶ㅥ㘱㘱㐹收㙤〴㜱㌳慤搲㜶愳㥣慢㑥ㄵ㜲改㉥㝡㜸㘳攰戰攸㤷攸㐲㍣㌹㜵ㅥ改㥣搰㔸㥢㌷ㄹ慤昳㉡㌴㜷㍦㡣〸㐲挷收㐷敦昵捡㍡慥づ昲愸ㄷ摤㔷愷㡡慢〷㤰㥡㥦攷愴㤸晡慤愲戸㤴㌰㜰㘴㈲㔲㥢㈹㐰昱〵愰㜴昰攳摢ち㌲攷ㄱ㕣㈷〴〲攳㈵㈳戳づ㤷㑡㑡攵㑥晢㥡㙣ㄷ㥡㤶〷㐱攵㈰㡦㕤㐷㜱㕤〱搷㈰㜶㐱ㄷ㉥㜷㤱㌱㠱〳㑤ㅦて㙣㌵慢つ愹㘰㝡晣晥〵㕤敤昲ㅡ㜳搲㕡㘶ㅦ㑦戹㙦〴㡦戵愴晦挲㤶㈴㙤㕣㔴慢〳㔴敦㐶㍤昴ㅥ搶㘹〲㕥搶愷㐹㘰㈱〵㝡㐱晣攷㈱戰㜹㤴捣㝡㐴挹挴晤〵ㅥ㥤㜶ㄵ㔸ㅤ愸ㅣㅡづ㔴㜱〴ぢ㐸戴〵㕤㍣挲搴㠳㐸昶摢摦晡搶㉡戸㍤㡡㘷㠰㑥晥㔴㘰〳〱㠲愷ㅦ挱晣㡦㘴晥〶扣〷㜰〰㐲㑤㐹慦㤹㥡愲散搶㉤换㥥慣摢㤰㕣㤴戵㉤㑡㤷摤搸挴ㄳ㈵ぢ攳晣㌰戲ち㔱㍦挰收㡣㥡㠳㕤㠱愵摢戳㡦〷㍣㉡㡤〴戹攲㝡戴㐵〰㝣〹收㡡愲摣愷散〳㍣搵㜲㉥㌵捤㔵㤱攱㌲昱晢敡ㄳ扦攲㠱〸㈷㝦㝤㌱㈲㉡㥥㡣㜰㑥㐵摡愲㔴改㑢搸㝥昳㡥戱敤㡣㠱㡦㝥㌴ㄳ戱㍤㡡挷㈸㑥扦㘰ㄲ㜶挷㍤〶〲晡戱ㄴ攴ㄱ㑢ㅢ㠱愵ㄴ㌸づ挴捦捤晣收㐹愵昱㑣〲㘶戳づ㈱㥦摣㤲收㤹㝥ㄷ㡥挷攵㌲㠰㕦㐶攰〲搷㈱扥㘶㥤摦㜷㈱づ㕣㠵㡡㌶㠱改搹捣〴慣捥挵ㅥ捦㜹挴敢昵㘱㡥搲㥡㑦㘸㕢戲㘵ㄲㄳ愶㥣㥢愸ㅥㄴ㐱㍢ㅥ㤱㤷㜳㉢〵改㑦捥㝤㈵㜵ㄳ攴戱㡤挳㔹㑣ㅥ㔸攷㈷㈲戶㈷愰搸㐸づ㈴摣捤戲挷搲㐹〸搵晢㐰ㄴ户晦つ㝣摣慤㍦〳慦搵晡㈷㐳攴㐰㕡㥦〷〵搲晡㝦挱戴㜹㘲搰搰晡换挰㥤扦昵摦换搲攰愳㉦㘷㈲戶㐷昱㜸挱愹㠹慢昵摦っ〱晤ㄴち㕥搹㕥攰㔴ち㥣㐶㠱慢㈰挰ㅥ愰㥤づ摦昱づ戲㙤敦搷戶〱㜴㈵㈲〱㔰ㅥ㔱㌸挵㜰〱㝡〶㜳改㘷㉥搷㐲挰挰挷つ攸〷攱戵〰㍤ㄳ㈲㡢慣扢戸昳㡦愵敢ㄱ㑤搰っ㌱㘱ㅥ㍦㌴愰挹㝢㐴昳愳㜹㈳㡢㠲㡦ㅥ㘵㈲戶㐷昱慣挲愹㠶ぢ捤ㄸ〴昴㌸〵㍦摣㕥㘰㠰〲〹ち摣っ〱㐱㌳〹摦㠹づ㥡戳㕣ㅤ㙥㠳攷㔹㠸〶㍣㜹攲攱ㄴ㠴ち㤵摤㐱摦挲㝣摥捡㝣敥〰搳挰挷㡤㈷㡦㈴㉣㍣㔷㐱攴㐰㍡㈸捦㌱〴搲戳㤹昶㥤昰㌵㐰㍡〴敥晣㤰摥挵搲攰愳て㌳ㄱ摢愳敥㠶挳愹㠹ぢ搲ㄱ〸攸愳ㄴ扣愷扤挰ㅡち慣愵挰愷㈱㈰㤰慥㠳敦㘸〷搲收㙢捦㙤戰摣〰㜹㘰㜹㥦㉢〳㔷摦ㅣ㘳〶攷㌰㠳〷㈱㘰攰攳挶㤲愷ㅢㄶ㤶㙦㠳挸㠱㘰挹㈳ㄱ挱㜲㥣㘹㍦〴㕦〳㤶ㅢ挱㥤ㅦ换慦戰㌴昸攸㥢㤸㠸敤㔱㕦㠵愳つ㤶㥢㈱愰㙦愱攰挳敤〵戶㔲㘰㠲〲㡦㐰㐰戰摣〶㕦㙤ㅡ挵昵戴㌹㉥㜰户㐱昶㝣挴〶戲㍣㤵㜱捡攳㐲昶〲㘶㜷㈱戳晢㉥〴戸㘱慥扤ㅤ扥敥敤㝤㘸戴㌳捣㑢捦摣㜱挱㤴㐷㝦〷搳戰㌷㑤摦〹㌷ㄷ搸㈷挰㕡㡦㡦昳戸㌴㑤㙣昷㕤㘴㑢昱㌴㠶㕢㝥〴挶㌱㠸㘷摢㍥㔲㑦㐲㡥㕢㐸ㅥ晤㘲㠸搷昷㌰㈶敤挴㥥㐲搰㌹昸㡣慦㕦㝤捤攸捤挳㐳㙢㝦愵㝦晦㜷扦㝤晢㤰㤳㌰ぢ挶愲晤ぢ㘵昰昱挸㐱㡢攴ㅤ㠱捦㘵摤愹ㅦ挰㉦㉤㙦㈰㙤挵〳㈰慢攵㍤㍡慢慦愷㐱收㙦昹愷ㄱつ㠲戸㐳挱㐴㙣㡦攲㐹㤱㠳㌴㥣㈸㤳㘸愷㈶〴昴㉣〵㜹㡡搴㐶㘰㍢〵愶㈸昰慦㄰愰㠶慡攷攰慢㈹㤵捦扡愲昵挲㙤捦㌳㤷㌰摡づ㐶㝢づ㑣〳ㅦ昷搸㜸ㅥ㕥㙢㙣攴㈱㜲㈰㘳攳〵挴ㄴ㠴ち㑣晢㐵昸ㅡ挶㐶〹摣昹ㄱ㝡㠹愵挱㐷摦挹㐴㙣㡦摡ぢ㠷〳㠰㙢㥥戹ㄴ〲㝡㤹㠲㍣㘲㙡㈳㔰愱〰㑤㙤昵ち〴㘴㙣㑣挳搷敦捣㌳晢㜹摤扦捤㈰搹㡤㘴㌰㐸㕥㜳攵敢ㅡ㈴㝢㤸敦っ㠸㥦㜵搸扦㈳㡢㑥㈴ㄵ㜴㥤㈳挹ㅤ㤱㈳戲㕢愶㡤㍣摥㔴摢㠴㝤捣㉡㔹㠷㠳昱敡戳㜶㤳攷搵敦愴ち敦扣戸〷㌵㙢挶愰㔱ㄷ戴敢㈶㔷㘲づ㙥户㌹攰扦晡㑦晢昶敤㕦㉥㙣扡挶㑢㉡ㅣ㙦〱晤㍤〸攰㙣㐰ㄵ㤶㌲晡攵愴昶〳㡢扢つ搷摦〱敥ㅣ㥢㍥㑤ㅢ戵㑣㙦㔱摤㐴攵㘶挴㡡㍣捣㡢晤搸晢㜹㉦戳攷摥㉣搳㘸㉣ㄹ户㠵㠴㝢愵敤攸㠲㠸㥦愶㝤戳攲摦戲㥢挰㉤〸ㅣ㐱㘱㕦㘱愲㍡㤳挷㕥づ㥤㌴〴㉣ㄷ㡤㔷㉢ㄸ㠵㉥㤵戱㌹敤㙢扥㔶㔷㡢扢ㄶ㐹㉤㔸摣㜴敦㕥愲㌱㠴摢ㄶ晥慢搰㐴戳挶㘷つ敡慤挲㌸㝣戴扦〴㝦昱戹戹㜴戹㔴㈹㘵慢㝤ㄳ戸㐵摡挷㌷㌱戲搸㥤ㅥ昶㕦㠱ㄴ摢收挹㡡昹㡡㝣愹㜳ㄷ㙦㈳〵㜶ㄴ㑢扢㡢㔲ㅡ㝦㠵㉦愴㌰㌷扤戳㤳搹〴昰㤱攷㑤㐰㌱挸㉤づ㐶搶摦〷㐷㑦㐷㤰㝢〴㝣㠲摣㈷㄰〷㌷〵挴挱㡤〱㍥扤㌴攵㤹㡡㈶摥㐳㐸㠲摣〰㘰攷搴摥て挷挲搱㤱㐹搷㉥愲昶㔷攰㜵㠳㈷㔶摡㔶扣挸愱㕤つ捥ㄱ攰㌴扥攵ㅡ攴づ㠲㉣㈹㕣〵攴㕤㔰晤㙦挰㔲㘲慦㤲㜵つ㝤㜰㔰㐸搱㕥㘵攷㔱搳〰㤷㑤〶愶㐷晢㍢㜰㘶㙤〷㔵㠱ㄸ摢愲ㄱ㑢㥡戲㠲攵㜵㜰〰㑢㥡慤㥣扥戵て挲戱㝣㜴㘴㜴敢攴愰ㄱ㐹て㠶㘳㠳愹㘸㝣㈰㘶㤸攱挱㐴㈶ㅢ捡㐶〷㤲戱っ扣㠹〱敤晡㥡㘸㈴㥥㐸て㐶挳愶ㄱて㐵㘲㐶㉣㥤㡣愴㈲㤹㔸㉣ㄴ㑢㘵㌲㘰㐷㠳㌴㠸㤹扣晥㈱㌸昴ㅢ㐰㠲戴㠳㠵㜵㈳㔹㌷㤱㐵慢戸㔱捡㑦挳㜱摥挹捣㌶㔶㔹ㅦ㤵㔲㘹㤵㔱愶慦戳戳攵㍣扡㜱㘲㠳ㅤ㉢㤳㈰愷㐰㑤㈳昵攷〰搳摣昳㤴ㄳ〹愵㜲㡤〸㐶ㄶ㌰㍦〲扥㝥ぢ㐸㈰㐸㥢㤶㍣敤㔶㌸㡥㐴挳攳㜶㥣㜳ㅤ㕢㐶㌱扢㠸捥扥愳戳㙢〴晢㐰㈴つ摥㡦㤰户㍦慤昷㐰㍦〶扥ㄲ晢㤵晣㡦搳〷㠷昴㠶㘵㜰㐹㙦戸ㄸ攵㜶㝡㠳捥摥挰〱愸摥搹戶攱㤷㈳㔸昲昹㈴ㅣ㘸昸㌷攳㑢ㅡ晥㑥㌸慣㠶㑦㠵攳㜸㐱㉦㥣㌲愳攱㔸㙣㌰㥥㑤攲〵捤㡣ㄹ㑤㘷㈲戱戰ㄱ㑦っ㙡㥦慡㠹㘶㔲㤹㠱㐴ち㌲㠳㠹㜸㉣㥣㠸ㅢ㤹攴㐰㉡㥤〸㤹改㜴摣㌰捤㘴昰ㄴ㍢㜹晤㉥㌸昴扢㐱㠲愷㍡慣㝢挸晡㌴㔹愷㌹㉣ち㠸愸㕡〹ㄷㅢ㕦㙤㐱㌵搸㌰㔲攸晢ㄸ㝥㍦㐸㈰㐸ㅢ㔷㜸〴㔸㙦㐲㤳戶㙦ㅤ捤ㄳ〹摤〹㈴て㠲慦㐲㈴昴㝤挱㜶〸㥡ㄱ㜸〴捤戵㙤搱ㅣ㙤㡢㈶慤㔸挹攷换㜰〰捤ㄸ扥〴捤慦挰㘱愱ㄹ㐹ㅢ攱㔸挲㌰㈲㜱㌳ㄴ㑢挰ㄷ㡢㠴〶挲改㐸㌲㤵㌶攳㠹攴愰昶搵㥡攸㘰㌸㙢㥡戱㔰㌲㥢㑥愵〱㜵㍡ㄹ挶㐸ち㠷愲㐶㌲ㄱ㡤づ㘴愲㐱摡挲㌲㐰ㅥ㠶㐳㝦〴㈴㐸ㄳ㔸㔸㡦㤲昵㌵戲㘸㄰ぢ㡢〲㍡㐵搵㔹㈰㠲收愰㡤愶捣㌹㡦㌱晣㜱㤰㐰㤰ㄶ敥慣㘸搲昲慤愳戹㥣搰㉤㈳昹ㅥ昸敡㙣ㄲ晡㥥戴ㅤ㠲收㄰㍣㠲收ㄹ㙤搱㕣搱ㄶ捤㘱㐴㤲㝣㝥〰〷搰ㅣ挱㤷愰昹㐳㌸㉣㌴搳戱㑣㈸ㅤつ挵捤㐴挲㡣㈵〷㔳挹昸㘰㉡㠴摦㙡挸㠴㘳〳㤹㔰捣搰㝥㔴ㄳㅤㅣㄸ㡣〲攰㜴㈸㥣㑤〳昳㘸搲㠸㠶〷捣搸㐰㍣㤲㠹㐷㘳昱㐸㜰搴㑥㕥㝦ㅡづ晤挷㈰挱㌵づ敢㈷㘴㍤㐳搶㕡㠷㔵㤳㔲ㅢ挰ㄲ㌴㑦戶搱㤴㐲㍦换㈸㍦〳〹〴挷㐰㠵搷慥㙦㥥攳〴捡㐸㕦㐹攸㔶㤰㍣〷扥ㅡ㈷愱敦搷戶㐳搰愴昱㉡㘸ㅥ搵ㄶ捤㐵㙤搱愴〹㉢㠵昸つㅣ㐰㜳㌳扥〴捤㤷攰戰搰〴㙣〳搹㔴㌲ㄲ㠹て㠴㘲㠳ㄱ㌳ㄹ〱㤲㜱挳㠸㈶㔳㠹㑣㘸㈰慡敤慤㡢挶挲昱㔰㘶㈰ㄴ㡤㠶搲戱㔴㌶㙤㘰ㅤ㐸㘷搲昱㠱㔴㉡㥡挲搸て㙥戱㤳搷㕦㠶㐳㝦〵㈴戸搵㘱扤㑡搶㙦挹㥡㜰㔸ㄴ㄰㔱㐵愳㔶搰搴摤㘸扥捥昰㍦㠰〴㠲ㄷ㠰捥㡡收㠵㑥愰愰ㄹ㈵㜴ㄱㄲ㠵慡慡㜷㈰㤰㜰〶搴㥦晥㜳摦㍥慡愱㠴㌳愰㜷㈰㤰敡攴㍢ㄱ㐶㤱㐶愵㡤昶㙥㉢㤷㘶㉣㔵㑡㥤㤶㤲愲ㄹ摢㉡㘳㌸摣㑥捡㈰㘱慡㝢㔸㤰㔸〲㌸㕥㐷㈱㙡昳昴㕦㌲㥣昳昴㙢攰戶㉥搰ㄹ〴㑢愵ㄷ㈰㈹戴㥥㈹攲㐰㌰敢㌸㘸㘳昲〹㑥搹㡥摥ㅣㅣ㝦ㅥ㘵攷ㄲ愴㉣㔳挶晢攱戰㈶㕢㔹戵㘸慢ち㥦㤷㌷攵〵㜲晤〸㔶㕤散㑣戲㡥戴㠱㤰㙥㕣㘲昹昰㔱㉦扡㠱愸㉤㔸捦户〵㘲㈷㈲〸㄰㑢㉣㈰㉥㠵ㅦ㉥㡦㜶㌴愸摤㡤ㄳ㤱散㐰㈸㌱ㄸ㡢っ㈶㘲㐶㉡㘱㠴㘲㘶㙡㈰㥥㑥愵戲攱㔴挴㌰戵㘳㙡愲㐹捣愶㠹㜰㉣㌳㤸捡㐶戰戶㘵㡣㔸㍣ㅤ㠹挶挳搹㡣㘹㐶㤳搱㙣戰㙣㈷慦ㅦ㡢㌸晡㔲㤰㘰挵㘱ㅤ㐷搶昱㘴㔵ㅤㄶ〵㐴㔴敤〶㑢扡昱捦㔰㡤摡㠲搵挷昰㤳㐱〲挱㍤㄰㤸戵ㅢ捦㌸㠱搲㡤㠷〸摤㙡㤲搳㄰㔵扤〷㠱昸昷攸愷挳㐷㈴昹〹㍡㈶㤰ㄲ晢㠳挱㌵づ㠳㘹㜱㐸㜶㉢ㄱ愹愷挳晦㍥昸摦㌲晢つ㍤㤷昶扡〲愶㔱挳㍢搰㙢昱㑥昳っ㔲昱㜴攰昰捦㍡㜹昰㜹捦㍡戸戴愸㜳㜵㈳㈹㝥晣㑦〱慡晦㐲㍡挴愴㙥㤷㌰挵㤳昰搱晢㠹搹摦㈰㜰ㄱ㝤ㄷ㤱㕣㑣㐲㘸搵㜷㤰㘵摢慢昹摦戶〳㥡摦㘸ぢ㕥攳〰ㄹㄳ㈰ㄵ㌵㘶㠲愹扥㠹ㄸ慣㠱㘴㍡㠰㐰晦㠷挰㙥㝢㌱愷昹㔷㔵摣扦㌸㐳搳攴愸挲㔸〵㘶〲㕥㔷摤㔶ㅡ㤶慢㌹搴ㄱ㡦㜰捣㠷ㄵ捥慢戲换敢ㅣ攷〶㥣ㄳ㙤㔳戹ㄶて㙦㝥挲戰㐲挰ち扥㔸㝢㔴摤攷㍡㉥㍡慥捥挵㉥㌹㉥㘱㤹ㄹ㈷挵ち散㙣㥦户㐳㌵ㅦ慡捡〵ㄷ晢扤㐶慡摣㑣つ敦扡㡦㘵ㄶ愲〶挷戵㌹攵ㅤ挹㔵攵㤶〴㡦㍣㤵㑥换㐲㑢ㄲ愶㔵换㐶㤷挵晣摦〰㜴晢㥤〵攲扡㥡㥡ㄹ㈲㈱捣攴㘷攱㑢摤㠰㔰㐲慦昴敢㤹挷㕢慤㍣搶㉥㡢愹㐷㤱〷昳攱㠰〹攸㘷㔳昸㐶㠸㤰挵昸㡡㘶㠷ㄳ摥晢ㄱ㜸晣攰㌶搹㡡㝢㌹㄰昹っ〹昵ㅣ㙦㝦昷つ昵摥搲ㅣ愳昹〶戹㜵愷敥挱搵搸昸挳戳㜷戵晡ㄸ㘲搴扢㘵〵㈹㕡摤昲换㈸㔱摢㙥昹㤰ㅤ搰晣捡㑣㤰愶㠰㡣敦㌵愸㐹㑦㠷愲㍥㉦摤昲㡢㠸㔱敢㤶敢㔸攵扢㄰㘴攱㐳㈵㕦摢〰ㅥ摡㘰敤戲〱昵㜹挸㍡昵て攸攷㔰昸敥㥡昰愷㈸㍣㙥〹㡦㐲昸㜳戶㌰㌸〰㜳㈳㠵愹挲搷挰愴㉡敦㈴搶㝢ㅦ㍣〷〶收晤捤㌱㥡挱戴攰㕦㙣㙦ㄱ扦戲㕡㍤㠸ㄸ敤挰扣搷挶慣攵敤㤳捦搸〱捤慦摦〴扦㠰㤴〴捣㙤愸ㄵ挰晣㌲晣〲收㍤㠸㔱〳昳㝣㔶昹㘱〴㔹㘰㔲挷搷㉥〴㑦挰㡣愸㍢㙤㝣慣捥昶づち㔳〳户㠴扦㑡攱㡢㉣攱搱㘵ㄱ㜵㠷㉤っづ挰㝣ㄷ㠵ㅦ㠵㐸つ㑣㙡昲㌵㌰愹愸敦〷㤸㕤㐳ㄶ㐴挱愱摥挷㥤ㄸㄷ慢㤳㙦ㄸ昶㍦㝢㘵㕢㌰慦扦㜵㈸捡愷㜲敥㤰晡ㅥ㘲戴〳昳㌶ㅢ戳ㄶ㌰晦挱づ㘸㝥㤵㈷昸㈴㔲ㄲ㌰㌳愸ㄵ挰愴㌶㉦㘰晥㑦挴愸㠱㤹㘵㤵㥦㐶㤰㠵て㔵㝣㙤ち㍣㤹ㅤ㤲敡㝦㌴攰㜳〹㠵愹愱㕢挲㍦愲㜰摥ㄲ㕥扢㉣愹㙥戴㠵㉤攴㡢ㄴ愶〲㕦〳㤳㡡㝣つ捣㘷攱搹て㌰㕤挳晣㘷捤㌱㥡挱㍣晡戱㌳㍦戵㜸㘴㜴攸搱摦㥤㝡搱〷ㅦ㜹㜹戵㝡づ㌱摡㠱㜹㥤㡤㔹ぢ㤸搷摡〱捤慦〵〵㝦㡤㤴〴捣㉡㙡〵㌰愹捣ぢ㤸㝦㡢ㄸ㌵㌰㜷戱捡㉦㈳挸挲㠷ㅡ扥戶挷挱㈷慡晥扡〱㥦换㈸㑣晤摢ㄲ愶㡥慦㕤㙥〹㡦㉥㡢慡昷搹挲攰愰㘷㕥㐱㘱敡敦㌵㌰愹挷搷挰㝣ㅤ㥥〳〳昳て捤㌱㥡挱戴晡昰㝦慣扥㜷晤捦㉥㕢㝣敦慢慢ㄵ㔵昹㜶㘰㕥㘱㘳搶〲收㝢敤㠰㤶㔷㡣愸昷㈳㝢散扢挰挱捥挲㡦ㄲ㠵㥥摣〶晤㠹㉡扣〰㝦㌵ㅣ〰㥥㝡戸〰㍦㠳搴㙢挰㝦〰㕣㐵㤵户㕥挰扡慥㔱㥤慤㠰ㄵ㍢愰昹㌵㥦㈰搵㘵挹昴㍡㌸㤰㈹㜵㕥挹昴㔲㜷愶搷㠳慢愸㥦㕡つ㐸㐵㔸扢〱㐴收愱㠴㉡㐰搶㘹愰㠰㝥ㄳ㠵愹愶㕡挲㔴㠵戵㥢㉤攱搱㘵〹㤵戳㠵挱㐱㙢㝦〴㕦㡡㙡㙥慤戵愹敥㍡㠹昵㔲㥢㍤戰搶愶敡摢㄰愳戹戵户愶摦ㄴ晦㠳晡慢晡搰愱挶㕢〷戳挲㜶ㄱ挵㉤㘳㘳搶搲摡㘹㍢愰昹㤵愱㈰戵㘵〱昳㌶㌸昴㡦㤲摣づㄲ昰㔳㈳㥥敦挶㤶敢愷㡥戸㌵敢捦㔲㈱㕢㤰戵搸㔴㘲攵昵㤰扣散㕢㜷攳㡡㘳ㄹ㍦㌶㌴㡥㕢扢戸搸㠸㕦ち戴㜷㜹㜱㥢㤷ㄷ㙦㥣㑢㜴扡昸ㄸ㔹换㙥㉡攳㔶㕤㘷㜶慣㠲扢挱㤹㉥晣㡣㐷ㄵ㍦晥㔴㍣ㅣ㡥㤰㜰㤲攰〳㐰㜸慣㍢㕣㙤㌷昱搷㈲戸慤昲㈶户㥥晢敢㜸㌸㤷攰扤扣ㄹ㜹㜰〷㐸摡挷㔰㥣㕥㘸戲昲敢㤲㝤扢愸摣㔶扣敡㕤㘸㜷戱㥢㥦扡晦慡㝤㔲㕥攸㠴晡ㅤ㤰ㄵ㜵㥦戳〶㍡㌳㍡昵㈷挸攲㐱愱㄰㡦㥦昶㐱㜳愵㜸㥣㐲㕤挹搳昴㕢㌹ぢㄶ戰愶ㄳ户㝣㘱攸㍦愳ㄷて㉢㥡〰散㍤摡㥤㈰慥ㄳ搸㡣敢㈲㥡㑦㕤攸㤴捣㜳㤵愷㕥戲扢㄰㐵摥ㄱ㤶㈹㐸㑡㜶て㔹昵㤲愹〱昸㔹㍡攷昱㔱扤㥤㑢戳收晣搵㔹㤸㌴昸〳慢㕤㠵挹扣㔹摣㕥㥤慡晤愸㉡捥㉤昱㘳㉣晡㘷㤰〸ㄳ攵㐷㔱〷㘶慡晡扤㈰攴昰愳愸㐳㑡扤㍥ぢ挷慣昵摡摣戶㕥昷㈳㑡㔳扤㍥㐷㤶慢㕥㐴搶㕤㉦㐵㑤㔳㑡昱㡦㜰攰摦㉡挵㐶㠷晢㠰㥢㑢㤵㑣捡昶㜹㌸㥣摢㑡㡤㠰㙦㘸㕢戰〷㈱摦㔴戰㉦㤲攵㉡搸昹昰㌷ㄴ散ㅤ㘰㐸挱ㅥ㠲〳晦㔶挱愸㥥〹昷换㙥㉥搵ㅢ㈹搸㔷攰㤸ㄵ戴愱戶㘵㝢ㄸ㔱㥡捡昶㈸㔹慥戲㔱㐱㙡㈸ㅢ㤵㈰㈹挵搷攱挰扦㔵戶愲挳晤㘷㌷㤷摡㠲㤴敤ㅢ㜰捣㕡戶㘴摢戲㍤㡥㈸㑤㘵晢㈶㔹慥戲敤㠲扦愱㙣㤷㠱㈱㘵晢㌶ㅣ昸户捡㜶㠵挳晤㡥㡢ㅢ攴攲㉢昳昲㜷攱搰㥦㈰昹ㅥ㐸㐰㕤つ捡㐲敢ㅣ昰㕥㜵㠶㔳扡㠶〱晥㝤ち㜰㡤慤て昰ㅦ㤰攵㉡ㅤㄷ㘵㤶慥㌶㙣慦㠳㐷搰昸ㄱㅣ戳愲㜱㡡㤳㕦挳戰晤㌱愲㌴愱昱っ㔹慥晣戸ㅥ㌷愰㜱ㄳㄸ㠲挶㑦攱挰扦㠵〶ㄷ㔷攱晥㕦㌷昷㌶㜸㘴㠹敦㐳昶搴㉢昸搲㜰㤷㔷㔳㕣戰㈴攰㈴㍢㘰㤵〴㈸㜵扢ㄳ㜰愲ㅤ㐰〳㔵晦㌷㜰晤㥣晤昶㝢㕡愶㈶㜴㤰㐷摥扦㐰㍥㡡昳慡㘸㔳扦㠴〳晦㔶㉤㌹捤挹㈴晣㉢〶㜳㠶ㄳ㤹㝦户ㅤ昴昴㜲㐶愲愳㡢昳㔷敦扤㙥㥦攲㜴㈲昱晦㠳㙣捥㈴ㄲ晦㌹摢㈱昱㌹㙢搴攳㜳戶愸昹ㄴ㐷扤挴晦㌵搹ㅣ昰ㄲ晦㜹摢㈱昱㌹戸㙢㌱㝡㌹愸㙢㍥挵㤱㈹昱㕦㈰晢㔱㍢㑣㝦搱㜶㐸㝣づ挰㕡㡣㕥づ扣㥡㑦㜱昴㐸晣摦㤰捤㠱挳㌰晤㈵摢㈱昱㌹㐸㙡㌱㝡扦攳昶㈹づち㘹昶㘰㔳㝦攰㐰㤱㠰摥愶晥挰挱㈳〱ぢ摤晤攱㔵愶捡挱㈲㠵昹㉤㝤ㅣ㈷㔲㤸摦挱㠱㝦慢挱搸挱㐵收㌵〶戳㙦㡢捣敦㙤㠷ㄴ㤸晤戸㕥㘰昶摦扡敦摦攰扢㠰㠹敤㔱改㜷㘷摥晤敥搷㝢㝤㝤㑢㝤ㄷづ㜵摦昲散晦昹昹つ摦扦㘸搵扦扦昱昷㝦晦晤㕦摣昰慤㌷扥㤴㕡昵㡤㡦㝦晣㙢攷㝣昴㕢㍦㍦㌲㝢扢昷㠱搷挷㙦扦㍣扣攳昲㑢戳攷㥤扥晥昲户㕦戲㈵扣昹㠸ㄵㅤㅤ㥤㥤愷㉣㝡散㤸㔳㠳㔷㕤晡㑦敡攱愷㡦㉥㉡改㙣挴昰㜵攴挴㐷敥攳戰搳挹㉣昲〷㌸昴㍦㠲昴㜸㤵昴㌹㐸搴㔴㜹㡡〷搹昷㐴昴つ㑡㜵㈸改㔹㉤㔲散㘱㈲昵㈷㑢㑡晡㑦㡢ㄴ晢㤱㐸搱㜶㐰㕡搲㑢㕡愴搸㕢㐴捡㙢㐹㐹㕦㘸㤱㘲㥦㄰㈹㥦㐸昵戲挹晥慣㐸㑡㉦㘰㌱攴㐷扤攱㄰㈴搹ㅢ愴ㄸㅡ㡡愱㜷戲㉣㕥㈵㥤愱愵挴散ㄴ㈲捡ㅦ㘵挷愹〴㕢㠴晥ㅥ㥦㘲㌳㐸㉦㝣つ扦捥挰㜹㙣〴晣㉥㕣㌴㘴搳㐸挰敦散㠰㈰㤳敤㐶〲㡡敤㈱㐱慦㌶挵㘱ㄳ㐸挰㉢㑤〱㐴㕤〲㕥㙥ち㈰搰ㄲ戰户㈹㠰搸㑡挰㑢㡤〱㐱㘲㘰㤷㥤ㄵㄷ㤹摦㌴捡㈸㠲㈱〱㉦摡〱㔲昶挵攰㉡㈲㈰㐱捦㌷挵㘱捤㘴㍣㉤愱ㄸ㘵挵㜷㌴㝤挲㜲愳㑡摢㐸㐹㔰㌳㜷挱晦〳〸ㅣ收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</si>
</sst>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E+00"/>
    <numFmt numFmtId="165" formatCode="0.000"/>
    <numFmt numFmtId="166" formatCode="0.000%"/>
  </numFmts>
  <fonts count="13">
    <font>
      <sz val="11"/>
      <color theme="1"/>
      <name val="Calibri"/>
      <family val="2"/>
      <scheme val="minor"/>
    </font>
    <font>
      <sz val="11"/>
      <color theme="1"/>
      <name val="Calibri"/>
      <family val="2"/>
      <charset val="134"/>
      <scheme val="minor"/>
    </font>
    <font>
      <sz val="11"/>
      <color theme="1"/>
      <name val="Calibri"/>
      <family val="2"/>
      <charset val="134"/>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sz val="11"/>
      <color rgb="FFFF0000"/>
      <name val="Times New Roman"/>
      <family val="1"/>
    </font>
    <font>
      <sz val="11"/>
      <color theme="1"/>
      <name val="Calibri"/>
      <family val="2"/>
      <scheme val="minor"/>
    </font>
    <font>
      <sz val="11"/>
      <color theme="0"/>
      <name val="Calibri"/>
      <family val="2"/>
      <scheme val="minor"/>
    </font>
    <font>
      <sz val="11"/>
      <color rgb="FF3F3F76"/>
      <name val="Calibri"/>
      <family val="2"/>
      <charset val="134"/>
      <scheme val="minor"/>
    </font>
    <font>
      <b/>
      <sz val="14"/>
      <color rgb="FF000000"/>
      <name val="Calibri"/>
      <family val="2"/>
    </font>
    <font>
      <b/>
      <sz val="11"/>
      <color theme="0"/>
      <name val="Calibri"/>
      <family val="2"/>
      <charset val="134"/>
      <scheme val="minor"/>
    </font>
  </fonts>
  <fills count="13">
    <fill>
      <patternFill patternType="none"/>
    </fill>
    <fill>
      <patternFill patternType="gray125"/>
    </fill>
    <fill>
      <patternFill patternType="solid">
        <fgColor rgb="FF00FF00"/>
        <bgColor indexed="64"/>
      </patternFill>
    </fill>
    <fill>
      <patternFill patternType="solid">
        <fgColor rgb="FF00FFFF"/>
        <bgColor indexed="64"/>
      </patternFill>
    </fill>
    <fill>
      <patternFill patternType="solid">
        <fgColor theme="4"/>
      </patternFill>
    </fill>
    <fill>
      <patternFill patternType="solid">
        <fgColor theme="8"/>
      </patternFill>
    </fill>
    <fill>
      <patternFill patternType="solid">
        <fgColor theme="9"/>
      </patternFill>
    </fill>
    <fill>
      <patternFill patternType="solid">
        <fgColor theme="7"/>
      </patternFill>
    </fill>
    <fill>
      <patternFill patternType="solid">
        <fgColor theme="5"/>
      </patternFill>
    </fill>
    <fill>
      <patternFill patternType="solid">
        <fgColor rgb="FFFFCC99"/>
      </patternFill>
    </fill>
    <fill>
      <patternFill patternType="solid">
        <fgColor theme="7" tint="0.59999389629810485"/>
        <bgColor indexed="65"/>
      </patternFill>
    </fill>
    <fill>
      <patternFill patternType="solid">
        <fgColor theme="9" tint="0.79998168889431442"/>
        <bgColor indexed="65"/>
      </patternFill>
    </fill>
    <fill>
      <patternFill patternType="solid">
        <fgColor rgb="FFA5A5A5"/>
      </patternFill>
    </fill>
  </fills>
  <borders count="2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
    <xf numFmtId="0" fontId="0" fillId="0" borderId="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10" fillId="9" borderId="9" applyNumberFormat="0" applyAlignment="0" applyProtection="0"/>
    <xf numFmtId="0" fontId="2" fillId="10" borderId="0" applyNumberFormat="0" applyBorder="0" applyAlignment="0" applyProtection="0"/>
    <xf numFmtId="0" fontId="2" fillId="11" borderId="0" applyNumberFormat="0" applyBorder="0" applyAlignment="0" applyProtection="0"/>
    <xf numFmtId="0" fontId="12" fillId="12" borderId="22" applyNumberFormat="0" applyAlignment="0" applyProtection="0"/>
  </cellStyleXfs>
  <cellXfs count="114">
    <xf numFmtId="0" fontId="0" fillId="0" borderId="0" xfId="0"/>
    <xf numFmtId="0" fontId="4" fillId="0" borderId="0" xfId="0" applyFont="1" applyAlignment="1">
      <alignment horizontal="center" vertical="center" wrapText="1"/>
    </xf>
    <xf numFmtId="164" fontId="4" fillId="0" borderId="0" xfId="0" applyNumberFormat="1" applyFont="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64" fontId="0" fillId="0" borderId="0" xfId="0" applyNumberFormat="1" applyAlignment="1">
      <alignment horizontal="center" vertical="center"/>
    </xf>
    <xf numFmtId="0" fontId="3" fillId="0" borderId="0" xfId="0" applyFont="1" applyAlignment="1">
      <alignment horizontal="center"/>
    </xf>
    <xf numFmtId="0" fontId="5" fillId="0" borderId="0" xfId="0" applyFont="1" applyAlignment="1">
      <alignment horizontal="center"/>
    </xf>
    <xf numFmtId="11" fontId="0" fillId="0" borderId="0" xfId="0" applyNumberFormat="1" applyAlignment="1">
      <alignment horizontal="center"/>
    </xf>
    <xf numFmtId="3" fontId="0" fillId="0" borderId="0" xfId="0" applyNumberFormat="1" applyAlignment="1">
      <alignment horizontal="center" vertical="center"/>
    </xf>
    <xf numFmtId="164" fontId="3" fillId="0" borderId="0" xfId="0" applyNumberFormat="1" applyFont="1" applyAlignment="1">
      <alignment horizontal="center" vertical="center"/>
    </xf>
    <xf numFmtId="164" fontId="0" fillId="0" borderId="0" xfId="0" applyNumberFormat="1" applyAlignment="1">
      <alignment horizontal="center"/>
    </xf>
    <xf numFmtId="3" fontId="0" fillId="0" borderId="0" xfId="0" applyNumberFormat="1" applyAlignment="1">
      <alignment horizontal="center"/>
    </xf>
    <xf numFmtId="3" fontId="0" fillId="0" borderId="0" xfId="0" applyNumberFormat="1"/>
    <xf numFmtId="164" fontId="0" fillId="0" borderId="0" xfId="0" applyNumberFormat="1" applyAlignment="1">
      <alignment horizontal="center" vertical="center" wrapText="1"/>
    </xf>
    <xf numFmtId="11" fontId="0" fillId="0" borderId="0" xfId="0" applyNumberFormat="1"/>
    <xf numFmtId="0" fontId="4" fillId="0" borderId="0" xfId="0" applyFont="1" applyAlignment="1">
      <alignment horizontal="center" vertical="center"/>
    </xf>
    <xf numFmtId="165" fontId="0" fillId="0" borderId="0" xfId="0" applyNumberFormat="1" applyAlignment="1">
      <alignment horizontal="center" vertical="center"/>
    </xf>
    <xf numFmtId="0" fontId="4" fillId="0" borderId="0" xfId="0" applyFont="1"/>
    <xf numFmtId="0" fontId="0" fillId="0" borderId="0" xfId="0" applyAlignment="1">
      <alignment horizontal="center"/>
    </xf>
    <xf numFmtId="10" fontId="0" fillId="0" borderId="0" xfId="0" applyNumberFormat="1"/>
    <xf numFmtId="0" fontId="8" fillId="0" borderId="0" xfId="0" applyFont="1"/>
    <xf numFmtId="0" fontId="0" fillId="2" borderId="0" xfId="0" applyFill="1"/>
    <xf numFmtId="166" fontId="0" fillId="0" borderId="0" xfId="0" applyNumberFormat="1"/>
    <xf numFmtId="9" fontId="0" fillId="2" borderId="0" xfId="0" applyNumberFormat="1" applyFill="1"/>
    <xf numFmtId="10" fontId="0" fillId="2" borderId="0" xfId="0" applyNumberFormat="1" applyFill="1"/>
    <xf numFmtId="0" fontId="0" fillId="3" borderId="0" xfId="0" applyFill="1"/>
    <xf numFmtId="0" fontId="0" fillId="0" borderId="0" xfId="0" quotePrefix="1"/>
    <xf numFmtId="2" fontId="0" fillId="0" borderId="0" xfId="0" applyNumberFormat="1"/>
    <xf numFmtId="0" fontId="9" fillId="4" borderId="0" xfId="1"/>
    <xf numFmtId="164" fontId="9" fillId="4" borderId="0" xfId="1" applyNumberFormat="1"/>
    <xf numFmtId="164" fontId="9" fillId="4" borderId="0" xfId="1" applyNumberFormat="1" applyAlignment="1">
      <alignment horizontal="center" vertical="center"/>
    </xf>
    <xf numFmtId="0" fontId="9" fillId="4" borderId="0" xfId="1" applyAlignment="1">
      <alignment horizontal="center"/>
    </xf>
    <xf numFmtId="0" fontId="9" fillId="5" borderId="0" xfId="2"/>
    <xf numFmtId="0" fontId="9" fillId="6" borderId="0" xfId="3"/>
    <xf numFmtId="0" fontId="0" fillId="0" borderId="0" xfId="0" applyAlignment="1">
      <alignment horizontal="center"/>
    </xf>
    <xf numFmtId="0" fontId="6" fillId="0" borderId="0" xfId="0" applyFont="1" applyAlignment="1">
      <alignment horizontal="center"/>
    </xf>
    <xf numFmtId="164" fontId="9" fillId="5" borderId="0" xfId="2" applyNumberFormat="1" applyAlignment="1">
      <alignment horizontal="center" vertical="center" wrapText="1"/>
    </xf>
    <xf numFmtId="1" fontId="4" fillId="0" borderId="0" xfId="0" applyNumberFormat="1" applyFont="1" applyAlignment="1">
      <alignment horizontal="center" vertical="center" wrapText="1"/>
    </xf>
    <xf numFmtId="1" fontId="0" fillId="0" borderId="0" xfId="0" applyNumberFormat="1" applyAlignment="1">
      <alignment horizontal="center"/>
    </xf>
    <xf numFmtId="1" fontId="0" fillId="0" borderId="0" xfId="0" applyNumberFormat="1" applyAlignment="1">
      <alignment horizontal="center" vertical="center"/>
    </xf>
    <xf numFmtId="1" fontId="0" fillId="0" borderId="0" xfId="0" applyNumberFormat="1"/>
    <xf numFmtId="0" fontId="4" fillId="0" borderId="0" xfId="0" applyFont="1" applyAlignment="1">
      <alignment horizontal="center"/>
    </xf>
    <xf numFmtId="11" fontId="4" fillId="0" borderId="0" xfId="0" applyNumberFormat="1" applyFont="1"/>
    <xf numFmtId="0" fontId="9" fillId="5" borderId="0" xfId="2" applyAlignment="1">
      <alignment horizontal="center"/>
    </xf>
    <xf numFmtId="1" fontId="9" fillId="5" borderId="0" xfId="2" applyNumberFormat="1" applyAlignment="1">
      <alignment horizontal="center"/>
    </xf>
    <xf numFmtId="11" fontId="9" fillId="5" borderId="0" xfId="2" applyNumberFormat="1" applyAlignment="1">
      <alignment horizontal="center"/>
    </xf>
    <xf numFmtId="11" fontId="9" fillId="5" borderId="0" xfId="2" applyNumberFormat="1"/>
    <xf numFmtId="0" fontId="9" fillId="6" borderId="0" xfId="3" applyAlignment="1">
      <alignment horizontal="center"/>
    </xf>
    <xf numFmtId="3" fontId="0" fillId="0" borderId="2" xfId="0" applyNumberFormat="1" applyBorder="1" applyAlignment="1">
      <alignment horizontal="right" vertical="center"/>
    </xf>
    <xf numFmtId="164" fontId="0" fillId="0" borderId="2" xfId="0" applyNumberFormat="1" applyBorder="1" applyAlignment="1">
      <alignment horizontal="right" vertical="center"/>
    </xf>
    <xf numFmtId="11" fontId="0" fillId="0" borderId="3" xfId="0" applyNumberFormat="1" applyBorder="1" applyAlignment="1">
      <alignment horizontal="right"/>
    </xf>
    <xf numFmtId="3" fontId="0" fillId="0" borderId="5" xfId="0" applyNumberFormat="1" applyBorder="1" applyAlignment="1">
      <alignment horizontal="right"/>
    </xf>
    <xf numFmtId="3" fontId="0" fillId="0" borderId="5" xfId="0" applyNumberFormat="1" applyBorder="1" applyAlignment="1">
      <alignment horizontal="right" vertical="center"/>
    </xf>
    <xf numFmtId="164" fontId="0" fillId="0" borderId="5" xfId="0" applyNumberFormat="1" applyBorder="1" applyAlignment="1">
      <alignment horizontal="right" vertical="center"/>
    </xf>
    <xf numFmtId="2" fontId="0" fillId="0" borderId="6" xfId="0" applyNumberFormat="1" applyBorder="1" applyAlignment="1">
      <alignment horizontal="right"/>
    </xf>
    <xf numFmtId="2" fontId="0" fillId="0" borderId="3" xfId="0" applyNumberFormat="1" applyBorder="1" applyAlignment="1">
      <alignment horizontal="right"/>
    </xf>
    <xf numFmtId="3" fontId="0" fillId="0" borderId="2" xfId="0" applyNumberFormat="1" applyBorder="1" applyAlignment="1">
      <alignment horizontal="right"/>
    </xf>
    <xf numFmtId="3" fontId="0" fillId="0" borderId="0" xfId="0" applyNumberFormat="1" applyBorder="1" applyAlignment="1">
      <alignment horizontal="right"/>
    </xf>
    <xf numFmtId="164" fontId="0" fillId="0" borderId="0" xfId="0" applyNumberFormat="1" applyBorder="1" applyAlignment="1">
      <alignment horizontal="right" vertical="center"/>
    </xf>
    <xf numFmtId="2" fontId="0" fillId="0" borderId="8" xfId="0" applyNumberFormat="1" applyBorder="1" applyAlignment="1">
      <alignment horizontal="right"/>
    </xf>
    <xf numFmtId="3" fontId="0" fillId="0" borderId="0" xfId="0" applyNumberFormat="1" applyBorder="1" applyAlignment="1">
      <alignment horizontal="right" vertical="center"/>
    </xf>
    <xf numFmtId="0" fontId="9" fillId="7" borderId="0" xfId="4"/>
    <xf numFmtId="0" fontId="6" fillId="0" borderId="0" xfId="0" applyFont="1" applyAlignment="1">
      <alignment horizontal="center"/>
    </xf>
    <xf numFmtId="0" fontId="0" fillId="0" borderId="0" xfId="0" applyAlignment="1">
      <alignment horizontal="center"/>
    </xf>
    <xf numFmtId="0" fontId="9" fillId="8" borderId="0" xfId="5" applyAlignment="1">
      <alignment horizontal="center"/>
    </xf>
    <xf numFmtId="1" fontId="9" fillId="8" borderId="0" xfId="5" applyNumberFormat="1" applyAlignment="1">
      <alignment horizontal="center"/>
    </xf>
    <xf numFmtId="11" fontId="9" fillId="8" borderId="0" xfId="5" applyNumberFormat="1" applyAlignment="1">
      <alignment horizontal="center"/>
    </xf>
    <xf numFmtId="0" fontId="9" fillId="8" borderId="0" xfId="5"/>
    <xf numFmtId="11" fontId="9" fillId="8" borderId="0" xfId="5" applyNumberFormat="1"/>
    <xf numFmtId="0" fontId="9" fillId="8" borderId="7" xfId="5" applyBorder="1" applyAlignment="1">
      <alignment horizontal="center" vertical="center"/>
    </xf>
    <xf numFmtId="3" fontId="9" fillId="8" borderId="0" xfId="5" applyNumberFormat="1" applyBorder="1" applyAlignment="1">
      <alignment horizontal="right"/>
    </xf>
    <xf numFmtId="3" fontId="9" fillId="8" borderId="0" xfId="5" applyNumberFormat="1" applyBorder="1" applyAlignment="1">
      <alignment horizontal="right" vertical="center"/>
    </xf>
    <xf numFmtId="164" fontId="3" fillId="0" borderId="4" xfId="0" applyNumberFormat="1" applyFont="1" applyBorder="1" applyAlignment="1">
      <alignment horizontal="center" vertical="center"/>
    </xf>
    <xf numFmtId="164" fontId="3" fillId="0" borderId="7" xfId="0" applyNumberFormat="1" applyFont="1" applyBorder="1" applyAlignment="1">
      <alignment horizontal="center" vertical="center"/>
    </xf>
    <xf numFmtId="164" fontId="4" fillId="0" borderId="1" xfId="0" applyNumberFormat="1" applyFont="1" applyBorder="1" applyAlignment="1">
      <alignment horizontal="center" vertical="center"/>
    </xf>
    <xf numFmtId="164" fontId="6" fillId="0" borderId="1" xfId="0" applyNumberFormat="1" applyFont="1" applyBorder="1" applyAlignment="1">
      <alignment horizontal="center" vertical="center"/>
    </xf>
    <xf numFmtId="165" fontId="9" fillId="8" borderId="8" xfId="5" applyNumberFormat="1" applyBorder="1" applyAlignment="1">
      <alignment horizontal="right"/>
    </xf>
    <xf numFmtId="164" fontId="9" fillId="8" borderId="0" xfId="5" applyNumberFormat="1" applyBorder="1" applyAlignment="1">
      <alignment horizontal="right" vertical="center"/>
    </xf>
    <xf numFmtId="1" fontId="0" fillId="0" borderId="0" xfId="0" applyNumberFormat="1" applyAlignment="1">
      <alignment horizontal="center"/>
    </xf>
    <xf numFmtId="0" fontId="0" fillId="0" borderId="0" xfId="0" applyAlignment="1">
      <alignment horizont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2" fillId="11" borderId="13" xfId="8" applyBorder="1" applyAlignment="1">
      <alignment horizontal="center" vertical="center"/>
    </xf>
    <xf numFmtId="9" fontId="10" fillId="9" borderId="14" xfId="6" applyNumberFormat="1" applyBorder="1" applyAlignment="1">
      <alignment horizontal="center" vertical="center"/>
    </xf>
    <xf numFmtId="0" fontId="2" fillId="11" borderId="15" xfId="8" applyBorder="1" applyAlignment="1">
      <alignment horizontal="center" vertical="center"/>
    </xf>
    <xf numFmtId="9" fontId="10" fillId="9" borderId="17" xfId="6" applyNumberFormat="1" applyBorder="1" applyAlignment="1">
      <alignment horizontal="center" vertical="center"/>
    </xf>
    <xf numFmtId="0" fontId="2" fillId="10" borderId="18" xfId="7" applyBorder="1" applyAlignment="1">
      <alignment horizontal="center" vertical="center"/>
    </xf>
    <xf numFmtId="9" fontId="10" fillId="9" borderId="20" xfId="6" applyNumberFormat="1" applyBorder="1" applyAlignment="1">
      <alignment horizontal="center" vertical="center"/>
    </xf>
    <xf numFmtId="0" fontId="2" fillId="10" borderId="21" xfId="7" applyBorder="1" applyAlignment="1">
      <alignment horizontal="center" vertical="center"/>
    </xf>
    <xf numFmtId="0" fontId="12" fillId="12" borderId="22" xfId="9"/>
    <xf numFmtId="165" fontId="9" fillId="6" borderId="17" xfId="3" applyNumberFormat="1" applyBorder="1"/>
    <xf numFmtId="9" fontId="9" fillId="6" borderId="17" xfId="3" applyNumberFormat="1" applyBorder="1"/>
    <xf numFmtId="0" fontId="9" fillId="5" borderId="23" xfId="2" applyBorder="1"/>
    <xf numFmtId="0" fontId="9" fillId="5" borderId="24" xfId="2" applyBorder="1"/>
    <xf numFmtId="165" fontId="9" fillId="7" borderId="17" xfId="4" applyNumberFormat="1" applyBorder="1"/>
    <xf numFmtId="9" fontId="9" fillId="7" borderId="17" xfId="4" applyNumberFormat="1" applyBorder="1"/>
    <xf numFmtId="165" fontId="9" fillId="8" borderId="17" xfId="5" applyNumberFormat="1" applyBorder="1"/>
    <xf numFmtId="9" fontId="9" fillId="8" borderId="17" xfId="5" applyNumberFormat="1" applyBorder="1"/>
    <xf numFmtId="0" fontId="1" fillId="10" borderId="16" xfId="7" applyFont="1" applyBorder="1" applyAlignment="1">
      <alignment horizontal="center" vertical="center"/>
    </xf>
    <xf numFmtId="0" fontId="1" fillId="10" borderId="19" xfId="7" applyFont="1" applyBorder="1" applyAlignment="1">
      <alignment horizontal="center" vertical="center"/>
    </xf>
    <xf numFmtId="2" fontId="9" fillId="6" borderId="17" xfId="3" applyNumberFormat="1" applyBorder="1"/>
    <xf numFmtId="2" fontId="9" fillId="7" borderId="17" xfId="4" applyNumberFormat="1" applyBorder="1"/>
    <xf numFmtId="2" fontId="9" fillId="8" borderId="17" xfId="5" applyNumberFormat="1" applyBorder="1"/>
    <xf numFmtId="0" fontId="12" fillId="12" borderId="22" xfId="9" applyBorder="1"/>
    <xf numFmtId="0" fontId="0" fillId="0" borderId="0" xfId="0" applyBorder="1"/>
    <xf numFmtId="1" fontId="0" fillId="0" borderId="0" xfId="0" applyNumberFormat="1" applyAlignment="1">
      <alignment horizontal="center"/>
    </xf>
    <xf numFmtId="0" fontId="9" fillId="5" borderId="0" xfId="2" applyAlignment="1">
      <alignment horizontal="center" vertical="center"/>
    </xf>
    <xf numFmtId="164" fontId="9" fillId="5" borderId="0" xfId="2" applyNumberFormat="1" applyAlignment="1">
      <alignment horizontal="center" vertical="center"/>
    </xf>
    <xf numFmtId="0" fontId="6" fillId="0" borderId="0" xfId="0" applyFont="1" applyAlignment="1">
      <alignment horizontal="center"/>
    </xf>
    <xf numFmtId="164" fontId="6" fillId="0" borderId="0" xfId="0" applyNumberFormat="1" applyFont="1" applyAlignment="1">
      <alignment horizontal="center" vertical="center"/>
    </xf>
    <xf numFmtId="9" fontId="0" fillId="0" borderId="0" xfId="0" applyNumberFormat="1" applyAlignment="1">
      <alignment horizontal="center"/>
    </xf>
    <xf numFmtId="0" fontId="0" fillId="0" borderId="0" xfId="0" applyAlignment="1">
      <alignment horizontal="center"/>
    </xf>
  </cellXfs>
  <cellStyles count="10">
    <cellStyle name="20% - Accent6" xfId="8" builtinId="50"/>
    <cellStyle name="40% - Accent4" xfId="7" builtinId="43"/>
    <cellStyle name="Accent1" xfId="1" builtinId="29"/>
    <cellStyle name="Accent2" xfId="5" builtinId="33"/>
    <cellStyle name="Accent4" xfId="4" builtinId="41"/>
    <cellStyle name="Accent5" xfId="2" builtinId="45"/>
    <cellStyle name="Accent6" xfId="3" builtinId="49"/>
    <cellStyle name="Check Cell" xfId="9" builtinId="23"/>
    <cellStyle name="Input" xfId="6"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Carbon footprint (kg CO</a:t>
            </a:r>
            <a:r>
              <a:rPr lang="en-US" sz="1400" b="0" i="0" baseline="-25000">
                <a:effectLst/>
              </a:rPr>
              <a:t>2</a:t>
            </a:r>
            <a:r>
              <a:rPr lang="en-US" sz="1400" b="0" i="0" baseline="0">
                <a:effectLst/>
              </a:rPr>
              <a:t>-eq/m</a:t>
            </a:r>
            <a:r>
              <a:rPr lang="en-US" sz="1400" b="0" i="0" baseline="30000">
                <a:effectLst/>
              </a:rPr>
              <a:t>2 </a:t>
            </a:r>
            <a:r>
              <a:rPr lang="en-US" sz="1400" b="0" i="0" baseline="0">
                <a:effectLst/>
              </a:rPr>
              <a:t>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5C3A6BA8-C9D0-4FE3-BB8E-A544C1F6A8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87A-4EA9-AFE0-E8D3A3E711F9}"/>
                </c:ext>
              </c:extLst>
            </c:dLbl>
            <c:dLbl>
              <c:idx val="1"/>
              <c:tx>
                <c:rich>
                  <a:bodyPr/>
                  <a:lstStyle/>
                  <a:p>
                    <a:fld id="{BB0782A1-BFED-4FC0-B2BC-EC653EFB026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87A-4EA9-AFE0-E8D3A3E711F9}"/>
                </c:ext>
              </c:extLst>
            </c:dLbl>
            <c:dLbl>
              <c:idx val="2"/>
              <c:tx>
                <c:rich>
                  <a:bodyPr/>
                  <a:lstStyle/>
                  <a:p>
                    <a:fld id="{E004D1F1-5577-47C0-9F0E-7257C9ADAC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87A-4EA9-AFE0-E8D3A3E711F9}"/>
                </c:ext>
              </c:extLst>
            </c:dLbl>
            <c:dLbl>
              <c:idx val="3"/>
              <c:tx>
                <c:rich>
                  <a:bodyPr/>
                  <a:lstStyle/>
                  <a:p>
                    <a:fld id="{E64ABDD2-9D9F-4401-B8A3-C5FDD91694F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87A-4EA9-AFE0-E8D3A3E711F9}"/>
                </c:ext>
              </c:extLst>
            </c:dLbl>
            <c:dLbl>
              <c:idx val="4"/>
              <c:tx>
                <c:rich>
                  <a:bodyPr/>
                  <a:lstStyle/>
                  <a:p>
                    <a:fld id="{416FAB5B-0C2C-49AF-AC8D-68EA4ACF0A7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87A-4EA9-AFE0-E8D3A3E711F9}"/>
                </c:ext>
              </c:extLst>
            </c:dLbl>
            <c:dLbl>
              <c:idx val="5"/>
              <c:tx>
                <c:rich>
                  <a:bodyPr/>
                  <a:lstStyle/>
                  <a:p>
                    <a:fld id="{09B9690B-24F9-4E62-9D20-2C3998A0206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87A-4EA9-AFE0-E8D3A3E711F9}"/>
                </c:ext>
              </c:extLst>
            </c:dLbl>
            <c:dLbl>
              <c:idx val="6"/>
              <c:tx>
                <c:rich>
                  <a:bodyPr/>
                  <a:lstStyle/>
                  <a:p>
                    <a:fld id="{9F4359F2-2BDC-453C-A7ED-2AFA647ACB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87A-4EA9-AFE0-E8D3A3E711F9}"/>
                </c:ext>
              </c:extLst>
            </c:dLbl>
            <c:dLbl>
              <c:idx val="7"/>
              <c:tx>
                <c:rich>
                  <a:bodyPr/>
                  <a:lstStyle/>
                  <a:p>
                    <a:fld id="{5F557E50-7219-4E32-AA7C-E547007BEDC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87A-4EA9-AFE0-E8D3A3E711F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SA!$A$6:$A$13</c:f>
              <c:strCache>
                <c:ptCount val="8"/>
                <c:pt idx="0">
                  <c:v>Recycling level of electrode (90%)</c:v>
                </c:pt>
                <c:pt idx="1">
                  <c:v>Energy consumption of ETL 2nd-step spin coating, kWh (0.360)</c:v>
                </c:pt>
                <c:pt idx="2">
                  <c:v>Energy consumption of inert gas purging, kWh (2.750)</c:v>
                </c:pt>
                <c:pt idx="3">
                  <c:v>Energy consumption of HTL sputtering, kWh (7.350)</c:v>
                </c:pt>
                <c:pt idx="4">
                  <c:v>Energy consumption of PL 1st-step spin coating, kWh (9.650)</c:v>
                </c:pt>
                <c:pt idx="5">
                  <c:v>Energy consumption of electrode sputtering, kWh (10.90)</c:v>
                </c:pt>
                <c:pt idx="6">
                  <c:v>Recycling level of substrate (90%)</c:v>
                </c:pt>
                <c:pt idx="7">
                  <c:v>Energy consumption of PL 2nd-step spin coating, kWh (17.16)</c:v>
                </c:pt>
              </c:strCache>
            </c:strRef>
          </c:cat>
          <c:val>
            <c:numRef>
              <c:f>SA!$C$6:$C$13</c:f>
              <c:numCache>
                <c:formatCode>General</c:formatCode>
                <c:ptCount val="8"/>
                <c:pt idx="0">
                  <c:v>38.520840634717182</c:v>
                </c:pt>
                <c:pt idx="1">
                  <c:v>38.465509636287116</c:v>
                </c:pt>
                <c:pt idx="2">
                  <c:v>37.954292105253344</c:v>
                </c:pt>
                <c:pt idx="3">
                  <c:v>37.47205152134994</c:v>
                </c:pt>
                <c:pt idx="4">
                  <c:v>37.146119754449344</c:v>
                </c:pt>
                <c:pt idx="5">
                  <c:v>36.969275181553783</c:v>
                </c:pt>
                <c:pt idx="6">
                  <c:v>40.200041743973188</c:v>
                </c:pt>
                <c:pt idx="7">
                  <c:v>36.080458696041916</c:v>
                </c:pt>
              </c:numCache>
            </c:numRef>
          </c:val>
          <c:extLst>
            <c:ext xmlns:c15="http://schemas.microsoft.com/office/drawing/2012/chart" uri="{02D57815-91ED-43cb-92C2-25804820EDAC}">
              <c15:datalabelsRange>
                <c15:f>SA!$B$6:$B$13</c15:f>
                <c15:dlblRangeCache>
                  <c:ptCount val="8"/>
                  <c:pt idx="0">
                    <c:v>80%</c:v>
                  </c:pt>
                  <c:pt idx="1">
                    <c:v>0.288</c:v>
                  </c:pt>
                  <c:pt idx="2">
                    <c:v>2.200</c:v>
                  </c:pt>
                  <c:pt idx="3">
                    <c:v>5.880</c:v>
                  </c:pt>
                  <c:pt idx="4">
                    <c:v>7.720</c:v>
                  </c:pt>
                  <c:pt idx="5">
                    <c:v>8.720</c:v>
                  </c:pt>
                  <c:pt idx="6">
                    <c:v>80%</c:v>
                  </c:pt>
                  <c:pt idx="7">
                    <c:v>13.73</c:v>
                  </c:pt>
                </c15:dlblRangeCache>
              </c15:datalabelsRange>
            </c:ext>
            <c:ext xmlns:c16="http://schemas.microsoft.com/office/drawing/2014/chart" uri="{C3380CC4-5D6E-409C-BE32-E72D297353CC}">
              <c16:uniqueId val="{00000000-187A-4EA9-AFE0-E8D3A3E711F9}"/>
            </c:ext>
          </c:extLst>
        </c:ser>
        <c:ser>
          <c:idx val="1"/>
          <c:order val="1"/>
          <c:spPr>
            <a:solidFill>
              <a:schemeClr val="accent2"/>
            </a:solidFill>
            <a:ln>
              <a:noFill/>
            </a:ln>
            <a:effectLst/>
          </c:spPr>
          <c:invertIfNegative val="0"/>
          <c:dLbls>
            <c:dLbl>
              <c:idx val="0"/>
              <c:tx>
                <c:rich>
                  <a:bodyPr/>
                  <a:lstStyle/>
                  <a:p>
                    <a:fld id="{2AF1EA50-E6BF-464E-B868-EF89AA03859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87A-4EA9-AFE0-E8D3A3E711F9}"/>
                </c:ext>
              </c:extLst>
            </c:dLbl>
            <c:dLbl>
              <c:idx val="1"/>
              <c:tx>
                <c:rich>
                  <a:bodyPr/>
                  <a:lstStyle/>
                  <a:p>
                    <a:fld id="{61CB5098-183C-4772-BAAE-66BE42624D0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87A-4EA9-AFE0-E8D3A3E711F9}"/>
                </c:ext>
              </c:extLst>
            </c:dLbl>
            <c:dLbl>
              <c:idx val="2"/>
              <c:tx>
                <c:rich>
                  <a:bodyPr/>
                  <a:lstStyle/>
                  <a:p>
                    <a:fld id="{1F5B025C-2BFC-4B3B-B4D6-5D1B0C42401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87A-4EA9-AFE0-E8D3A3E711F9}"/>
                </c:ext>
              </c:extLst>
            </c:dLbl>
            <c:dLbl>
              <c:idx val="3"/>
              <c:tx>
                <c:rich>
                  <a:bodyPr/>
                  <a:lstStyle/>
                  <a:p>
                    <a:fld id="{76615DF4-4766-4F93-9EC4-8ACC185E411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87A-4EA9-AFE0-E8D3A3E711F9}"/>
                </c:ext>
              </c:extLst>
            </c:dLbl>
            <c:dLbl>
              <c:idx val="4"/>
              <c:tx>
                <c:rich>
                  <a:bodyPr/>
                  <a:lstStyle/>
                  <a:p>
                    <a:fld id="{5952E795-3062-44C7-B717-1B72C27300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87A-4EA9-AFE0-E8D3A3E711F9}"/>
                </c:ext>
              </c:extLst>
            </c:dLbl>
            <c:dLbl>
              <c:idx val="5"/>
              <c:tx>
                <c:rich>
                  <a:bodyPr/>
                  <a:lstStyle/>
                  <a:p>
                    <a:fld id="{41964E6C-2A13-42D9-9C3E-7ABD108408B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87A-4EA9-AFE0-E8D3A3E711F9}"/>
                </c:ext>
              </c:extLst>
            </c:dLbl>
            <c:dLbl>
              <c:idx val="6"/>
              <c:tx>
                <c:rich>
                  <a:bodyPr/>
                  <a:lstStyle/>
                  <a:p>
                    <a:fld id="{6FC9C693-234E-4B75-9485-95B07D72CCB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87A-4EA9-AFE0-E8D3A3E711F9}"/>
                </c:ext>
              </c:extLst>
            </c:dLbl>
            <c:dLbl>
              <c:idx val="7"/>
              <c:tx>
                <c:rich>
                  <a:bodyPr/>
                  <a:lstStyle/>
                  <a:p>
                    <a:fld id="{B6221EE5-0787-46CD-ADC0-14B3341862F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87A-4EA9-AFE0-E8D3A3E711F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SA!$A$6:$A$13</c:f>
              <c:strCache>
                <c:ptCount val="8"/>
                <c:pt idx="0">
                  <c:v>Recycling level of electrode (90%)</c:v>
                </c:pt>
                <c:pt idx="1">
                  <c:v>Energy consumption of ETL 2nd-step spin coating, kWh (0.360)</c:v>
                </c:pt>
                <c:pt idx="2">
                  <c:v>Energy consumption of inert gas purging, kWh (2.750)</c:v>
                </c:pt>
                <c:pt idx="3">
                  <c:v>Energy consumption of HTL sputtering, kWh (7.350)</c:v>
                </c:pt>
                <c:pt idx="4">
                  <c:v>Energy consumption of PL 1st-step spin coating, kWh (9.650)</c:v>
                </c:pt>
                <c:pt idx="5">
                  <c:v>Energy consumption of electrode sputtering, kWh (10.90)</c:v>
                </c:pt>
                <c:pt idx="6">
                  <c:v>Recycling level of substrate (90%)</c:v>
                </c:pt>
                <c:pt idx="7">
                  <c:v>Energy consumption of PL 2nd-step spin coating, kWh (17.16)</c:v>
                </c:pt>
              </c:strCache>
            </c:strRef>
          </c:cat>
          <c:val>
            <c:numRef>
              <c:f>SA!$G$6:$G$13</c:f>
              <c:numCache>
                <c:formatCode>General</c:formatCode>
                <c:ptCount val="8"/>
                <c:pt idx="0">
                  <c:v>38.511670167229184</c:v>
                </c:pt>
                <c:pt idx="1">
                  <c:v>38.567001165659256</c:v>
                </c:pt>
                <c:pt idx="2">
                  <c:v>39.078218696693021</c:v>
                </c:pt>
                <c:pt idx="3">
                  <c:v>39.560459280596426</c:v>
                </c:pt>
                <c:pt idx="4">
                  <c:v>39.886391047497021</c:v>
                </c:pt>
                <c:pt idx="5">
                  <c:v>40.063235620392589</c:v>
                </c:pt>
                <c:pt idx="6">
                  <c:v>36.832469057973185</c:v>
                </c:pt>
                <c:pt idx="7">
                  <c:v>40.952052105904457</c:v>
                </c:pt>
              </c:numCache>
            </c:numRef>
          </c:val>
          <c:extLst>
            <c:ext xmlns:c15="http://schemas.microsoft.com/office/drawing/2012/chart" uri="{02D57815-91ED-43cb-92C2-25804820EDAC}">
              <c15:datalabelsRange>
                <c15:f>SA!$F$6:$F$13</c15:f>
                <c15:dlblRangeCache>
                  <c:ptCount val="8"/>
                  <c:pt idx="0">
                    <c:v>100%</c:v>
                  </c:pt>
                  <c:pt idx="1">
                    <c:v>0.432</c:v>
                  </c:pt>
                  <c:pt idx="2">
                    <c:v>3.300</c:v>
                  </c:pt>
                  <c:pt idx="3">
                    <c:v>8.820</c:v>
                  </c:pt>
                  <c:pt idx="4">
                    <c:v>11.58</c:v>
                  </c:pt>
                  <c:pt idx="5">
                    <c:v>13.08</c:v>
                  </c:pt>
                  <c:pt idx="6">
                    <c:v>100%</c:v>
                  </c:pt>
                  <c:pt idx="7">
                    <c:v>20.59</c:v>
                  </c:pt>
                </c15:dlblRangeCache>
              </c15:datalabelsRange>
            </c:ext>
            <c:ext xmlns:c16="http://schemas.microsoft.com/office/drawing/2014/chart" uri="{C3380CC4-5D6E-409C-BE32-E72D297353CC}">
              <c16:uniqueId val="{00000002-187A-4EA9-AFE0-E8D3A3E711F9}"/>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38742815"/>
        <c:crossesAt val="38.516255399999999"/>
        <c:auto val="1"/>
        <c:lblAlgn val="ctr"/>
        <c:lblOffset val="100"/>
        <c:noMultiLvlLbl val="0"/>
      </c:catAx>
      <c:valAx>
        <c:axId val="338742815"/>
        <c:scaling>
          <c:orientation val="minMax"/>
          <c:max val="42"/>
          <c:min val="35"/>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Primary energy consumption (MJ/m</a:t>
            </a:r>
            <a:r>
              <a:rPr lang="en-US" sz="1400" b="0" i="0" baseline="30000">
                <a:effectLst/>
              </a:rPr>
              <a:t>2</a:t>
            </a:r>
            <a:r>
              <a:rPr lang="en-US" sz="1400" b="0" i="0" baseline="0">
                <a:effectLst/>
              </a:rPr>
              <a:t> 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26A604BA-52E2-41FE-8422-857CC9408A6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0D0-4CA0-879E-9B803417A631}"/>
                </c:ext>
              </c:extLst>
            </c:dLbl>
            <c:dLbl>
              <c:idx val="1"/>
              <c:tx>
                <c:rich>
                  <a:bodyPr/>
                  <a:lstStyle/>
                  <a:p>
                    <a:fld id="{936FD992-A829-418C-87B2-31465CC3195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0D0-4CA0-879E-9B803417A631}"/>
                </c:ext>
              </c:extLst>
            </c:dLbl>
            <c:dLbl>
              <c:idx val="2"/>
              <c:tx>
                <c:rich>
                  <a:bodyPr/>
                  <a:lstStyle/>
                  <a:p>
                    <a:fld id="{8F21854B-6C83-455F-A614-720C0DD0427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0D0-4CA0-879E-9B803417A631}"/>
                </c:ext>
              </c:extLst>
            </c:dLbl>
            <c:dLbl>
              <c:idx val="3"/>
              <c:tx>
                <c:rich>
                  <a:bodyPr/>
                  <a:lstStyle/>
                  <a:p>
                    <a:fld id="{CA36F10C-979D-4625-A546-A8ADE212667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0D0-4CA0-879E-9B803417A631}"/>
                </c:ext>
              </c:extLst>
            </c:dLbl>
            <c:dLbl>
              <c:idx val="4"/>
              <c:tx>
                <c:rich>
                  <a:bodyPr/>
                  <a:lstStyle/>
                  <a:p>
                    <a:fld id="{597D14D2-5A57-4581-91A0-4F6EE576B42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0D0-4CA0-879E-9B803417A631}"/>
                </c:ext>
              </c:extLst>
            </c:dLbl>
            <c:dLbl>
              <c:idx val="5"/>
              <c:tx>
                <c:rich>
                  <a:bodyPr/>
                  <a:lstStyle/>
                  <a:p>
                    <a:fld id="{F8D834AA-3806-48D1-9595-91B1A75B011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0D0-4CA0-879E-9B803417A631}"/>
                </c:ext>
              </c:extLst>
            </c:dLbl>
            <c:dLbl>
              <c:idx val="6"/>
              <c:tx>
                <c:rich>
                  <a:bodyPr/>
                  <a:lstStyle/>
                  <a:p>
                    <a:fld id="{596FC706-4BF1-4E49-9825-F45346DE064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0D0-4CA0-879E-9B803417A631}"/>
                </c:ext>
              </c:extLst>
            </c:dLbl>
            <c:dLbl>
              <c:idx val="7"/>
              <c:tx>
                <c:rich>
                  <a:bodyPr/>
                  <a:lstStyle/>
                  <a:p>
                    <a:fld id="{AE4445D2-C913-4449-BC94-A99D21BC632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0D0-4CA0-879E-9B803417A63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SA!$A$17:$A$24</c:f>
              <c:strCache>
                <c:ptCount val="8"/>
                <c:pt idx="0">
                  <c:v>Recycling level of electrode (90%)</c:v>
                </c:pt>
                <c:pt idx="1">
                  <c:v>Energy consumption of ETL 2nd-step spin coating, kWh (0.360)</c:v>
                </c:pt>
                <c:pt idx="2">
                  <c:v>Energy consumption of inert gas purging, kWh (2.750)</c:v>
                </c:pt>
                <c:pt idx="3">
                  <c:v>Energy consumption of HTL sputtering, kWh (7.350)</c:v>
                </c:pt>
                <c:pt idx="4">
                  <c:v>Energy consumption of PL 1st-step spin coating, kWh (9.650)</c:v>
                </c:pt>
                <c:pt idx="5">
                  <c:v>Energy consumption of electrode sputtering, kWh (10.90)</c:v>
                </c:pt>
                <c:pt idx="6">
                  <c:v>Recycling level of substrate (90%)</c:v>
                </c:pt>
                <c:pt idx="7">
                  <c:v>Energy consumption of PL 2nd-step spin coating, kWh (17.16)</c:v>
                </c:pt>
              </c:strCache>
            </c:strRef>
          </c:cat>
          <c:val>
            <c:numRef>
              <c:f>SA!$C$17:$C$24</c:f>
              <c:numCache>
                <c:formatCode>General</c:formatCode>
                <c:ptCount val="8"/>
                <c:pt idx="0">
                  <c:v>672.30689439837033</c:v>
                </c:pt>
                <c:pt idx="1">
                  <c:v>671.35377160222401</c:v>
                </c:pt>
                <c:pt idx="2">
                  <c:v>663.03960976784037</c:v>
                </c:pt>
                <c:pt idx="3">
                  <c:v>653.87309195532339</c:v>
                </c:pt>
                <c:pt idx="4">
                  <c:v>648.13806526595158</c:v>
                </c:pt>
                <c:pt idx="5">
                  <c:v>645.02634542633268</c:v>
                </c:pt>
                <c:pt idx="6">
                  <c:v>701.46955379327642</c:v>
                </c:pt>
                <c:pt idx="7">
                  <c:v>629.3869178405007</c:v>
                </c:pt>
              </c:numCache>
            </c:numRef>
          </c:val>
          <c:extLst>
            <c:ext xmlns:c15="http://schemas.microsoft.com/office/drawing/2012/chart" uri="{02D57815-91ED-43cb-92C2-25804820EDAC}">
              <c15:datalabelsRange>
                <c15:f>SA!$B$6:$B$13</c15:f>
                <c15:dlblRangeCache>
                  <c:ptCount val="8"/>
                  <c:pt idx="0">
                    <c:v>80%</c:v>
                  </c:pt>
                  <c:pt idx="1">
                    <c:v>0.288</c:v>
                  </c:pt>
                  <c:pt idx="2">
                    <c:v>2.200</c:v>
                  </c:pt>
                  <c:pt idx="3">
                    <c:v>5.880</c:v>
                  </c:pt>
                  <c:pt idx="4">
                    <c:v>7.720</c:v>
                  </c:pt>
                  <c:pt idx="5">
                    <c:v>8.720</c:v>
                  </c:pt>
                  <c:pt idx="6">
                    <c:v>80%</c:v>
                  </c:pt>
                  <c:pt idx="7">
                    <c:v>13.73</c:v>
                  </c:pt>
                </c15:dlblRangeCache>
              </c15:datalabelsRange>
            </c:ext>
            <c:ext xmlns:c16="http://schemas.microsoft.com/office/drawing/2014/chart" uri="{C3380CC4-5D6E-409C-BE32-E72D297353CC}">
              <c16:uniqueId val="{00000000-B0D0-4CA0-879E-9B803417A631}"/>
            </c:ext>
          </c:extLst>
        </c:ser>
        <c:ser>
          <c:idx val="1"/>
          <c:order val="1"/>
          <c:spPr>
            <a:solidFill>
              <a:schemeClr val="accent2"/>
            </a:solidFill>
            <a:ln>
              <a:noFill/>
            </a:ln>
            <a:effectLst/>
          </c:spPr>
          <c:invertIfNegative val="0"/>
          <c:dLbls>
            <c:dLbl>
              <c:idx val="0"/>
              <c:tx>
                <c:rich>
                  <a:bodyPr/>
                  <a:lstStyle/>
                  <a:p>
                    <a:fld id="{B02C11E6-E330-4C54-AA41-D3B4B5A96B2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0D0-4CA0-879E-9B803417A631}"/>
                </c:ext>
              </c:extLst>
            </c:dLbl>
            <c:dLbl>
              <c:idx val="1"/>
              <c:tx>
                <c:rich>
                  <a:bodyPr/>
                  <a:lstStyle/>
                  <a:p>
                    <a:fld id="{AEBADABB-57CF-42FD-86BE-C5AE0A0810E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0D0-4CA0-879E-9B803417A631}"/>
                </c:ext>
              </c:extLst>
            </c:dLbl>
            <c:dLbl>
              <c:idx val="2"/>
              <c:tx>
                <c:rich>
                  <a:bodyPr/>
                  <a:lstStyle/>
                  <a:p>
                    <a:fld id="{F748719D-F5A7-4ED8-97ED-7A7D913148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0D0-4CA0-879E-9B803417A631}"/>
                </c:ext>
              </c:extLst>
            </c:dLbl>
            <c:dLbl>
              <c:idx val="3"/>
              <c:tx>
                <c:rich>
                  <a:bodyPr/>
                  <a:lstStyle/>
                  <a:p>
                    <a:fld id="{9FBC6B54-35B8-41F8-A5C5-4D564E1CBB2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B0D0-4CA0-879E-9B803417A631}"/>
                </c:ext>
              </c:extLst>
            </c:dLbl>
            <c:dLbl>
              <c:idx val="4"/>
              <c:tx>
                <c:rich>
                  <a:bodyPr/>
                  <a:lstStyle/>
                  <a:p>
                    <a:fld id="{E15DF1E8-3432-4F5A-8167-E04CDDB6A0A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0D0-4CA0-879E-9B803417A631}"/>
                </c:ext>
              </c:extLst>
            </c:dLbl>
            <c:dLbl>
              <c:idx val="5"/>
              <c:tx>
                <c:rich>
                  <a:bodyPr/>
                  <a:lstStyle/>
                  <a:p>
                    <a:fld id="{4AFA1FBC-4282-4D74-8CFD-65307260EFA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B0D0-4CA0-879E-9B803417A631}"/>
                </c:ext>
              </c:extLst>
            </c:dLbl>
            <c:dLbl>
              <c:idx val="6"/>
              <c:tx>
                <c:rich>
                  <a:bodyPr/>
                  <a:lstStyle/>
                  <a:p>
                    <a:fld id="{89F80F79-73B5-442A-B103-C6CEA90B4F2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0D0-4CA0-879E-9B803417A631}"/>
                </c:ext>
              </c:extLst>
            </c:dLbl>
            <c:dLbl>
              <c:idx val="7"/>
              <c:tx>
                <c:rich>
                  <a:bodyPr/>
                  <a:lstStyle/>
                  <a:p>
                    <a:fld id="{9D236E5B-4C3D-4036-B0DA-76B9C7F11AB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B0D0-4CA0-879E-9B803417A63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SA!$A$17:$A$24</c:f>
              <c:strCache>
                <c:ptCount val="8"/>
                <c:pt idx="0">
                  <c:v>Recycling level of electrode (90%)</c:v>
                </c:pt>
                <c:pt idx="1">
                  <c:v>Energy consumption of ETL 2nd-step spin coating, kWh (0.360)</c:v>
                </c:pt>
                <c:pt idx="2">
                  <c:v>Energy consumption of inert gas purging, kWh (2.750)</c:v>
                </c:pt>
                <c:pt idx="3">
                  <c:v>Energy consumption of HTL sputtering, kWh (7.350)</c:v>
                </c:pt>
                <c:pt idx="4">
                  <c:v>Energy consumption of PL 1st-step spin coating, kWh (9.650)</c:v>
                </c:pt>
                <c:pt idx="5">
                  <c:v>Energy consumption of electrode sputtering, kWh (10.90)</c:v>
                </c:pt>
                <c:pt idx="6">
                  <c:v>Recycling level of substrate (90%)</c:v>
                </c:pt>
                <c:pt idx="7">
                  <c:v>Energy consumption of PL 2nd-step spin coating, kWh (17.16)</c:v>
                </c:pt>
              </c:strCache>
            </c:strRef>
          </c:cat>
          <c:val>
            <c:numRef>
              <c:f>SA!$G$17:$G$24</c:f>
              <c:numCache>
                <c:formatCode>General</c:formatCode>
                <c:ptCount val="8"/>
                <c:pt idx="0">
                  <c:v>672.18647237040636</c:v>
                </c:pt>
                <c:pt idx="1">
                  <c:v>673.13959516655268</c:v>
                </c:pt>
                <c:pt idx="2">
                  <c:v>681.45375700093632</c:v>
                </c:pt>
                <c:pt idx="3">
                  <c:v>690.62027481345353</c:v>
                </c:pt>
                <c:pt idx="4">
                  <c:v>696.35530150282511</c:v>
                </c:pt>
                <c:pt idx="5">
                  <c:v>699.46702134244413</c:v>
                </c:pt>
                <c:pt idx="6">
                  <c:v>643.02381297550028</c:v>
                </c:pt>
                <c:pt idx="7">
                  <c:v>715.10644892827622</c:v>
                </c:pt>
              </c:numCache>
            </c:numRef>
          </c:val>
          <c:extLst>
            <c:ext xmlns:c15="http://schemas.microsoft.com/office/drawing/2012/chart" uri="{02D57815-91ED-43cb-92C2-25804820EDAC}">
              <c15:datalabelsRange>
                <c15:f>SA!$F$6:$F$13</c15:f>
                <c15:dlblRangeCache>
                  <c:ptCount val="8"/>
                  <c:pt idx="0">
                    <c:v>100%</c:v>
                  </c:pt>
                  <c:pt idx="1">
                    <c:v>0.432</c:v>
                  </c:pt>
                  <c:pt idx="2">
                    <c:v>3.300</c:v>
                  </c:pt>
                  <c:pt idx="3">
                    <c:v>8.820</c:v>
                  </c:pt>
                  <c:pt idx="4">
                    <c:v>11.58</c:v>
                  </c:pt>
                  <c:pt idx="5">
                    <c:v>13.08</c:v>
                  </c:pt>
                  <c:pt idx="6">
                    <c:v>100%</c:v>
                  </c:pt>
                  <c:pt idx="7">
                    <c:v>20.59</c:v>
                  </c:pt>
                </c15:dlblRangeCache>
              </c15:datalabelsRange>
            </c:ext>
            <c:ext xmlns:c16="http://schemas.microsoft.com/office/drawing/2014/chart" uri="{C3380CC4-5D6E-409C-BE32-E72D297353CC}">
              <c16:uniqueId val="{00000002-B0D0-4CA0-879E-9B803417A631}"/>
            </c:ext>
          </c:extLst>
        </c:ser>
        <c:dLbls>
          <c:dLblPos val="outEnd"/>
          <c:showLegendKey val="0"/>
          <c:showVal val="1"/>
          <c:showCatName val="0"/>
          <c:showSerName val="0"/>
          <c:showPercent val="0"/>
          <c:showBubbleSize val="0"/>
        </c:dLbls>
        <c:gapWidth val="182"/>
        <c:overlap val="100"/>
        <c:axId val="226197807"/>
        <c:axId val="1519138671"/>
      </c:barChart>
      <c:catAx>
        <c:axId val="226197807"/>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19138671"/>
        <c:crossesAt val="672.24668339999994"/>
        <c:auto val="1"/>
        <c:lblAlgn val="ctr"/>
        <c:lblOffset val="100"/>
        <c:noMultiLvlLbl val="0"/>
      </c:catAx>
      <c:valAx>
        <c:axId val="1519138671"/>
        <c:scaling>
          <c:orientation val="minMax"/>
          <c:max val="740"/>
          <c:min val="6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261978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630362149613194E-2"/>
          <c:y val="2.8589993502274202E-2"/>
          <c:w val="0.88412204379964321"/>
          <c:h val="0.46000562795147681"/>
        </c:manualLayout>
      </c:layout>
      <c:barChart>
        <c:barDir val="col"/>
        <c:grouping val="percentStacked"/>
        <c:varyColors val="0"/>
        <c:ser>
          <c:idx val="0"/>
          <c:order val="0"/>
          <c:tx>
            <c:strRef>
              <c:f>Results!$A$2</c:f>
              <c:strCache>
                <c:ptCount val="1"/>
                <c:pt idx="0">
                  <c:v>ITO glass</c:v>
                </c:pt>
              </c:strCache>
            </c:strRef>
          </c:tx>
          <c:spPr>
            <a:solidFill>
              <a:schemeClr val="accent1"/>
            </a:solidFill>
            <a:ln>
              <a:noFill/>
            </a:ln>
            <a:effectLst/>
          </c:spPr>
          <c:invertIfNegative val="0"/>
          <c:cat>
            <c:strRef>
              <c:f>Results!$D$1:$X$1</c:f>
              <c:strCache>
                <c:ptCount val="5"/>
                <c:pt idx="3">
                  <c:v>carbon footprint</c:v>
                </c:pt>
                <c:pt idx="4">
                  <c:v>primary energy consumption</c:v>
                </c:pt>
              </c:strCache>
            </c:strRef>
          </c:cat>
          <c:val>
            <c:numRef>
              <c:f>Results!$D$2:$X$2</c:f>
              <c:numCache>
                <c:formatCode>General</c:formatCode>
                <c:ptCount val="21"/>
                <c:pt idx="3">
                  <c:v>1.6837863429999995</c:v>
                </c:pt>
                <c:pt idx="4">
                  <c:v>29.222870408888099</c:v>
                </c:pt>
              </c:numCache>
            </c:numRef>
          </c:val>
          <c:extLst>
            <c:ext xmlns:c16="http://schemas.microsoft.com/office/drawing/2014/chart" uri="{C3380CC4-5D6E-409C-BE32-E72D297353CC}">
              <c16:uniqueId val="{00000000-680E-4E03-8025-F9F87B7168C7}"/>
            </c:ext>
          </c:extLst>
        </c:ser>
        <c:ser>
          <c:idx val="1"/>
          <c:order val="1"/>
          <c:tx>
            <c:strRef>
              <c:f>Results!$A$3</c:f>
              <c:strCache>
                <c:ptCount val="1"/>
                <c:pt idx="0">
                  <c:v>Ni</c:v>
                </c:pt>
              </c:strCache>
            </c:strRef>
          </c:tx>
          <c:spPr>
            <a:solidFill>
              <a:schemeClr val="accent2"/>
            </a:solidFill>
            <a:ln>
              <a:noFill/>
            </a:ln>
            <a:effectLst/>
          </c:spPr>
          <c:invertIfNegative val="0"/>
          <c:cat>
            <c:strRef>
              <c:f>Results!$D$1:$X$1</c:f>
              <c:strCache>
                <c:ptCount val="5"/>
                <c:pt idx="3">
                  <c:v>carbon footprint</c:v>
                </c:pt>
                <c:pt idx="4">
                  <c:v>primary energy consumption</c:v>
                </c:pt>
              </c:strCache>
            </c:strRef>
          </c:cat>
          <c:val>
            <c:numRef>
              <c:f>Results!$D$3:$X$3</c:f>
              <c:numCache>
                <c:formatCode>General</c:formatCode>
                <c:ptCount val="21"/>
                <c:pt idx="3">
                  <c:v>8.8120058880000011E-3</c:v>
                </c:pt>
                <c:pt idx="4">
                  <c:v>0.1232730025314816</c:v>
                </c:pt>
              </c:numCache>
            </c:numRef>
          </c:val>
          <c:extLst>
            <c:ext xmlns:c16="http://schemas.microsoft.com/office/drawing/2014/chart" uri="{C3380CC4-5D6E-409C-BE32-E72D297353CC}">
              <c16:uniqueId val="{00000001-680E-4E03-8025-F9F87B7168C7}"/>
            </c:ext>
          </c:extLst>
        </c:ser>
        <c:ser>
          <c:idx val="2"/>
          <c:order val="2"/>
          <c:tx>
            <c:strRef>
              <c:f>Results!$A$4</c:f>
              <c:strCache>
                <c:ptCount val="1"/>
                <c:pt idx="0">
                  <c:v>PbI₂</c:v>
                </c:pt>
              </c:strCache>
            </c:strRef>
          </c:tx>
          <c:spPr>
            <a:solidFill>
              <a:schemeClr val="accent3"/>
            </a:solidFill>
            <a:ln>
              <a:noFill/>
            </a:ln>
            <a:effectLst/>
          </c:spPr>
          <c:invertIfNegative val="0"/>
          <c:cat>
            <c:strRef>
              <c:f>Results!$D$1:$X$1</c:f>
              <c:strCache>
                <c:ptCount val="5"/>
                <c:pt idx="3">
                  <c:v>carbon footprint</c:v>
                </c:pt>
                <c:pt idx="4">
                  <c:v>primary energy consumption</c:v>
                </c:pt>
              </c:strCache>
            </c:strRef>
          </c:cat>
          <c:val>
            <c:numRef>
              <c:f>Results!$D$4:$X$4</c:f>
              <c:numCache>
                <c:formatCode>General</c:formatCode>
                <c:ptCount val="21"/>
                <c:pt idx="3">
                  <c:v>3.7615529770640022E-3</c:v>
                </c:pt>
                <c:pt idx="4">
                  <c:v>4.472927890759943E-2</c:v>
                </c:pt>
              </c:numCache>
            </c:numRef>
          </c:val>
          <c:extLst>
            <c:ext xmlns:c16="http://schemas.microsoft.com/office/drawing/2014/chart" uri="{C3380CC4-5D6E-409C-BE32-E72D297353CC}">
              <c16:uniqueId val="{00000002-680E-4E03-8025-F9F87B7168C7}"/>
            </c:ext>
          </c:extLst>
        </c:ser>
        <c:ser>
          <c:idx val="3"/>
          <c:order val="3"/>
          <c:tx>
            <c:strRef>
              <c:f>Results!$A$5</c:f>
              <c:strCache>
                <c:ptCount val="1"/>
                <c:pt idx="0">
                  <c:v>DMF</c:v>
                </c:pt>
              </c:strCache>
            </c:strRef>
          </c:tx>
          <c:spPr>
            <a:solidFill>
              <a:schemeClr val="accent4"/>
            </a:solidFill>
            <a:ln>
              <a:noFill/>
            </a:ln>
            <a:effectLst/>
          </c:spPr>
          <c:invertIfNegative val="0"/>
          <c:cat>
            <c:strRef>
              <c:f>Results!$D$1:$X$1</c:f>
              <c:strCache>
                <c:ptCount val="5"/>
                <c:pt idx="3">
                  <c:v>carbon footprint</c:v>
                </c:pt>
                <c:pt idx="4">
                  <c:v>primary energy consumption</c:v>
                </c:pt>
              </c:strCache>
            </c:strRef>
          </c:cat>
          <c:val>
            <c:numRef>
              <c:f>Results!$D$5:$X$5</c:f>
              <c:numCache>
                <c:formatCode>General</c:formatCode>
                <c:ptCount val="21"/>
                <c:pt idx="3">
                  <c:v>5.5650324248804721E-3</c:v>
                </c:pt>
                <c:pt idx="4">
                  <c:v>0.15136487547183283</c:v>
                </c:pt>
              </c:numCache>
            </c:numRef>
          </c:val>
          <c:extLst>
            <c:ext xmlns:c16="http://schemas.microsoft.com/office/drawing/2014/chart" uri="{C3380CC4-5D6E-409C-BE32-E72D297353CC}">
              <c16:uniqueId val="{00000003-680E-4E03-8025-F9F87B7168C7}"/>
            </c:ext>
          </c:extLst>
        </c:ser>
        <c:ser>
          <c:idx val="4"/>
          <c:order val="4"/>
          <c:tx>
            <c:strRef>
              <c:f>Results!$A$6</c:f>
              <c:strCache>
                <c:ptCount val="1"/>
                <c:pt idx="0">
                  <c:v>MAI</c:v>
                </c:pt>
              </c:strCache>
            </c:strRef>
          </c:tx>
          <c:spPr>
            <a:solidFill>
              <a:schemeClr val="accent5"/>
            </a:solidFill>
            <a:ln>
              <a:noFill/>
            </a:ln>
            <a:effectLst/>
          </c:spPr>
          <c:invertIfNegative val="0"/>
          <c:cat>
            <c:strRef>
              <c:f>Results!$D$1:$X$1</c:f>
              <c:strCache>
                <c:ptCount val="5"/>
                <c:pt idx="3">
                  <c:v>carbon footprint</c:v>
                </c:pt>
                <c:pt idx="4">
                  <c:v>primary energy consumption</c:v>
                </c:pt>
              </c:strCache>
            </c:strRef>
          </c:cat>
          <c:val>
            <c:numRef>
              <c:f>Results!$D$6:$X$6</c:f>
              <c:numCache>
                <c:formatCode>General</c:formatCode>
                <c:ptCount val="21"/>
                <c:pt idx="3">
                  <c:v>4.0852260795166184E-2</c:v>
                </c:pt>
                <c:pt idx="4">
                  <c:v>0.86776101755973556</c:v>
                </c:pt>
              </c:numCache>
            </c:numRef>
          </c:val>
          <c:extLst>
            <c:ext xmlns:c16="http://schemas.microsoft.com/office/drawing/2014/chart" uri="{C3380CC4-5D6E-409C-BE32-E72D297353CC}">
              <c16:uniqueId val="{00000004-680E-4E03-8025-F9F87B7168C7}"/>
            </c:ext>
          </c:extLst>
        </c:ser>
        <c:ser>
          <c:idx val="5"/>
          <c:order val="5"/>
          <c:tx>
            <c:strRef>
              <c:f>Results!$A$7</c:f>
              <c:strCache>
                <c:ptCount val="1"/>
                <c:pt idx="0">
                  <c:v>MACl</c:v>
                </c:pt>
              </c:strCache>
            </c:strRef>
          </c:tx>
          <c:spPr>
            <a:solidFill>
              <a:schemeClr val="accent6"/>
            </a:solidFill>
            <a:ln>
              <a:noFill/>
            </a:ln>
            <a:effectLst/>
          </c:spPr>
          <c:invertIfNegative val="0"/>
          <c:cat>
            <c:strRef>
              <c:f>Results!$D$1:$X$1</c:f>
              <c:strCache>
                <c:ptCount val="5"/>
                <c:pt idx="3">
                  <c:v>carbon footprint</c:v>
                </c:pt>
                <c:pt idx="4">
                  <c:v>primary energy consumption</c:v>
                </c:pt>
              </c:strCache>
            </c:strRef>
          </c:cat>
          <c:val>
            <c:numRef>
              <c:f>Results!$D$7:$X$7</c:f>
              <c:numCache>
                <c:formatCode>General</c:formatCode>
                <c:ptCount val="21"/>
                <c:pt idx="3">
                  <c:v>6.0750870841095503E-5</c:v>
                </c:pt>
                <c:pt idx="4">
                  <c:v>7.223991426678969E-4</c:v>
                </c:pt>
              </c:numCache>
            </c:numRef>
          </c:val>
          <c:extLst>
            <c:ext xmlns:c16="http://schemas.microsoft.com/office/drawing/2014/chart" uri="{C3380CC4-5D6E-409C-BE32-E72D297353CC}">
              <c16:uniqueId val="{00000005-680E-4E03-8025-F9F87B7168C7}"/>
            </c:ext>
          </c:extLst>
        </c:ser>
        <c:ser>
          <c:idx val="6"/>
          <c:order val="6"/>
          <c:tx>
            <c:strRef>
              <c:f>Results!$A$8</c:f>
              <c:strCache>
                <c:ptCount val="1"/>
                <c:pt idx="0">
                  <c:v>Ethanol</c:v>
                </c:pt>
              </c:strCache>
            </c:strRef>
          </c:tx>
          <c:spPr>
            <a:solidFill>
              <a:schemeClr val="accent1">
                <a:lumMod val="60000"/>
              </a:schemeClr>
            </a:solidFill>
            <a:ln>
              <a:noFill/>
            </a:ln>
            <a:effectLst/>
          </c:spPr>
          <c:invertIfNegative val="0"/>
          <c:cat>
            <c:strRef>
              <c:f>Results!$D$1:$X$1</c:f>
              <c:strCache>
                <c:ptCount val="5"/>
                <c:pt idx="3">
                  <c:v>carbon footprint</c:v>
                </c:pt>
                <c:pt idx="4">
                  <c:v>primary energy consumption</c:v>
                </c:pt>
              </c:strCache>
            </c:strRef>
          </c:cat>
          <c:val>
            <c:numRef>
              <c:f>Results!$D$8:$X$8</c:f>
              <c:numCache>
                <c:formatCode>General</c:formatCode>
                <c:ptCount val="21"/>
                <c:pt idx="3">
                  <c:v>5.8794098163324465E-3</c:v>
                </c:pt>
                <c:pt idx="4">
                  <c:v>0.17467875691966225</c:v>
                </c:pt>
              </c:numCache>
            </c:numRef>
          </c:val>
          <c:extLst>
            <c:ext xmlns:c16="http://schemas.microsoft.com/office/drawing/2014/chart" uri="{C3380CC4-5D6E-409C-BE32-E72D297353CC}">
              <c16:uniqueId val="{00000006-680E-4E03-8025-F9F87B7168C7}"/>
            </c:ext>
          </c:extLst>
        </c:ser>
        <c:ser>
          <c:idx val="7"/>
          <c:order val="7"/>
          <c:tx>
            <c:strRef>
              <c:f>Results!$A$9</c:f>
              <c:strCache>
                <c:ptCount val="1"/>
                <c:pt idx="0">
                  <c:v>Nitrogen</c:v>
                </c:pt>
              </c:strCache>
            </c:strRef>
          </c:tx>
          <c:spPr>
            <a:solidFill>
              <a:schemeClr val="accent2">
                <a:lumMod val="60000"/>
              </a:schemeClr>
            </a:solidFill>
            <a:ln>
              <a:noFill/>
            </a:ln>
            <a:effectLst/>
          </c:spPr>
          <c:invertIfNegative val="0"/>
          <c:cat>
            <c:strRef>
              <c:f>Results!$D$1:$X$1</c:f>
              <c:strCache>
                <c:ptCount val="5"/>
                <c:pt idx="3">
                  <c:v>carbon footprint</c:v>
                </c:pt>
                <c:pt idx="4">
                  <c:v>primary energy consumption</c:v>
                </c:pt>
              </c:strCache>
            </c:strRef>
          </c:cat>
          <c:val>
            <c:numRef>
              <c:f>Results!$D$9:$X$9</c:f>
              <c:numCache>
                <c:formatCode>General</c:formatCode>
                <c:ptCount val="21"/>
                <c:pt idx="3">
                  <c:v>0.85753647703738045</c:v>
                </c:pt>
                <c:pt idx="4">
                  <c:v>11.683460563708593</c:v>
                </c:pt>
              </c:numCache>
            </c:numRef>
          </c:val>
          <c:extLst>
            <c:ext xmlns:c16="http://schemas.microsoft.com/office/drawing/2014/chart" uri="{C3380CC4-5D6E-409C-BE32-E72D297353CC}">
              <c16:uniqueId val="{00000007-680E-4E03-8025-F9F87B7168C7}"/>
            </c:ext>
          </c:extLst>
        </c:ser>
        <c:ser>
          <c:idx val="8"/>
          <c:order val="8"/>
          <c:tx>
            <c:strRef>
              <c:f>Results!$A$10</c:f>
              <c:strCache>
                <c:ptCount val="1"/>
                <c:pt idx="0">
                  <c:v>PCBM</c:v>
                </c:pt>
              </c:strCache>
            </c:strRef>
          </c:tx>
          <c:spPr>
            <a:solidFill>
              <a:schemeClr val="accent3">
                <a:lumMod val="60000"/>
              </a:schemeClr>
            </a:solidFill>
            <a:ln>
              <a:noFill/>
            </a:ln>
            <a:effectLst/>
          </c:spPr>
          <c:invertIfNegative val="0"/>
          <c:cat>
            <c:strRef>
              <c:f>Results!$D$1:$X$1</c:f>
              <c:strCache>
                <c:ptCount val="5"/>
                <c:pt idx="3">
                  <c:v>carbon footprint</c:v>
                </c:pt>
                <c:pt idx="4">
                  <c:v>primary energy consumption</c:v>
                </c:pt>
              </c:strCache>
            </c:strRef>
          </c:cat>
          <c:val>
            <c:numRef>
              <c:f>Results!$D$10:$X$10</c:f>
              <c:numCache>
                <c:formatCode>General</c:formatCode>
                <c:ptCount val="21"/>
                <c:pt idx="3">
                  <c:v>6.819169729874415E-2</c:v>
                </c:pt>
                <c:pt idx="4">
                  <c:v>2.0963550633835544</c:v>
                </c:pt>
              </c:numCache>
            </c:numRef>
          </c:val>
          <c:extLst>
            <c:ext xmlns:c16="http://schemas.microsoft.com/office/drawing/2014/chart" uri="{C3380CC4-5D6E-409C-BE32-E72D297353CC}">
              <c16:uniqueId val="{00000008-680E-4E03-8025-F9F87B7168C7}"/>
            </c:ext>
          </c:extLst>
        </c:ser>
        <c:ser>
          <c:idx val="9"/>
          <c:order val="9"/>
          <c:tx>
            <c:strRef>
              <c:f>Results!$A$11</c:f>
              <c:strCache>
                <c:ptCount val="1"/>
                <c:pt idx="0">
                  <c:v>AZO</c:v>
                </c:pt>
              </c:strCache>
            </c:strRef>
          </c:tx>
          <c:spPr>
            <a:solidFill>
              <a:schemeClr val="accent4">
                <a:lumMod val="60000"/>
              </a:schemeClr>
            </a:solidFill>
            <a:ln>
              <a:noFill/>
            </a:ln>
            <a:effectLst/>
          </c:spPr>
          <c:invertIfNegative val="0"/>
          <c:cat>
            <c:strRef>
              <c:f>Results!$D$1:$X$1</c:f>
              <c:strCache>
                <c:ptCount val="5"/>
                <c:pt idx="3">
                  <c:v>carbon footprint</c:v>
                </c:pt>
                <c:pt idx="4">
                  <c:v>primary energy consumption</c:v>
                </c:pt>
              </c:strCache>
            </c:strRef>
          </c:cat>
          <c:val>
            <c:numRef>
              <c:f>Results!$D$11:$X$11</c:f>
              <c:numCache>
                <c:formatCode>General</c:formatCode>
                <c:ptCount val="21"/>
                <c:pt idx="3">
                  <c:v>3.0227406682730926E-4</c:v>
                </c:pt>
                <c:pt idx="4">
                  <c:v>4.6933677216494775E-3</c:v>
                </c:pt>
              </c:numCache>
            </c:numRef>
          </c:val>
          <c:extLst>
            <c:ext xmlns:c16="http://schemas.microsoft.com/office/drawing/2014/chart" uri="{C3380CC4-5D6E-409C-BE32-E72D297353CC}">
              <c16:uniqueId val="{00000009-680E-4E03-8025-F9F87B7168C7}"/>
            </c:ext>
          </c:extLst>
        </c:ser>
        <c:ser>
          <c:idx val="10"/>
          <c:order val="10"/>
          <c:tx>
            <c:strRef>
              <c:f>Results!$A$12</c:f>
              <c:strCache>
                <c:ptCount val="1"/>
                <c:pt idx="0">
                  <c:v>ITO</c:v>
                </c:pt>
              </c:strCache>
            </c:strRef>
          </c:tx>
          <c:spPr>
            <a:solidFill>
              <a:schemeClr val="accent5">
                <a:lumMod val="60000"/>
              </a:schemeClr>
            </a:solidFill>
            <a:ln>
              <a:noFill/>
            </a:ln>
            <a:effectLst/>
          </c:spPr>
          <c:invertIfNegative val="0"/>
          <c:cat>
            <c:strRef>
              <c:f>Results!$D$1:$X$1</c:f>
              <c:strCache>
                <c:ptCount val="5"/>
                <c:pt idx="3">
                  <c:v>carbon footprint</c:v>
                </c:pt>
                <c:pt idx="4">
                  <c:v>primary energy consumption</c:v>
                </c:pt>
              </c:strCache>
            </c:strRef>
          </c:cat>
          <c:val>
            <c:numRef>
              <c:f>Results!$D$12:$X$12</c:f>
              <c:numCache>
                <c:formatCode>General</c:formatCode>
                <c:ptCount val="21"/>
                <c:pt idx="3">
                  <c:v>5.0437571184000017E-2</c:v>
                </c:pt>
                <c:pt idx="4">
                  <c:v>0.662321153801261</c:v>
                </c:pt>
              </c:numCache>
            </c:numRef>
          </c:val>
          <c:extLst>
            <c:ext xmlns:c16="http://schemas.microsoft.com/office/drawing/2014/chart" uri="{C3380CC4-5D6E-409C-BE32-E72D297353CC}">
              <c16:uniqueId val="{0000000A-680E-4E03-8025-F9F87B7168C7}"/>
            </c:ext>
          </c:extLst>
        </c:ser>
        <c:ser>
          <c:idx val="11"/>
          <c:order val="11"/>
          <c:tx>
            <c:strRef>
              <c:f>Results!$A$13</c:f>
              <c:strCache>
                <c:ptCount val="1"/>
                <c:pt idx="0">
                  <c:v>Ar</c:v>
                </c:pt>
              </c:strCache>
            </c:strRef>
          </c:tx>
          <c:spPr>
            <a:solidFill>
              <a:schemeClr val="accent6">
                <a:lumMod val="60000"/>
              </a:schemeClr>
            </a:solidFill>
            <a:ln>
              <a:noFill/>
            </a:ln>
            <a:effectLst/>
          </c:spPr>
          <c:invertIfNegative val="0"/>
          <c:cat>
            <c:strRef>
              <c:f>Results!$D$1:$X$1</c:f>
              <c:strCache>
                <c:ptCount val="5"/>
                <c:pt idx="3">
                  <c:v>carbon footprint</c:v>
                </c:pt>
                <c:pt idx="4">
                  <c:v>primary energy consumption</c:v>
                </c:pt>
              </c:strCache>
            </c:strRef>
          </c:cat>
          <c:val>
            <c:numRef>
              <c:f>Results!$D$13:$X$13</c:f>
              <c:numCache>
                <c:formatCode>General</c:formatCode>
                <c:ptCount val="21"/>
                <c:pt idx="3">
                  <c:v>0.98799433696969696</c:v>
                </c:pt>
                <c:pt idx="4">
                  <c:v>14.844249782230303</c:v>
                </c:pt>
              </c:numCache>
            </c:numRef>
          </c:val>
          <c:extLst>
            <c:ext xmlns:c16="http://schemas.microsoft.com/office/drawing/2014/chart" uri="{C3380CC4-5D6E-409C-BE32-E72D297353CC}">
              <c16:uniqueId val="{0000000B-680E-4E03-8025-F9F87B7168C7}"/>
            </c:ext>
          </c:extLst>
        </c:ser>
        <c:ser>
          <c:idx val="12"/>
          <c:order val="12"/>
          <c:tx>
            <c:strRef>
              <c:f>Results!$A$14</c:f>
              <c:strCache>
                <c:ptCount val="1"/>
                <c:pt idx="0">
                  <c:v>O₂</c:v>
                </c:pt>
              </c:strCache>
            </c:strRef>
          </c:tx>
          <c:spPr>
            <a:solidFill>
              <a:schemeClr val="accent1">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Results!$D$14:$X$14</c:f>
              <c:numCache>
                <c:formatCode>General</c:formatCode>
                <c:ptCount val="21"/>
                <c:pt idx="3">
                  <c:v>5.9453010977304082E-4</c:v>
                </c:pt>
                <c:pt idx="4">
                  <c:v>8.0999662531850997E-3</c:v>
                </c:pt>
              </c:numCache>
            </c:numRef>
          </c:val>
          <c:extLst>
            <c:ext xmlns:c16="http://schemas.microsoft.com/office/drawing/2014/chart" uri="{C3380CC4-5D6E-409C-BE32-E72D297353CC}">
              <c16:uniqueId val="{0000000C-680E-4E03-8025-F9F87B7168C7}"/>
            </c:ext>
          </c:extLst>
        </c:ser>
        <c:ser>
          <c:idx val="13"/>
          <c:order val="13"/>
          <c:tx>
            <c:strRef>
              <c:f>Results!$A$15</c:f>
              <c:strCache>
                <c:ptCount val="1"/>
                <c:pt idx="0">
                  <c:v>UV/O₃ cleaning</c:v>
                </c:pt>
              </c:strCache>
            </c:strRef>
          </c:tx>
          <c:spPr>
            <a:solidFill>
              <a:schemeClr val="accent2">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Results!$D$15:$X$15</c:f>
              <c:numCache>
                <c:formatCode>General</c:formatCode>
                <c:ptCount val="21"/>
                <c:pt idx="3">
                  <c:v>3.2656320026125049E-2</c:v>
                </c:pt>
                <c:pt idx="4">
                  <c:v>0.57461372577289094</c:v>
                </c:pt>
              </c:numCache>
            </c:numRef>
          </c:val>
          <c:extLst>
            <c:ext xmlns:c16="http://schemas.microsoft.com/office/drawing/2014/chart" uri="{C3380CC4-5D6E-409C-BE32-E72D297353CC}">
              <c16:uniqueId val="{0000000D-680E-4E03-8025-F9F87B7168C7}"/>
            </c:ext>
          </c:extLst>
        </c:ser>
        <c:ser>
          <c:idx val="14"/>
          <c:order val="14"/>
          <c:tx>
            <c:strRef>
              <c:f>Results!$A$16</c:f>
              <c:strCache>
                <c:ptCount val="1"/>
                <c:pt idx="0">
                  <c:v>HTL sputtering</c:v>
                </c:pt>
              </c:strCache>
            </c:strRef>
          </c:tx>
          <c:spPr>
            <a:solidFill>
              <a:schemeClr val="accent3">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Results!$D$16:$X$16</c:f>
              <c:numCache>
                <c:formatCode>General</c:formatCode>
                <c:ptCount val="21"/>
                <c:pt idx="3">
                  <c:v>5.2210193981162085</c:v>
                </c:pt>
                <c:pt idx="4">
                  <c:v>91.867957145325505</c:v>
                </c:pt>
              </c:numCache>
            </c:numRef>
          </c:val>
          <c:extLst>
            <c:ext xmlns:c16="http://schemas.microsoft.com/office/drawing/2014/chart" uri="{C3380CC4-5D6E-409C-BE32-E72D297353CC}">
              <c16:uniqueId val="{0000000E-680E-4E03-8025-F9F87B7168C7}"/>
            </c:ext>
          </c:extLst>
        </c:ser>
        <c:ser>
          <c:idx val="15"/>
          <c:order val="15"/>
          <c:tx>
            <c:strRef>
              <c:f>Results!$A$17</c:f>
              <c:strCache>
                <c:ptCount val="1"/>
                <c:pt idx="0">
                  <c:v>Inert gas purging</c:v>
                </c:pt>
              </c:strCache>
            </c:strRef>
          </c:tx>
          <c:spPr>
            <a:solidFill>
              <a:schemeClr val="accent4">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Results!$D$17:$X$17</c:f>
              <c:numCache>
                <c:formatCode>General</c:formatCode>
                <c:ptCount val="21"/>
                <c:pt idx="3">
                  <c:v>1.9522800015618238</c:v>
                </c:pt>
                <c:pt idx="4">
                  <c:v>34.351907519031528</c:v>
                </c:pt>
              </c:numCache>
            </c:numRef>
          </c:val>
          <c:extLst>
            <c:ext xmlns:c16="http://schemas.microsoft.com/office/drawing/2014/chart" uri="{C3380CC4-5D6E-409C-BE32-E72D297353CC}">
              <c16:uniqueId val="{0000000F-680E-4E03-8025-F9F87B7168C7}"/>
            </c:ext>
          </c:extLst>
        </c:ser>
        <c:ser>
          <c:idx val="16"/>
          <c:order val="16"/>
          <c:tx>
            <c:strRef>
              <c:f>Results!$A$18</c:f>
              <c:strCache>
                <c:ptCount val="1"/>
                <c:pt idx="0">
                  <c:v>PL 1st-step spin coating</c:v>
                </c:pt>
              </c:strCache>
            </c:strRef>
          </c:tx>
          <c:spPr>
            <a:solidFill>
              <a:schemeClr val="accent5">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Results!$D$18:$X$18</c:f>
              <c:numCache>
                <c:formatCode>General</c:formatCode>
                <c:ptCount val="21"/>
                <c:pt idx="3">
                  <c:v>6.8506782326191873</c:v>
                </c:pt>
                <c:pt idx="4">
                  <c:v>120.54309059218431</c:v>
                </c:pt>
              </c:numCache>
            </c:numRef>
          </c:val>
          <c:extLst>
            <c:ext xmlns:c16="http://schemas.microsoft.com/office/drawing/2014/chart" uri="{C3380CC4-5D6E-409C-BE32-E72D297353CC}">
              <c16:uniqueId val="{00000010-680E-4E03-8025-F9F87B7168C7}"/>
            </c:ext>
          </c:extLst>
        </c:ser>
        <c:ser>
          <c:idx val="17"/>
          <c:order val="17"/>
          <c:tx>
            <c:strRef>
              <c:f>Results!$A$19</c:f>
              <c:strCache>
                <c:ptCount val="1"/>
                <c:pt idx="0">
                  <c:v>PL 2nd-step spin coating</c:v>
                </c:pt>
              </c:strCache>
            </c:strRef>
          </c:tx>
          <c:spPr>
            <a:solidFill>
              <a:schemeClr val="accent6">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Results!$D$19:$X$19</c:f>
              <c:numCache>
                <c:formatCode>General</c:formatCode>
                <c:ptCount val="21"/>
                <c:pt idx="3">
                  <c:v>12.178983524656331</c:v>
                </c:pt>
                <c:pt idx="4">
                  <c:v>214.29882771943875</c:v>
                </c:pt>
              </c:numCache>
            </c:numRef>
          </c:val>
          <c:extLst>
            <c:ext xmlns:c16="http://schemas.microsoft.com/office/drawing/2014/chart" uri="{C3380CC4-5D6E-409C-BE32-E72D297353CC}">
              <c16:uniqueId val="{00000011-680E-4E03-8025-F9F87B7168C7}"/>
            </c:ext>
          </c:extLst>
        </c:ser>
        <c:ser>
          <c:idx val="18"/>
          <c:order val="18"/>
          <c:tx>
            <c:strRef>
              <c:f>Results!$A$20</c:f>
              <c:strCache>
                <c:ptCount val="1"/>
                <c:pt idx="0">
                  <c:v>PL treatment</c:v>
                </c:pt>
              </c:strCache>
            </c:strRef>
          </c:tx>
          <c:spPr>
            <a:solidFill>
              <a:schemeClr val="accent1">
                <a:lumMod val="80000"/>
              </a:schemeClr>
            </a:solidFill>
            <a:ln>
              <a:noFill/>
            </a:ln>
            <a:effectLst/>
          </c:spPr>
          <c:invertIfNegative val="0"/>
          <c:cat>
            <c:strRef>
              <c:f>Results!$D$1:$X$1</c:f>
              <c:strCache>
                <c:ptCount val="5"/>
                <c:pt idx="3">
                  <c:v>carbon footprint</c:v>
                </c:pt>
                <c:pt idx="4">
                  <c:v>primary energy consumption</c:v>
                </c:pt>
              </c:strCache>
            </c:strRef>
          </c:cat>
          <c:val>
            <c:numRef>
              <c:f>Results!$D$20:$X$20</c:f>
              <c:numCache>
                <c:formatCode>General</c:formatCode>
                <c:ptCount val="21"/>
                <c:pt idx="3">
                  <c:v>0.17038080013630461</c:v>
                </c:pt>
                <c:pt idx="4">
                  <c:v>2.9979846562063877</c:v>
                </c:pt>
              </c:numCache>
            </c:numRef>
          </c:val>
          <c:extLst>
            <c:ext xmlns:c16="http://schemas.microsoft.com/office/drawing/2014/chart" uri="{C3380CC4-5D6E-409C-BE32-E72D297353CC}">
              <c16:uniqueId val="{00000012-680E-4E03-8025-F9F87B7168C7}"/>
            </c:ext>
          </c:extLst>
        </c:ser>
        <c:ser>
          <c:idx val="19"/>
          <c:order val="19"/>
          <c:tx>
            <c:strRef>
              <c:f>Results!$A$21</c:f>
              <c:strCache>
                <c:ptCount val="1"/>
                <c:pt idx="0">
                  <c:v>ETL 1st-step spin coating</c:v>
                </c:pt>
              </c:strCache>
            </c:strRef>
          </c:tx>
          <c:spPr>
            <a:solidFill>
              <a:schemeClr val="accent2">
                <a:lumMod val="80000"/>
              </a:schemeClr>
            </a:solidFill>
            <a:ln>
              <a:noFill/>
            </a:ln>
            <a:effectLst/>
          </c:spPr>
          <c:invertIfNegative val="0"/>
          <c:cat>
            <c:strRef>
              <c:f>Results!$D$1:$X$1</c:f>
              <c:strCache>
                <c:ptCount val="5"/>
                <c:pt idx="3">
                  <c:v>carbon footprint</c:v>
                </c:pt>
                <c:pt idx="4">
                  <c:v>primary energy consumption</c:v>
                </c:pt>
              </c:strCache>
            </c:strRef>
          </c:cat>
          <c:val>
            <c:numRef>
              <c:f>Results!$D$21:$X$21</c:f>
              <c:numCache>
                <c:formatCode>General</c:formatCode>
                <c:ptCount val="21"/>
                <c:pt idx="3">
                  <c:v>0.24865424696173338</c:v>
                </c:pt>
                <c:pt idx="4">
                  <c:v>4.3752677326052076</c:v>
                </c:pt>
              </c:numCache>
            </c:numRef>
          </c:val>
          <c:extLst>
            <c:ext xmlns:c16="http://schemas.microsoft.com/office/drawing/2014/chart" uri="{C3380CC4-5D6E-409C-BE32-E72D297353CC}">
              <c16:uniqueId val="{00000013-680E-4E03-8025-F9F87B7168C7}"/>
            </c:ext>
          </c:extLst>
        </c:ser>
        <c:ser>
          <c:idx val="20"/>
          <c:order val="20"/>
          <c:tx>
            <c:strRef>
              <c:f>Results!$A$22</c:f>
              <c:strCache>
                <c:ptCount val="1"/>
                <c:pt idx="0">
                  <c:v>ETL 2nd-step spin coating</c:v>
                </c:pt>
              </c:strCache>
            </c:strRef>
          </c:tx>
          <c:spPr>
            <a:solidFill>
              <a:schemeClr val="accent3">
                <a:lumMod val="80000"/>
              </a:schemeClr>
            </a:solidFill>
            <a:ln>
              <a:noFill/>
            </a:ln>
            <a:effectLst/>
          </c:spPr>
          <c:invertIfNegative val="0"/>
          <c:cat>
            <c:strRef>
              <c:f>Results!$D$1:$X$1</c:f>
              <c:strCache>
                <c:ptCount val="5"/>
                <c:pt idx="3">
                  <c:v>carbon footprint</c:v>
                </c:pt>
                <c:pt idx="4">
                  <c:v>primary energy consumption</c:v>
                </c:pt>
              </c:strCache>
            </c:strRef>
          </c:cat>
          <c:val>
            <c:numRef>
              <c:f>Results!$D$22:$X$22</c:f>
              <c:numCache>
                <c:formatCode>General</c:formatCode>
                <c:ptCount val="21"/>
                <c:pt idx="3">
                  <c:v>0.25372882343034026</c:v>
                </c:pt>
                <c:pt idx="4">
                  <c:v>4.4645589108216415</c:v>
                </c:pt>
              </c:numCache>
            </c:numRef>
          </c:val>
          <c:extLst>
            <c:ext xmlns:c16="http://schemas.microsoft.com/office/drawing/2014/chart" uri="{C3380CC4-5D6E-409C-BE32-E72D297353CC}">
              <c16:uniqueId val="{00000014-680E-4E03-8025-F9F87B7168C7}"/>
            </c:ext>
          </c:extLst>
        </c:ser>
        <c:ser>
          <c:idx val="21"/>
          <c:order val="21"/>
          <c:tx>
            <c:strRef>
              <c:f>Results!$A$23</c:f>
              <c:strCache>
                <c:ptCount val="1"/>
                <c:pt idx="0">
                  <c:v>Electrode sputtering</c:v>
                </c:pt>
              </c:strCache>
            </c:strRef>
          </c:tx>
          <c:spPr>
            <a:solidFill>
              <a:schemeClr val="accent4">
                <a:lumMod val="80000"/>
              </a:schemeClr>
            </a:solidFill>
            <a:ln>
              <a:noFill/>
            </a:ln>
            <a:effectLst/>
          </c:spPr>
          <c:invertIfNegative val="0"/>
          <c:cat>
            <c:strRef>
              <c:f>Results!$D$1:$X$1</c:f>
              <c:strCache>
                <c:ptCount val="5"/>
                <c:pt idx="3">
                  <c:v>carbon footprint</c:v>
                </c:pt>
                <c:pt idx="4">
                  <c:v>primary energy consumption</c:v>
                </c:pt>
              </c:strCache>
            </c:strRef>
          </c:cat>
          <c:val>
            <c:numRef>
              <c:f>Results!$D$23:$X$23</c:f>
              <c:numCache>
                <c:formatCode>General</c:formatCode>
                <c:ptCount val="21"/>
                <c:pt idx="3">
                  <c:v>7.7349010970970102</c:v>
                </c:pt>
                <c:pt idx="4">
                  <c:v>136.10168979027861</c:v>
                </c:pt>
              </c:numCache>
            </c:numRef>
          </c:val>
          <c:extLst>
            <c:ext xmlns:c16="http://schemas.microsoft.com/office/drawing/2014/chart" uri="{C3380CC4-5D6E-409C-BE32-E72D297353CC}">
              <c16:uniqueId val="{00000015-680E-4E03-8025-F9F87B7168C7}"/>
            </c:ext>
          </c:extLst>
        </c:ser>
        <c:ser>
          <c:idx val="22"/>
          <c:order val="22"/>
          <c:tx>
            <c:strRef>
              <c:f>Results!$A$24</c:f>
              <c:strCache>
                <c:ptCount val="1"/>
                <c:pt idx="0">
                  <c:v>Direct emissions</c:v>
                </c:pt>
              </c:strCache>
            </c:strRef>
          </c:tx>
          <c:spPr>
            <a:solidFill>
              <a:schemeClr val="accent5">
                <a:lumMod val="80000"/>
              </a:schemeClr>
            </a:solidFill>
            <a:ln>
              <a:noFill/>
            </a:ln>
            <a:effectLst/>
          </c:spPr>
          <c:invertIfNegative val="0"/>
          <c:cat>
            <c:strRef>
              <c:f>Results!$D$1:$X$1</c:f>
              <c:strCache>
                <c:ptCount val="5"/>
                <c:pt idx="3">
                  <c:v>carbon footprint</c:v>
                </c:pt>
                <c:pt idx="4">
                  <c:v>primary energy consumption</c:v>
                </c:pt>
              </c:strCache>
            </c:strRef>
          </c:cat>
          <c:val>
            <c:numRef>
              <c:f>Results!$D$24:$X$24</c:f>
              <c:numCache>
                <c:formatCode>General</c:formatCode>
                <c:ptCount val="21"/>
                <c:pt idx="3">
                  <c:v>0</c:v>
                </c:pt>
                <c:pt idx="4">
                  <c:v>0</c:v>
                </c:pt>
              </c:numCache>
            </c:numRef>
          </c:val>
          <c:extLst>
            <c:ext xmlns:c16="http://schemas.microsoft.com/office/drawing/2014/chart" uri="{C3380CC4-5D6E-409C-BE32-E72D297353CC}">
              <c16:uniqueId val="{00000016-680E-4E03-8025-F9F87B7168C7}"/>
            </c:ext>
          </c:extLst>
        </c:ser>
        <c:ser>
          <c:idx val="23"/>
          <c:order val="23"/>
          <c:tx>
            <c:strRef>
              <c:f>Results!$A$25</c:f>
              <c:strCache>
                <c:ptCount val="1"/>
                <c:pt idx="0">
                  <c:v>Treatment</c:v>
                </c:pt>
              </c:strCache>
            </c:strRef>
          </c:tx>
          <c:spPr>
            <a:solidFill>
              <a:schemeClr val="accent6">
                <a:lumMod val="80000"/>
              </a:schemeClr>
            </a:solidFill>
            <a:ln>
              <a:noFill/>
            </a:ln>
            <a:effectLst/>
          </c:spPr>
          <c:invertIfNegative val="0"/>
          <c:cat>
            <c:strRef>
              <c:f>Results!$D$1:$X$1</c:f>
              <c:strCache>
                <c:ptCount val="5"/>
                <c:pt idx="3">
                  <c:v>carbon footprint</c:v>
                </c:pt>
                <c:pt idx="4">
                  <c:v>primary energy consumption</c:v>
                </c:pt>
              </c:strCache>
            </c:strRef>
          </c:cat>
          <c:val>
            <c:numRef>
              <c:f>Results!$D$25:$X$25</c:f>
              <c:numCache>
                <c:formatCode>General</c:formatCode>
                <c:ptCount val="21"/>
                <c:pt idx="3">
                  <c:v>0</c:v>
                </c:pt>
                <c:pt idx="4">
                  <c:v>0</c:v>
                </c:pt>
              </c:numCache>
            </c:numRef>
          </c:val>
          <c:extLst>
            <c:ext xmlns:c16="http://schemas.microsoft.com/office/drawing/2014/chart" uri="{C3380CC4-5D6E-409C-BE32-E72D297353CC}">
              <c16:uniqueId val="{00000002-F5DC-404B-81B2-0B2762A3B0B1}"/>
            </c:ext>
          </c:extLst>
        </c:ser>
        <c:ser>
          <c:idx val="24"/>
          <c:order val="24"/>
          <c:tx>
            <c:strRef>
              <c:f>Results!$A$26</c:f>
              <c:strCache>
                <c:ptCount val="1"/>
                <c:pt idx="0">
                  <c:v>End of life</c:v>
                </c:pt>
              </c:strCache>
            </c:strRef>
          </c:tx>
          <c:spPr>
            <a:solidFill>
              <a:schemeClr val="accent1">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Results!$D$26:$X$26</c:f>
              <c:numCache>
                <c:formatCode>General</c:formatCode>
                <c:ptCount val="21"/>
                <c:pt idx="3">
                  <c:v>0.15919871392941176</c:v>
                </c:pt>
                <c:pt idx="4">
                  <c:v>2.7862059562039212</c:v>
                </c:pt>
              </c:numCache>
            </c:numRef>
          </c:val>
          <c:extLst>
            <c:ext xmlns:c16="http://schemas.microsoft.com/office/drawing/2014/chart" uri="{C3380CC4-5D6E-409C-BE32-E72D297353CC}">
              <c16:uniqueId val="{00000003-F5DC-404B-81B2-0B2762A3B0B1}"/>
            </c:ext>
          </c:extLst>
        </c:ser>
        <c:dLbls>
          <c:showLegendKey val="0"/>
          <c:showVal val="0"/>
          <c:showCatName val="0"/>
          <c:showSerName val="0"/>
          <c:showPercent val="0"/>
          <c:showBubbleSize val="0"/>
        </c:dLbls>
        <c:gapWidth val="150"/>
        <c:overlap val="100"/>
        <c:axId val="558631024"/>
        <c:axId val="589440176"/>
      </c:barChart>
      <c:catAx>
        <c:axId val="5586310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89440176"/>
        <c:crossesAt val="0"/>
        <c:auto val="1"/>
        <c:lblAlgn val="ctr"/>
        <c:lblOffset val="100"/>
        <c:noMultiLvlLbl val="0"/>
      </c:catAx>
      <c:valAx>
        <c:axId val="5894401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58631024"/>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716230555736779"/>
          <c:y val="9.1237605715952158E-2"/>
          <c:w val="0.5624389915892446"/>
          <c:h val="0.822911198600175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0C-42CC-8275-F41CF21B6D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0C-42CC-8275-F41CF21B6D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80C-42CC-8275-F41CF21B6D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80C-42CC-8275-F41CF21B6D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80C-42CC-8275-F41CF21B6D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80C-42CC-8275-F41CF21B6D3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80C-42CC-8275-F41CF21B6D3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80C-42CC-8275-F41CF21B6D3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8A-4CD7-90CC-FFC0864BF2EE}"/>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Results!$A$15:$A$23</c:f>
              <c:strCache>
                <c:ptCount val="9"/>
                <c:pt idx="0">
                  <c:v>UV/O₃ cleaning</c:v>
                </c:pt>
                <c:pt idx="1">
                  <c:v>HTL sputtering</c:v>
                </c:pt>
                <c:pt idx="2">
                  <c:v>Inert gas purging</c:v>
                </c:pt>
                <c:pt idx="3">
                  <c:v>PL 1st-step spin coating</c:v>
                </c:pt>
                <c:pt idx="4">
                  <c:v>PL 2nd-step spin coating</c:v>
                </c:pt>
                <c:pt idx="5">
                  <c:v>PL treatment</c:v>
                </c:pt>
                <c:pt idx="6">
                  <c:v>ETL 1st-step spin coating</c:v>
                </c:pt>
                <c:pt idx="7">
                  <c:v>ETL 2nd-step spin coating</c:v>
                </c:pt>
                <c:pt idx="8">
                  <c:v>Electrode sputtering</c:v>
                </c:pt>
              </c:strCache>
            </c:strRef>
          </c:cat>
          <c:val>
            <c:numRef>
              <c:f>Results!$C$15:$C$23</c:f>
              <c:numCache>
                <c:formatCode>General</c:formatCode>
                <c:ptCount val="9"/>
                <c:pt idx="0">
                  <c:v>0.57461372577289094</c:v>
                </c:pt>
                <c:pt idx="1">
                  <c:v>91.867957145325505</c:v>
                </c:pt>
                <c:pt idx="2">
                  <c:v>34.351907519031528</c:v>
                </c:pt>
                <c:pt idx="3">
                  <c:v>120.54309059218431</c:v>
                </c:pt>
                <c:pt idx="4">
                  <c:v>214.29882771943875</c:v>
                </c:pt>
                <c:pt idx="5">
                  <c:v>2.9979846562063877</c:v>
                </c:pt>
                <c:pt idx="6">
                  <c:v>4.3752677326052076</c:v>
                </c:pt>
                <c:pt idx="7">
                  <c:v>4.4645589108216415</c:v>
                </c:pt>
                <c:pt idx="8">
                  <c:v>136.10168979027861</c:v>
                </c:pt>
              </c:numCache>
            </c:numRef>
          </c:val>
          <c:extLst>
            <c:ext xmlns:c16="http://schemas.microsoft.com/office/drawing/2014/chart" uri="{C3380CC4-5D6E-409C-BE32-E72D297353CC}">
              <c16:uniqueId val="{00000014-A80C-42CC-8275-F41CF21B6D3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0"/>
          <c:y val="0.10185185185185185"/>
          <c:w val="0.43623091569421918"/>
          <c:h val="0.7870370370370370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821768075925022"/>
          <c:y val="9.3174030329542135E-2"/>
          <c:w val="0.56111114860667721"/>
          <c:h val="0.81828156897054538"/>
        </c:manualLayout>
      </c:layout>
      <c:pieChart>
        <c:varyColors val="1"/>
        <c:ser>
          <c:idx val="0"/>
          <c:order val="0"/>
          <c:spPr>
            <a:ln w="6350"/>
          </c:spPr>
          <c:dPt>
            <c:idx val="0"/>
            <c:bubble3D val="0"/>
            <c:spPr>
              <a:solidFill>
                <a:schemeClr val="accent6"/>
              </a:solidFill>
              <a:ln w="6350">
                <a:solidFill>
                  <a:schemeClr val="lt1"/>
                </a:solidFill>
              </a:ln>
              <a:effectLst/>
            </c:spPr>
            <c:extLst>
              <c:ext xmlns:c16="http://schemas.microsoft.com/office/drawing/2014/chart" uri="{C3380CC4-5D6E-409C-BE32-E72D297353CC}">
                <c16:uniqueId val="{00000001-BC2A-4370-8909-09E30871680C}"/>
              </c:ext>
            </c:extLst>
          </c:dPt>
          <c:dPt>
            <c:idx val="1"/>
            <c:bubble3D val="0"/>
            <c:spPr>
              <a:solidFill>
                <a:schemeClr val="accent5"/>
              </a:solidFill>
              <a:ln w="6350">
                <a:solidFill>
                  <a:schemeClr val="lt1"/>
                </a:solidFill>
              </a:ln>
              <a:effectLst/>
            </c:spPr>
            <c:extLst>
              <c:ext xmlns:c16="http://schemas.microsoft.com/office/drawing/2014/chart" uri="{C3380CC4-5D6E-409C-BE32-E72D297353CC}">
                <c16:uniqueId val="{00000003-BC2A-4370-8909-09E30871680C}"/>
              </c:ext>
            </c:extLst>
          </c:dPt>
          <c:dPt>
            <c:idx val="2"/>
            <c:bubble3D val="0"/>
            <c:spPr>
              <a:solidFill>
                <a:schemeClr val="accent4"/>
              </a:solidFill>
              <a:ln w="6350">
                <a:solidFill>
                  <a:schemeClr val="lt1"/>
                </a:solidFill>
              </a:ln>
              <a:effectLst/>
            </c:spPr>
            <c:extLst>
              <c:ext xmlns:c16="http://schemas.microsoft.com/office/drawing/2014/chart" uri="{C3380CC4-5D6E-409C-BE32-E72D297353CC}">
                <c16:uniqueId val="{00000005-BC2A-4370-8909-09E30871680C}"/>
              </c:ext>
            </c:extLst>
          </c:dPt>
          <c:dPt>
            <c:idx val="3"/>
            <c:bubble3D val="0"/>
            <c:spPr>
              <a:solidFill>
                <a:schemeClr val="accent6">
                  <a:lumMod val="60000"/>
                </a:schemeClr>
              </a:solidFill>
              <a:ln w="6350">
                <a:solidFill>
                  <a:schemeClr val="lt1"/>
                </a:solidFill>
              </a:ln>
              <a:effectLst/>
            </c:spPr>
            <c:extLst>
              <c:ext xmlns:c16="http://schemas.microsoft.com/office/drawing/2014/chart" uri="{C3380CC4-5D6E-409C-BE32-E72D297353CC}">
                <c16:uniqueId val="{00000007-BC2A-4370-8909-09E30871680C}"/>
              </c:ext>
            </c:extLst>
          </c:dPt>
          <c:dPt>
            <c:idx val="4"/>
            <c:bubble3D val="0"/>
            <c:spPr>
              <a:solidFill>
                <a:schemeClr val="accent5">
                  <a:lumMod val="60000"/>
                </a:schemeClr>
              </a:solidFill>
              <a:ln w="6350">
                <a:solidFill>
                  <a:schemeClr val="lt1"/>
                </a:solidFill>
              </a:ln>
              <a:effectLst/>
            </c:spPr>
            <c:extLst>
              <c:ext xmlns:c16="http://schemas.microsoft.com/office/drawing/2014/chart" uri="{C3380CC4-5D6E-409C-BE32-E72D297353CC}">
                <c16:uniqueId val="{00000009-BC2A-4370-8909-09E30871680C}"/>
              </c:ext>
            </c:extLst>
          </c:dPt>
          <c:dPt>
            <c:idx val="5"/>
            <c:bubble3D val="0"/>
            <c:spPr>
              <a:solidFill>
                <a:schemeClr val="accent4">
                  <a:lumMod val="60000"/>
                </a:schemeClr>
              </a:solidFill>
              <a:ln w="6350">
                <a:solidFill>
                  <a:schemeClr val="lt1"/>
                </a:solidFill>
              </a:ln>
              <a:effectLst/>
            </c:spPr>
            <c:extLst>
              <c:ext xmlns:c16="http://schemas.microsoft.com/office/drawing/2014/chart" uri="{C3380CC4-5D6E-409C-BE32-E72D297353CC}">
                <c16:uniqueId val="{0000000B-BC2A-4370-8909-09E30871680C}"/>
              </c:ext>
            </c:extLst>
          </c:dPt>
          <c:dPt>
            <c:idx val="6"/>
            <c:bubble3D val="0"/>
            <c:spPr>
              <a:solidFill>
                <a:schemeClr val="accent6">
                  <a:lumMod val="80000"/>
                  <a:lumOff val="20000"/>
                </a:schemeClr>
              </a:solidFill>
              <a:ln w="6350">
                <a:solidFill>
                  <a:schemeClr val="lt1"/>
                </a:solidFill>
              </a:ln>
              <a:effectLst/>
            </c:spPr>
            <c:extLst>
              <c:ext xmlns:c16="http://schemas.microsoft.com/office/drawing/2014/chart" uri="{C3380CC4-5D6E-409C-BE32-E72D297353CC}">
                <c16:uniqueId val="{0000000D-BC2A-4370-8909-09E30871680C}"/>
              </c:ext>
            </c:extLst>
          </c:dPt>
          <c:dPt>
            <c:idx val="7"/>
            <c:bubble3D val="0"/>
            <c:spPr>
              <a:solidFill>
                <a:schemeClr val="accent5">
                  <a:lumMod val="80000"/>
                  <a:lumOff val="20000"/>
                </a:schemeClr>
              </a:solidFill>
              <a:ln w="6350">
                <a:solidFill>
                  <a:schemeClr val="lt1"/>
                </a:solidFill>
              </a:ln>
              <a:effectLst/>
            </c:spPr>
            <c:extLst>
              <c:ext xmlns:c16="http://schemas.microsoft.com/office/drawing/2014/chart" uri="{C3380CC4-5D6E-409C-BE32-E72D297353CC}">
                <c16:uniqueId val="{0000000F-BC2A-4370-8909-09E30871680C}"/>
              </c:ext>
            </c:extLst>
          </c:dPt>
          <c:dPt>
            <c:idx val="8"/>
            <c:bubble3D val="0"/>
            <c:spPr>
              <a:solidFill>
                <a:schemeClr val="accent4">
                  <a:lumMod val="80000"/>
                  <a:lumOff val="20000"/>
                </a:schemeClr>
              </a:solidFill>
              <a:ln w="6350">
                <a:solidFill>
                  <a:schemeClr val="lt1"/>
                </a:solidFill>
              </a:ln>
              <a:effectLst/>
            </c:spPr>
            <c:extLst>
              <c:ext xmlns:c16="http://schemas.microsoft.com/office/drawing/2014/chart" uri="{C3380CC4-5D6E-409C-BE32-E72D297353CC}">
                <c16:uniqueId val="{00000011-BC2A-4370-8909-09E30871680C}"/>
              </c:ext>
            </c:extLst>
          </c:dPt>
          <c:dPt>
            <c:idx val="9"/>
            <c:bubble3D val="0"/>
            <c:spPr>
              <a:solidFill>
                <a:schemeClr val="accent6">
                  <a:lumMod val="80000"/>
                </a:schemeClr>
              </a:solidFill>
              <a:ln w="6350">
                <a:solidFill>
                  <a:schemeClr val="lt1"/>
                </a:solidFill>
              </a:ln>
              <a:effectLst/>
            </c:spPr>
            <c:extLst>
              <c:ext xmlns:c16="http://schemas.microsoft.com/office/drawing/2014/chart" uri="{C3380CC4-5D6E-409C-BE32-E72D297353CC}">
                <c16:uniqueId val="{00000013-BC2A-4370-8909-09E30871680C}"/>
              </c:ext>
            </c:extLst>
          </c:dPt>
          <c:dPt>
            <c:idx val="10"/>
            <c:bubble3D val="0"/>
            <c:spPr>
              <a:solidFill>
                <a:schemeClr val="accent5">
                  <a:lumMod val="80000"/>
                </a:schemeClr>
              </a:solidFill>
              <a:ln w="6350">
                <a:solidFill>
                  <a:schemeClr val="lt1"/>
                </a:solidFill>
              </a:ln>
              <a:effectLst/>
            </c:spPr>
            <c:extLst>
              <c:ext xmlns:c16="http://schemas.microsoft.com/office/drawing/2014/chart" uri="{C3380CC4-5D6E-409C-BE32-E72D297353CC}">
                <c16:uniqueId val="{00000015-BC2A-4370-8909-09E30871680C}"/>
              </c:ext>
            </c:extLst>
          </c:dPt>
          <c:dPt>
            <c:idx val="11"/>
            <c:bubble3D val="0"/>
            <c:spPr>
              <a:solidFill>
                <a:schemeClr val="accent4">
                  <a:lumMod val="80000"/>
                </a:schemeClr>
              </a:solidFill>
              <a:ln w="6350">
                <a:solidFill>
                  <a:schemeClr val="lt1"/>
                </a:solidFill>
              </a:ln>
              <a:effectLst/>
            </c:spPr>
            <c:extLst>
              <c:ext xmlns:c16="http://schemas.microsoft.com/office/drawing/2014/chart" uri="{C3380CC4-5D6E-409C-BE32-E72D297353CC}">
                <c16:uniqueId val="{00000017-BC2A-4370-8909-09E30871680C}"/>
              </c:ext>
            </c:extLst>
          </c:dPt>
          <c:dPt>
            <c:idx val="12"/>
            <c:bubble3D val="0"/>
            <c:spPr>
              <a:solidFill>
                <a:schemeClr val="accent6">
                  <a:lumMod val="60000"/>
                  <a:lumOff val="40000"/>
                </a:schemeClr>
              </a:solidFill>
              <a:ln w="6350">
                <a:solidFill>
                  <a:schemeClr val="lt1"/>
                </a:solidFill>
              </a:ln>
              <a:effectLst/>
            </c:spPr>
            <c:extLst>
              <c:ext xmlns:c16="http://schemas.microsoft.com/office/drawing/2014/chart" uri="{C3380CC4-5D6E-409C-BE32-E72D297353CC}">
                <c16:uniqueId val="{00000019-C76E-4D26-956F-87E1AE164CEC}"/>
              </c:ext>
            </c:extLst>
          </c:dPt>
          <c:dLbls>
            <c:dLbl>
              <c:idx val="1"/>
              <c:delete val="1"/>
              <c:extLst>
                <c:ext xmlns:c15="http://schemas.microsoft.com/office/drawing/2012/chart" uri="{CE6537A1-D6FC-4f65-9D91-7224C49458BB}"/>
                <c:ext xmlns:c16="http://schemas.microsoft.com/office/drawing/2014/chart" uri="{C3380CC4-5D6E-409C-BE32-E72D297353CC}">
                  <c16:uniqueId val="{00000003-BC2A-4370-8909-09E30871680C}"/>
                </c:ext>
              </c:extLst>
            </c:dLbl>
            <c:dLbl>
              <c:idx val="2"/>
              <c:delete val="1"/>
              <c:extLst>
                <c:ext xmlns:c15="http://schemas.microsoft.com/office/drawing/2012/chart" uri="{CE6537A1-D6FC-4f65-9D91-7224C49458BB}"/>
                <c:ext xmlns:c16="http://schemas.microsoft.com/office/drawing/2014/chart" uri="{C3380CC4-5D6E-409C-BE32-E72D297353CC}">
                  <c16:uniqueId val="{00000005-BC2A-4370-8909-09E30871680C}"/>
                </c:ext>
              </c:extLst>
            </c:dLbl>
            <c:dLbl>
              <c:idx val="3"/>
              <c:delete val="1"/>
              <c:extLst>
                <c:ext xmlns:c15="http://schemas.microsoft.com/office/drawing/2012/chart" uri="{CE6537A1-D6FC-4f65-9D91-7224C49458BB}"/>
                <c:ext xmlns:c16="http://schemas.microsoft.com/office/drawing/2014/chart" uri="{C3380CC4-5D6E-409C-BE32-E72D297353CC}">
                  <c16:uniqueId val="{00000007-BC2A-4370-8909-09E30871680C}"/>
                </c:ext>
              </c:extLst>
            </c:dLbl>
            <c:dLbl>
              <c:idx val="4"/>
              <c:delete val="1"/>
              <c:extLst>
                <c:ext xmlns:c15="http://schemas.microsoft.com/office/drawing/2012/chart" uri="{CE6537A1-D6FC-4f65-9D91-7224C49458BB}"/>
                <c:ext xmlns:c16="http://schemas.microsoft.com/office/drawing/2014/chart" uri="{C3380CC4-5D6E-409C-BE32-E72D297353CC}">
                  <c16:uniqueId val="{00000009-BC2A-4370-8909-09E30871680C}"/>
                </c:ext>
              </c:extLst>
            </c:dLbl>
            <c:dLbl>
              <c:idx val="5"/>
              <c:delete val="1"/>
              <c:extLst>
                <c:ext xmlns:c15="http://schemas.microsoft.com/office/drawing/2012/chart" uri="{CE6537A1-D6FC-4f65-9D91-7224C49458BB}"/>
                <c:ext xmlns:c16="http://schemas.microsoft.com/office/drawing/2014/chart" uri="{C3380CC4-5D6E-409C-BE32-E72D297353CC}">
                  <c16:uniqueId val="{0000000B-BC2A-4370-8909-09E30871680C}"/>
                </c:ext>
              </c:extLst>
            </c:dLbl>
            <c:dLbl>
              <c:idx val="6"/>
              <c:delete val="1"/>
              <c:extLst>
                <c:ext xmlns:c15="http://schemas.microsoft.com/office/drawing/2012/chart" uri="{CE6537A1-D6FC-4f65-9D91-7224C49458BB}"/>
                <c:ext xmlns:c16="http://schemas.microsoft.com/office/drawing/2014/chart" uri="{C3380CC4-5D6E-409C-BE32-E72D297353CC}">
                  <c16:uniqueId val="{0000000D-BC2A-4370-8909-09E30871680C}"/>
                </c:ext>
              </c:extLst>
            </c:dLbl>
            <c:dLbl>
              <c:idx val="8"/>
              <c:delete val="1"/>
              <c:extLst>
                <c:ext xmlns:c15="http://schemas.microsoft.com/office/drawing/2012/chart" uri="{CE6537A1-D6FC-4f65-9D91-7224C49458BB}"/>
                <c:ext xmlns:c16="http://schemas.microsoft.com/office/drawing/2014/chart" uri="{C3380CC4-5D6E-409C-BE32-E72D297353CC}">
                  <c16:uniqueId val="{00000011-BC2A-4370-8909-09E30871680C}"/>
                </c:ext>
              </c:extLst>
            </c:dLbl>
            <c:dLbl>
              <c:idx val="9"/>
              <c:delete val="1"/>
              <c:extLst>
                <c:ext xmlns:c15="http://schemas.microsoft.com/office/drawing/2012/chart" uri="{CE6537A1-D6FC-4f65-9D91-7224C49458BB}"/>
                <c:ext xmlns:c16="http://schemas.microsoft.com/office/drawing/2014/chart" uri="{C3380CC4-5D6E-409C-BE32-E72D297353CC}">
                  <c16:uniqueId val="{00000013-BC2A-4370-8909-09E30871680C}"/>
                </c:ext>
              </c:extLst>
            </c:dLbl>
            <c:dLbl>
              <c:idx val="10"/>
              <c:delete val="1"/>
              <c:extLst>
                <c:ext xmlns:c15="http://schemas.microsoft.com/office/drawing/2012/chart" uri="{CE6537A1-D6FC-4f65-9D91-7224C49458BB}"/>
                <c:ext xmlns:c16="http://schemas.microsoft.com/office/drawing/2014/chart" uri="{C3380CC4-5D6E-409C-BE32-E72D297353CC}">
                  <c16:uniqueId val="{00000015-BC2A-4370-8909-09E30871680C}"/>
                </c:ext>
              </c:extLst>
            </c:dLbl>
            <c:dLbl>
              <c:idx val="11"/>
              <c:delete val="1"/>
              <c:extLst>
                <c:ext xmlns:c15="http://schemas.microsoft.com/office/drawing/2012/chart" uri="{CE6537A1-D6FC-4f65-9D91-7224C49458BB}"/>
                <c:ext xmlns:c16="http://schemas.microsoft.com/office/drawing/2014/chart" uri="{C3380CC4-5D6E-409C-BE32-E72D297353CC}">
                  <c16:uniqueId val="{00000017-BC2A-4370-8909-09E30871680C}"/>
                </c:ext>
              </c:extLst>
            </c:dLbl>
            <c:dLbl>
              <c:idx val="12"/>
              <c:delete val="1"/>
              <c:extLst>
                <c:ext xmlns:c15="http://schemas.microsoft.com/office/drawing/2012/chart" uri="{CE6537A1-D6FC-4f65-9D91-7224C49458BB}"/>
                <c:ext xmlns:c16="http://schemas.microsoft.com/office/drawing/2014/chart" uri="{C3380CC4-5D6E-409C-BE32-E72D297353CC}">
                  <c16:uniqueId val="{00000019-C76E-4D26-956F-87E1AE164CE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f>Results!$A$2:$A$14</c:f>
              <c:strCache>
                <c:ptCount val="13"/>
                <c:pt idx="0">
                  <c:v>ITO glass</c:v>
                </c:pt>
                <c:pt idx="1">
                  <c:v>Ni</c:v>
                </c:pt>
                <c:pt idx="2">
                  <c:v>PbI₂</c:v>
                </c:pt>
                <c:pt idx="3">
                  <c:v>DMF</c:v>
                </c:pt>
                <c:pt idx="4">
                  <c:v>MAI</c:v>
                </c:pt>
                <c:pt idx="5">
                  <c:v>MACl</c:v>
                </c:pt>
                <c:pt idx="6">
                  <c:v>Ethanol</c:v>
                </c:pt>
                <c:pt idx="7">
                  <c:v>Nitrogen</c:v>
                </c:pt>
                <c:pt idx="8">
                  <c:v>PCBM</c:v>
                </c:pt>
                <c:pt idx="9">
                  <c:v>AZO</c:v>
                </c:pt>
                <c:pt idx="10">
                  <c:v>ITO</c:v>
                </c:pt>
                <c:pt idx="11">
                  <c:v>Ar</c:v>
                </c:pt>
                <c:pt idx="12">
                  <c:v>O₂</c:v>
                </c:pt>
              </c:strCache>
            </c:strRef>
          </c:cat>
          <c:val>
            <c:numRef>
              <c:f>Results!$C$2:$C$14</c:f>
              <c:numCache>
                <c:formatCode>General</c:formatCode>
                <c:ptCount val="13"/>
                <c:pt idx="0">
                  <c:v>29.222870408888099</c:v>
                </c:pt>
                <c:pt idx="1">
                  <c:v>0.1232730025314816</c:v>
                </c:pt>
                <c:pt idx="2">
                  <c:v>4.472927890759943E-2</c:v>
                </c:pt>
                <c:pt idx="3">
                  <c:v>0.15136487547183283</c:v>
                </c:pt>
                <c:pt idx="4">
                  <c:v>0.86776101755973556</c:v>
                </c:pt>
                <c:pt idx="5">
                  <c:v>7.223991426678969E-4</c:v>
                </c:pt>
                <c:pt idx="6">
                  <c:v>0.17467875691966225</c:v>
                </c:pt>
                <c:pt idx="7">
                  <c:v>11.683460563708593</c:v>
                </c:pt>
                <c:pt idx="8">
                  <c:v>2.0963550633835544</c:v>
                </c:pt>
                <c:pt idx="9">
                  <c:v>4.6933677216494775E-3</c:v>
                </c:pt>
                <c:pt idx="10">
                  <c:v>0.662321153801261</c:v>
                </c:pt>
                <c:pt idx="11">
                  <c:v>14.844249782230303</c:v>
                </c:pt>
                <c:pt idx="12">
                  <c:v>8.0999662531850997E-3</c:v>
                </c:pt>
              </c:numCache>
            </c:numRef>
          </c:val>
          <c:extLst>
            <c:ext xmlns:c16="http://schemas.microsoft.com/office/drawing/2014/chart" uri="{C3380CC4-5D6E-409C-BE32-E72D297353CC}">
              <c16:uniqueId val="{00000028-BC2A-4370-8909-09E30871680C}"/>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l"/>
      <c:layout>
        <c:manualLayout>
          <c:xMode val="edge"/>
          <c:yMode val="edge"/>
          <c:x val="0"/>
          <c:y val="1.0124307378244385E-2"/>
          <c:w val="0.38278598555720789"/>
          <c:h val="0.97975138524351102"/>
        </c:manualLayout>
      </c:layout>
      <c:overlay val="0"/>
      <c:spPr>
        <a:noFill/>
        <a:ln>
          <a:noFill/>
        </a:ln>
        <a:effectLst/>
      </c:spPr>
      <c:txPr>
        <a:bodyPr rot="0" spcFirstLastPara="1" vertOverflow="ellipsis" vert="horz" wrap="square" anchor="ctr" anchorCtr="1"/>
        <a:lstStyle/>
        <a:p>
          <a:pPr rtl="0">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6</xdr:row>
          <xdr:rowOff>161925</xdr:rowOff>
        </xdr:from>
        <xdr:to>
          <xdr:col>4</xdr:col>
          <xdr:colOff>1028700</xdr:colOff>
          <xdr:row>9</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Ideal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161925</xdr:rowOff>
        </xdr:from>
        <xdr:to>
          <xdr:col>4</xdr:col>
          <xdr:colOff>1019175</xdr:colOff>
          <xdr:row>3</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171450</xdr:rowOff>
        </xdr:from>
        <xdr:to>
          <xdr:col>4</xdr:col>
          <xdr:colOff>1019175</xdr:colOff>
          <xdr:row>6</xdr:row>
          <xdr:rowOff>38100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Norminal recycling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76200</xdr:rowOff>
    </xdr:from>
    <xdr:to>
      <xdr:col>23</xdr:col>
      <xdr:colOff>253317</xdr:colOff>
      <xdr:row>14</xdr:row>
      <xdr:rowOff>104775</xdr:rowOff>
    </xdr:to>
    <xdr:graphicFrame macro="">
      <xdr:nvGraphicFramePr>
        <xdr:cNvPr id="2" name="Chart 38">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400050</xdr:colOff>
      <xdr:row>15</xdr:row>
      <xdr:rowOff>200025</xdr:rowOff>
    </xdr:from>
    <xdr:to>
      <xdr:col>23</xdr:col>
      <xdr:colOff>262842</xdr:colOff>
      <xdr:row>30</xdr:row>
      <xdr:rowOff>57150</xdr:rowOff>
    </xdr:to>
    <xdr:graphicFrame macro="">
      <xdr:nvGraphicFramePr>
        <xdr:cNvPr id="3" name="Chart 43">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1771650</xdr:colOff>
      <xdr:row>28</xdr:row>
      <xdr:rowOff>180975</xdr:rowOff>
    </xdr:from>
    <xdr:to>
      <xdr:col>12</xdr:col>
      <xdr:colOff>238125</xdr:colOff>
      <xdr:row>54</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47</xdr:row>
      <xdr:rowOff>47328</xdr:rowOff>
    </xdr:from>
    <xdr:to>
      <xdr:col>21</xdr:col>
      <xdr:colOff>342873</xdr:colOff>
      <xdr:row>61</xdr:row>
      <xdr:rowOff>123528</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xdr:colOff>
      <xdr:row>32</xdr:row>
      <xdr:rowOff>0</xdr:rowOff>
    </xdr:from>
    <xdr:to>
      <xdr:col>21</xdr:col>
      <xdr:colOff>342874</xdr:colOff>
      <xdr:row>46</xdr:row>
      <xdr:rowOff>76200</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Other%20invento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0_Raw%20materials-update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anabi/Desktop/1_Perovskite_20180226/LCI%20for%20key%20components/Recycling/0_Raw%20materia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I2"/>
      <sheetName val="CH3NH3I"/>
      <sheetName val="FTO glass"/>
      <sheetName val="ITO glass"/>
      <sheetName val="BL-TiO2 ink"/>
      <sheetName val="spiro-OMeTAD"/>
      <sheetName val="C60"/>
      <sheetName val="PCBM_old"/>
      <sheetName val="PCBM_new"/>
      <sheetName val="PCBM"/>
      <sheetName val="Thiophene"/>
      <sheetName val="PEDOT PSS"/>
    </sheetNames>
    <sheetDataSet>
      <sheetData sheetId="0">
        <row r="18">
          <cell r="D18">
            <v>4.5641478346943822</v>
          </cell>
          <cell r="M18">
            <v>54.273073573167295</v>
          </cell>
          <cell r="N18">
            <v>1.0468647769178421</v>
          </cell>
          <cell r="O18">
            <v>3.8979307535263539</v>
          </cell>
          <cell r="P18">
            <v>1.0346162212323682</v>
          </cell>
          <cell r="Q18">
            <v>7.1263336550358825E-2</v>
          </cell>
          <cell r="R18">
            <v>1.9784839253897545E-3</v>
          </cell>
          <cell r="S18">
            <v>155.93446269487751</v>
          </cell>
          <cell r="T18">
            <v>0.19160131588715665</v>
          </cell>
          <cell r="U18">
            <v>78.202403056174219</v>
          </cell>
          <cell r="V18">
            <v>5.15849037985647E-3</v>
          </cell>
          <cell r="W18">
            <v>0.63220118225686706</v>
          </cell>
          <cell r="X18">
            <v>6.6310885300668149E-4</v>
          </cell>
          <cell r="Y18">
            <v>4.462579856471171E-7</v>
          </cell>
          <cell r="Z18">
            <v>1.1047205555555552E-2</v>
          </cell>
          <cell r="AA18">
            <v>1.554942625587726E-2</v>
          </cell>
          <cell r="AB18">
            <v>3.125296795347686E-2</v>
          </cell>
          <cell r="AC18">
            <v>5.3766239785944065E-3</v>
          </cell>
          <cell r="AD18">
            <v>4.0204006328878987E-2</v>
          </cell>
          <cell r="AE18">
            <v>1.1739803605543183E-2</v>
          </cell>
          <cell r="AF18">
            <v>0.19118482430091563</v>
          </cell>
          <cell r="AG18">
            <v>1.2205381316505814</v>
          </cell>
          <cell r="AH18">
            <v>0.15340474263796092</v>
          </cell>
        </row>
      </sheetData>
      <sheetData sheetId="1">
        <row r="17">
          <cell r="D17">
            <v>161.5361359123435</v>
          </cell>
          <cell r="M17">
            <v>3431.2608150330084</v>
          </cell>
          <cell r="N17">
            <v>16.135752796779965</v>
          </cell>
          <cell r="O17">
            <v>147.82446722719141</v>
          </cell>
          <cell r="P17">
            <v>68.175556314847952</v>
          </cell>
          <cell r="Q17">
            <v>5.572385187119858</v>
          </cell>
          <cell r="R17">
            <v>0.13118079564400717</v>
          </cell>
          <cell r="S17">
            <v>6537.4459293381042</v>
          </cell>
          <cell r="T17">
            <v>15.803840549194994</v>
          </cell>
          <cell r="U17">
            <v>4972.9006245080509</v>
          </cell>
          <cell r="V17">
            <v>0.2099851833631485</v>
          </cell>
          <cell r="W17">
            <v>11.809114722719142</v>
          </cell>
          <cell r="X17">
            <v>3.1179799194991059E-2</v>
          </cell>
          <cell r="Y17">
            <v>5.3447523288014325E-5</v>
          </cell>
          <cell r="Z17">
            <v>0.48246033041144909</v>
          </cell>
          <cell r="AA17">
            <v>0.64966431082289811</v>
          </cell>
          <cell r="AB17">
            <v>1.2243395606440073</v>
          </cell>
          <cell r="AC17">
            <v>0.23228549325581402</v>
          </cell>
          <cell r="AD17">
            <v>2.2316178839892671</v>
          </cell>
          <cell r="AE17">
            <v>2.8985800698926663</v>
          </cell>
          <cell r="AF17">
            <v>9.2571725205724515</v>
          </cell>
          <cell r="AG17">
            <v>51.018806940966016</v>
          </cell>
          <cell r="AH17">
            <v>8.7229145447227197</v>
          </cell>
        </row>
      </sheetData>
      <sheetData sheetId="2">
        <row r="41">
          <cell r="D41">
            <v>0.6900927939999999</v>
          </cell>
        </row>
      </sheetData>
      <sheetData sheetId="3">
        <row r="14">
          <cell r="D14">
            <v>16.837863429999999</v>
          </cell>
          <cell r="M14">
            <v>292.22870408888105</v>
          </cell>
          <cell r="N14">
            <v>5.4035999599999995E-2</v>
          </cell>
          <cell r="O14">
            <v>15.863857979999999</v>
          </cell>
          <cell r="P14">
            <v>6.8711502629999996</v>
          </cell>
          <cell r="Q14">
            <v>8.2522552700000001E-2</v>
          </cell>
          <cell r="R14">
            <v>1.0550032339999998E-3</v>
          </cell>
          <cell r="S14">
            <v>165.51815009999999</v>
          </cell>
          <cell r="T14">
            <v>0.16734019</v>
          </cell>
          <cell r="U14">
            <v>66.525372399999995</v>
          </cell>
          <cell r="V14">
            <v>1.5045233709999998E-2</v>
          </cell>
          <cell r="W14">
            <v>0.64124742970000004</v>
          </cell>
          <cell r="X14">
            <v>2.6055490222000001E-3</v>
          </cell>
          <cell r="Y14">
            <v>1.3754312987000001E-6</v>
          </cell>
          <cell r="Z14">
            <v>1.994535221E-2</v>
          </cell>
          <cell r="AA14">
            <v>4.8864307230000001E-2</v>
          </cell>
          <cell r="AB14">
            <v>7.2168691110000002E-2</v>
          </cell>
          <cell r="AC14">
            <v>7.877002793E-3</v>
          </cell>
          <cell r="AD14">
            <v>1.5844954200000001E-2</v>
          </cell>
          <cell r="AE14">
            <v>1.0150023860000001E-2</v>
          </cell>
          <cell r="AF14">
            <v>0.48907124690000003</v>
          </cell>
          <cell r="AG14">
            <v>1.723918898</v>
          </cell>
          <cell r="AH14">
            <v>0.8537033906</v>
          </cell>
        </row>
      </sheetData>
      <sheetData sheetId="4">
        <row r="14">
          <cell r="D14">
            <v>1.816623717028</v>
          </cell>
        </row>
      </sheetData>
      <sheetData sheetId="5">
        <row r="33">
          <cell r="D33">
            <v>121.5468471027569</v>
          </cell>
        </row>
      </sheetData>
      <sheetData sheetId="6"/>
      <sheetData sheetId="7"/>
      <sheetData sheetId="8">
        <row r="16">
          <cell r="D16">
            <v>681.91697298744145</v>
          </cell>
          <cell r="M16">
            <v>20963.550633835541</v>
          </cell>
          <cell r="N16">
            <v>763.99552434711529</v>
          </cell>
          <cell r="O16">
            <v>597.06772602486365</v>
          </cell>
          <cell r="P16">
            <v>348.06289101984487</v>
          </cell>
          <cell r="Q16">
            <v>5.3775961105543297</v>
          </cell>
          <cell r="R16">
            <v>0.13271588828861239</v>
          </cell>
          <cell r="S16">
            <v>7165.0173510440027</v>
          </cell>
          <cell r="T16">
            <v>25.374355056999235</v>
          </cell>
          <cell r="U16">
            <v>4742.3459329305997</v>
          </cell>
          <cell r="V16">
            <v>1.1953303231434604</v>
          </cell>
          <cell r="W16">
            <v>12.616109833757365</v>
          </cell>
          <cell r="X16">
            <v>8.9207254500477479E-2</v>
          </cell>
          <cell r="Y16">
            <v>4.1859545047078204E-5</v>
          </cell>
          <cell r="Z16">
            <v>2.3364182419567134</v>
          </cell>
          <cell r="AA16">
            <v>4.1986226704285547</v>
          </cell>
          <cell r="AB16">
            <v>3.9109659041271785</v>
          </cell>
          <cell r="AC16">
            <v>0.59999899116636124</v>
          </cell>
          <cell r="AD16">
            <v>12.705158632673276</v>
          </cell>
          <cell r="AE16">
            <v>1.4390130773760741</v>
          </cell>
          <cell r="AF16">
            <v>41.714776626245644</v>
          </cell>
          <cell r="AG16">
            <v>73.165210516319974</v>
          </cell>
          <cell r="AH16">
            <v>42.322515920880583</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row>
        <row r="46">
          <cell r="D46">
            <v>2.6876000000000002</v>
          </cell>
          <cell r="M46">
            <v>40.380196750000003</v>
          </cell>
          <cell r="N46">
            <v>0.14061999999999999</v>
          </cell>
          <cell r="O46">
            <v>2.4859</v>
          </cell>
          <cell r="P46">
            <v>0.71387</v>
          </cell>
          <cell r="Q46">
            <v>3.5333999999999997E-2</v>
          </cell>
          <cell r="R46">
            <v>1.4566E-3</v>
          </cell>
          <cell r="S46">
            <v>46.789000000000001</v>
          </cell>
          <cell r="T46">
            <v>0.41410999999999998</v>
          </cell>
          <cell r="U46">
            <v>40.326999999999998</v>
          </cell>
          <cell r="V46">
            <v>2.4256999999999998E-3</v>
          </cell>
          <cell r="W46">
            <v>3.2414999999999999E-2</v>
          </cell>
          <cell r="X46">
            <v>2.9548999999999998E-4</v>
          </cell>
          <cell r="Y46">
            <v>1.4875000000000001E-7</v>
          </cell>
          <cell r="Z46">
            <v>8.3315000000000004E-3</v>
          </cell>
          <cell r="AA46">
            <v>6.6281999999999999E-3</v>
          </cell>
          <cell r="AB46">
            <v>1.3127E-2</v>
          </cell>
          <cell r="AC46">
            <v>8.9937000000000003E-4</v>
          </cell>
          <cell r="AD46">
            <v>1.5989E-2</v>
          </cell>
          <cell r="AE46">
            <v>1.0525E-2</v>
          </cell>
          <cell r="AF46">
            <v>0.10639</v>
          </cell>
          <cell r="AG46">
            <v>0.42542000000000002</v>
          </cell>
          <cell r="AH46">
            <v>8.7106000000000003E-2</v>
          </cell>
        </row>
        <row r="69">
          <cell r="D69">
            <v>0.46997</v>
          </cell>
          <cell r="M69">
            <v>6.4030815109999999</v>
          </cell>
          <cell r="N69">
            <v>1.8482999999999999E-2</v>
          </cell>
          <cell r="O69">
            <v>0.43381999999999998</v>
          </cell>
          <cell r="P69">
            <v>0.12280000000000001</v>
          </cell>
          <cell r="Q69">
            <v>5.6743999999999996E-3</v>
          </cell>
          <cell r="R69">
            <v>2.3049E-4</v>
          </cell>
          <cell r="S69">
            <v>7.6722999999999999</v>
          </cell>
          <cell r="T69">
            <v>4.7706999999999999E-2</v>
          </cell>
          <cell r="U69">
            <v>6.5601000000000003</v>
          </cell>
          <cell r="V69">
            <v>4.2883999999999999E-4</v>
          </cell>
          <cell r="W69">
            <v>4.7990999999999997E-3</v>
          </cell>
          <cell r="X69">
            <v>5.0970999999999997E-5</v>
          </cell>
          <cell r="Y69">
            <v>2.131E-8</v>
          </cell>
          <cell r="Z69">
            <v>1.5837E-3</v>
          </cell>
          <cell r="AA69">
            <v>1.1862999999999999E-3</v>
          </cell>
          <cell r="AB69">
            <v>2.3213999999999999E-3</v>
          </cell>
          <cell r="AC69">
            <v>1.4876000000000001E-4</v>
          </cell>
          <cell r="AD69">
            <v>2.8249999999999998E-3</v>
          </cell>
          <cell r="AE69">
            <v>1.7237000000000001E-3</v>
          </cell>
          <cell r="AF69">
            <v>1.7965999999999999E-2</v>
          </cell>
          <cell r="AG69">
            <v>7.1259000000000003E-2</v>
          </cell>
          <cell r="AH69">
            <v>1.4947999999999999E-2</v>
          </cell>
        </row>
        <row r="91">
          <cell r="D91">
            <v>1.1845000000000001</v>
          </cell>
          <cell r="M91">
            <v>16.137803399999999</v>
          </cell>
          <cell r="N91">
            <v>4.6581999999999998E-2</v>
          </cell>
          <cell r="O91">
            <v>1.0933999999999999</v>
          </cell>
          <cell r="P91">
            <v>0.30948999999999999</v>
          </cell>
          <cell r="Q91">
            <v>1.4300999999999999E-2</v>
          </cell>
          <cell r="R91">
            <v>5.8091999999999996E-4</v>
          </cell>
          <cell r="S91">
            <v>19.337</v>
          </cell>
          <cell r="T91">
            <v>0.12024</v>
          </cell>
          <cell r="U91">
            <v>16.533999999999999</v>
          </cell>
          <cell r="V91">
            <v>1.0808E-3</v>
          </cell>
          <cell r="W91">
            <v>1.2095E-2</v>
          </cell>
          <cell r="X91">
            <v>1.2846E-4</v>
          </cell>
          <cell r="Y91">
            <v>5.3706999999999999E-8</v>
          </cell>
          <cell r="Z91">
            <v>3.9915000000000003E-3</v>
          </cell>
          <cell r="AA91">
            <v>2.9899000000000002E-3</v>
          </cell>
          <cell r="AB91">
            <v>5.8507000000000003E-3</v>
          </cell>
          <cell r="AC91">
            <v>3.7492999999999999E-4</v>
          </cell>
          <cell r="AD91">
            <v>7.1199999999999996E-3</v>
          </cell>
          <cell r="AE91">
            <v>4.3444E-3</v>
          </cell>
          <cell r="AF91">
            <v>4.5281000000000002E-2</v>
          </cell>
          <cell r="AG91">
            <v>0.17960000000000001</v>
          </cell>
          <cell r="AH91">
            <v>3.7673999999999999E-2</v>
          </cell>
        </row>
        <row r="134">
          <cell r="D134">
            <v>13.891</v>
          </cell>
          <cell r="M134">
            <v>194.32411869999999</v>
          </cell>
          <cell r="N134">
            <v>0.57881000000000005</v>
          </cell>
          <cell r="O134">
            <v>13.111000000000001</v>
          </cell>
          <cell r="P134">
            <v>3.7694999999999999</v>
          </cell>
          <cell r="Q134">
            <v>1.4311</v>
          </cell>
          <cell r="R134">
            <v>2.2005E-2</v>
          </cell>
          <cell r="S134">
            <v>1643.6</v>
          </cell>
          <cell r="T134">
            <v>0.86177000000000004</v>
          </cell>
          <cell r="U134">
            <v>1648</v>
          </cell>
          <cell r="V134">
            <v>3.7101000000000002E-2</v>
          </cell>
          <cell r="W134">
            <v>0.28599999999999998</v>
          </cell>
          <cell r="X134">
            <v>4.8180999999999996E-3</v>
          </cell>
          <cell r="Y134">
            <v>1.2787999999999999E-6</v>
          </cell>
          <cell r="Z134">
            <v>0.29781000000000002</v>
          </cell>
          <cell r="AA134">
            <v>0.20660000000000001</v>
          </cell>
          <cell r="AB134">
            <v>1.3729</v>
          </cell>
          <cell r="AC134">
            <v>1.8852000000000001E-2</v>
          </cell>
          <cell r="AD134">
            <v>0.42607</v>
          </cell>
          <cell r="AE134">
            <v>5.9415000000000003E-2</v>
          </cell>
          <cell r="AF134">
            <v>1.6820999999999999</v>
          </cell>
          <cell r="AG134">
            <v>12.398999999999999</v>
          </cell>
          <cell r="AH134">
            <v>0.46515000000000001</v>
          </cell>
        </row>
      </sheetData>
      <sheetData sheetId="1" refreshError="1"/>
      <sheetData sheetId="2" refreshError="1"/>
      <sheetData sheetId="3" refreshError="1"/>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row>
        <row r="7">
          <cell r="D7">
            <v>0.70992</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54">
          <cell r="D54">
            <v>1.3996</v>
          </cell>
          <cell r="M54">
            <v>41.582470999999998</v>
          </cell>
          <cell r="N54">
            <v>1.1153999999999999</v>
          </cell>
          <cell r="O54">
            <v>1.2186999999999999</v>
          </cell>
          <cell r="P54">
            <v>0.34281</v>
          </cell>
          <cell r="Q54">
            <v>3.4125999999999997E-2</v>
          </cell>
          <cell r="R54">
            <v>5.6773000000000001E-4</v>
          </cell>
          <cell r="S54">
            <v>16.718</v>
          </cell>
          <cell r="T54">
            <v>8.7052000000000004E-2</v>
          </cell>
          <cell r="U54">
            <v>13.432</v>
          </cell>
          <cell r="V54">
            <v>6.2411999999999997E-3</v>
          </cell>
          <cell r="W54">
            <v>5.4462000000000003E-2</v>
          </cell>
          <cell r="X54">
            <v>1.0508E-3</v>
          </cell>
          <cell r="Y54">
            <v>8.8975000000000001E-8</v>
          </cell>
          <cell r="Z54">
            <v>3.9167000000000004E-3</v>
          </cell>
          <cell r="AA54">
            <v>4.1108999999999998E-3</v>
          </cell>
          <cell r="AB54">
            <v>1.2865E-2</v>
          </cell>
          <cell r="AC54">
            <v>8.2140000000000008E-3</v>
          </cell>
          <cell r="AD54">
            <v>5.9778999999999999E-2</v>
          </cell>
          <cell r="AE54">
            <v>0.37369000000000002</v>
          </cell>
          <cell r="AF54">
            <v>0.34144999999999998</v>
          </cell>
          <cell r="AG54">
            <v>0.16486999999999999</v>
          </cell>
          <cell r="AH54">
            <v>4.3631999999999997E-2</v>
          </cell>
        </row>
        <row r="75">
          <cell r="D75">
            <v>2.8612000000000002</v>
          </cell>
          <cell r="M75">
            <v>77.822580110000004</v>
          </cell>
          <cell r="N75">
            <v>0.11645</v>
          </cell>
          <cell r="O75">
            <v>2.5897999999999999</v>
          </cell>
          <cell r="P75">
            <v>1.7415</v>
          </cell>
          <cell r="Q75">
            <v>3.6441000000000001E-2</v>
          </cell>
          <cell r="R75">
            <v>9.8305000000000007E-4</v>
          </cell>
          <cell r="S75">
            <v>59.360999999999997</v>
          </cell>
          <cell r="T75">
            <v>0.25631999999999999</v>
          </cell>
          <cell r="U75">
            <v>38.563000000000002</v>
          </cell>
          <cell r="V75">
            <v>1.2496999999999999E-2</v>
          </cell>
          <cell r="W75">
            <v>0.16675999999999999</v>
          </cell>
          <cell r="X75">
            <v>1.0935000000000001E-3</v>
          </cell>
          <cell r="Y75">
            <v>5.2045000000000003E-7</v>
          </cell>
          <cell r="Z75">
            <v>7.2179000000000002E-3</v>
          </cell>
          <cell r="AA75">
            <v>8.7553000000000006E-3</v>
          </cell>
          <cell r="AB75">
            <v>1.839E-2</v>
          </cell>
          <cell r="AC75">
            <v>1.839E-2</v>
          </cell>
          <cell r="AD75">
            <v>2.2100999999999999E-2</v>
          </cell>
          <cell r="AE75">
            <v>7.7352999999999996E-3</v>
          </cell>
          <cell r="AF75">
            <v>0.11523</v>
          </cell>
          <cell r="AG75">
            <v>0.51175000000000004</v>
          </cell>
          <cell r="AH75">
            <v>0.21654000000000001</v>
          </cell>
        </row>
        <row r="86">
          <cell r="D86">
            <v>1.2645999999999999</v>
          </cell>
          <cell r="M86">
            <v>15.434422170000001</v>
          </cell>
          <cell r="N86">
            <v>2.0381E-2</v>
          </cell>
          <cell r="O86">
            <v>1.1857</v>
          </cell>
          <cell r="P86">
            <v>0.34519</v>
          </cell>
          <cell r="Q86">
            <v>4.0217999999999997E-2</v>
          </cell>
          <cell r="R86">
            <v>5.4253999999999999E-4</v>
          </cell>
          <cell r="S86">
            <v>42.197000000000003</v>
          </cell>
          <cell r="T86">
            <v>5.8255000000000001E-2</v>
          </cell>
          <cell r="U86">
            <v>62.276000000000003</v>
          </cell>
          <cell r="V86">
            <v>1.3056999999999999E-3</v>
          </cell>
          <cell r="W86">
            <v>6.9872000000000004E-2</v>
          </cell>
          <cell r="X86">
            <v>1.5105000000000001E-4</v>
          </cell>
          <cell r="Y86">
            <v>1.4922000000000001E-7</v>
          </cell>
          <cell r="Z86">
            <v>3.0906000000000002E-3</v>
          </cell>
          <cell r="AA86">
            <v>4.1773000000000001E-3</v>
          </cell>
          <cell r="AB86">
            <v>4.1773000000000001E-3</v>
          </cell>
          <cell r="AC86">
            <v>1.1643999999999999E-3</v>
          </cell>
          <cell r="AD86">
            <v>1.1643999999999999E-3</v>
          </cell>
          <cell r="AE86">
            <v>1.9116999999999999E-3</v>
          </cell>
          <cell r="AF86">
            <v>5.9662E-2</v>
          </cell>
          <cell r="AG86">
            <v>0.33512999999999998</v>
          </cell>
          <cell r="AH86">
            <v>4.4637000000000003E-2</v>
          </cell>
        </row>
        <row r="103">
          <cell r="D103">
            <v>5.4259E-3</v>
          </cell>
          <cell r="M103">
            <v>0.17365606929999999</v>
          </cell>
          <cell r="N103">
            <v>2.8051999999999998E-4</v>
          </cell>
          <cell r="O103">
            <v>5.1062E-3</v>
          </cell>
          <cell r="P103">
            <v>4.0477000000000004E-3</v>
          </cell>
          <cell r="Q103">
            <v>2.4984999999999999E-5</v>
          </cell>
          <cell r="R103">
            <v>6.018E-7</v>
          </cell>
          <cell r="S103">
            <v>3.8490000000000003E-2</v>
          </cell>
          <cell r="T103">
            <v>7.4255000000000002E-4</v>
          </cell>
          <cell r="U103">
            <v>2.7300999999999999E-2</v>
          </cell>
          <cell r="V103">
            <v>1.7286999999999999E-5</v>
          </cell>
          <cell r="W103">
            <v>2.1064E-4</v>
          </cell>
          <cell r="X103">
            <v>-3.9805999999999998E-5</v>
          </cell>
          <cell r="Y103">
            <v>1.908E-9</v>
          </cell>
          <cell r="Z103">
            <v>1.8263000000000001E-5</v>
          </cell>
          <cell r="AA103">
            <v>5.5226000000000003E-5</v>
          </cell>
          <cell r="AB103">
            <v>4.6202000000000003E-5</v>
          </cell>
          <cell r="AC103">
            <v>5.57E-6</v>
          </cell>
          <cell r="AD103">
            <v>1.0223000000000001E-3</v>
          </cell>
          <cell r="AE103">
            <v>7.3827999999999999E-6</v>
          </cell>
          <cell r="AF103">
            <v>4.1576999999999999E-4</v>
          </cell>
          <cell r="AG103">
            <v>4.8026999999999998E-4</v>
          </cell>
          <cell r="AH103">
            <v>4.9516000000000002E-4</v>
          </cell>
        </row>
        <row r="115">
          <cell r="D115">
            <v>0.80154000000000003</v>
          </cell>
          <cell r="M115">
            <v>12.575862069999998</v>
          </cell>
          <cell r="N115">
            <v>2.9536E-2</v>
          </cell>
          <cell r="O115">
            <v>0.74443999999999999</v>
          </cell>
          <cell r="P115">
            <v>0.26512999999999998</v>
          </cell>
          <cell r="Q115">
            <v>1.9755000000000002E-2</v>
          </cell>
          <cell r="R115">
            <v>3.4016999999999999E-4</v>
          </cell>
          <cell r="S115">
            <v>19.242000000000001</v>
          </cell>
          <cell r="T115">
            <v>5.4441000000000003E-2</v>
          </cell>
          <cell r="U115">
            <v>17.335999999999999</v>
          </cell>
          <cell r="V115">
            <v>7.1546000000000001E-4</v>
          </cell>
          <cell r="W115">
            <v>8.6176000000000003E-2</v>
          </cell>
          <cell r="X115">
            <v>1.5542999999999999E-4</v>
          </cell>
          <cell r="Y115">
            <v>6.0777000000000002E-8</v>
          </cell>
          <cell r="Z115">
            <v>1.5740999999999999E-3</v>
          </cell>
          <cell r="AA115">
            <v>2.1741E-3</v>
          </cell>
          <cell r="AB115">
            <v>2.9742000000000002E-3</v>
          </cell>
          <cell r="AC115">
            <v>2.5177999999999999E-2</v>
          </cell>
          <cell r="AD115">
            <v>9.7198000000000007E-3</v>
          </cell>
          <cell r="AE115">
            <v>2.6665999999999999E-3</v>
          </cell>
          <cell r="AF115">
            <v>4.4498999999999997E-2</v>
          </cell>
          <cell r="AG115">
            <v>0.15937999999999999</v>
          </cell>
          <cell r="AH115">
            <v>3.5762000000000002E-2</v>
          </cell>
        </row>
        <row r="116">
          <cell r="D116">
            <v>29.731000000000002</v>
          </cell>
          <cell r="M116">
            <v>390.41273720000004</v>
          </cell>
          <cell r="N116">
            <v>0.86484000000000005</v>
          </cell>
          <cell r="O116">
            <v>27.587</v>
          </cell>
          <cell r="P116">
            <v>7.9557000000000002</v>
          </cell>
          <cell r="Q116">
            <v>0.96638000000000002</v>
          </cell>
          <cell r="R116">
            <v>2.9080999999999999E-2</v>
          </cell>
          <cell r="S116">
            <v>1977.5</v>
          </cell>
          <cell r="T116">
            <v>1.7395</v>
          </cell>
          <cell r="U116">
            <v>1190.5</v>
          </cell>
          <cell r="V116">
            <v>4.6462999999999997E-2</v>
          </cell>
          <cell r="W116">
            <v>26.738</v>
          </cell>
          <cell r="X116">
            <v>4.7511999999999997E-3</v>
          </cell>
          <cell r="Y116">
            <v>1.8187000000000001E-6</v>
          </cell>
          <cell r="Z116">
            <v>9.9134E-2</v>
          </cell>
          <cell r="AA116">
            <v>0.15209</v>
          </cell>
          <cell r="AB116">
            <v>0.24771000000000001</v>
          </cell>
          <cell r="AC116">
            <v>0.29025000000000001</v>
          </cell>
          <cell r="AD116">
            <v>0.33433000000000002</v>
          </cell>
          <cell r="AE116">
            <v>0.38036999999999999</v>
          </cell>
          <cell r="AF116">
            <v>1.7601</v>
          </cell>
          <cell r="AG116">
            <v>14.596</v>
          </cell>
          <cell r="AH116">
            <v>2.1949000000000001</v>
          </cell>
        </row>
      </sheetData>
      <sheetData sheetId="1"/>
      <sheetData sheetId="2"/>
      <sheetData sheetId="3"/>
      <sheetData sheetId="4">
        <row r="15">
          <cell r="D15">
            <v>0</v>
          </cell>
          <cell r="M15">
            <v>0</v>
          </cell>
          <cell r="N15"/>
          <cell r="O15"/>
          <cell r="P15"/>
          <cell r="Q15">
            <v>1.0511520897095683E-5</v>
          </cell>
          <cell r="R15"/>
          <cell r="S15">
            <v>1.4366951661669828E-2</v>
          </cell>
          <cell r="T15"/>
          <cell r="U15">
            <v>1.7867815068253627E-5</v>
          </cell>
          <cell r="V15"/>
          <cell r="W15"/>
          <cell r="X15"/>
          <cell r="Y15"/>
          <cell r="Z15"/>
          <cell r="AA15">
            <v>0.67398648648648651</v>
          </cell>
          <cell r="AB15"/>
          <cell r="AC15">
            <v>3.7179897031113646E-5</v>
          </cell>
          <cell r="AD15"/>
          <cell r="AE15"/>
          <cell r="AF15">
            <v>8.1614583487299999E-6</v>
          </cell>
          <cell r="AG15">
            <v>3.5455940620700001E-4</v>
          </cell>
          <cell r="AH15"/>
        </row>
        <row r="28">
          <cell r="D28">
            <v>0</v>
          </cell>
          <cell r="M28">
            <v>0</v>
          </cell>
          <cell r="N28"/>
          <cell r="O28"/>
          <cell r="P28"/>
          <cell r="Q28"/>
          <cell r="R28"/>
          <cell r="S28"/>
          <cell r="T28"/>
          <cell r="U28"/>
          <cell r="V28"/>
          <cell r="W28"/>
          <cell r="X28"/>
          <cell r="Y28"/>
          <cell r="Z28"/>
          <cell r="AA28"/>
          <cell r="AB28"/>
          <cell r="AC28"/>
          <cell r="AD28"/>
          <cell r="AE28"/>
          <cell r="AF28"/>
          <cell r="AG28"/>
          <cell r="AH28"/>
        </row>
      </sheetData>
      <sheetData sheetId="5">
        <row r="4">
          <cell r="D4">
            <v>4.5641478346943822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53"/>
  <sheetViews>
    <sheetView tabSelected="1" workbookViewId="0">
      <selection activeCell="B9" sqref="B9"/>
    </sheetView>
  </sheetViews>
  <sheetFormatPr defaultRowHeight="15"/>
  <cols>
    <col min="1" max="1" width="41.5703125" customWidth="1"/>
    <col min="2" max="2" width="18" style="41" customWidth="1"/>
    <col min="3" max="3" width="32.42578125" customWidth="1"/>
    <col min="4" max="6" width="18" customWidth="1"/>
    <col min="7" max="7" width="13.140625" customWidth="1"/>
    <col min="12" max="12" width="18.140625" customWidth="1"/>
    <col min="13" max="14" width="17.140625" customWidth="1"/>
    <col min="15" max="15" width="14.42578125" customWidth="1"/>
  </cols>
  <sheetData>
    <row r="1" spans="1:36" ht="15.75" thickBot="1">
      <c r="A1" s="81" t="s">
        <v>122</v>
      </c>
      <c r="B1" s="82" t="s">
        <v>123</v>
      </c>
      <c r="C1" s="83" t="s">
        <v>124</v>
      </c>
    </row>
    <row r="2" spans="1:36">
      <c r="A2" s="84" t="s">
        <v>125</v>
      </c>
      <c r="B2" s="85">
        <v>0.9</v>
      </c>
      <c r="C2" s="86" t="s">
        <v>126</v>
      </c>
    </row>
    <row r="3" spans="1:36">
      <c r="A3" s="84" t="s">
        <v>127</v>
      </c>
      <c r="B3" s="85">
        <v>0.9</v>
      </c>
      <c r="C3" s="86" t="s">
        <v>126</v>
      </c>
    </row>
    <row r="4" spans="1:36">
      <c r="A4" s="100" t="s">
        <v>134</v>
      </c>
      <c r="B4" s="87">
        <v>1</v>
      </c>
      <c r="C4" s="88" t="s">
        <v>128</v>
      </c>
    </row>
    <row r="5" spans="1:36">
      <c r="A5" s="100" t="s">
        <v>129</v>
      </c>
      <c r="B5" s="87">
        <v>1</v>
      </c>
      <c r="C5" s="88" t="s">
        <v>128</v>
      </c>
    </row>
    <row r="6" spans="1:36">
      <c r="A6" s="100" t="s">
        <v>133</v>
      </c>
      <c r="B6" s="87">
        <v>1</v>
      </c>
      <c r="C6" s="88" t="s">
        <v>128</v>
      </c>
    </row>
    <row r="7" spans="1:36">
      <c r="A7" s="100" t="s">
        <v>135</v>
      </c>
      <c r="B7" s="87">
        <v>1</v>
      </c>
      <c r="C7" s="88" t="s">
        <v>128</v>
      </c>
    </row>
    <row r="8" spans="1:36">
      <c r="A8" s="100" t="s">
        <v>136</v>
      </c>
      <c r="B8" s="87">
        <v>1</v>
      </c>
      <c r="C8" s="88" t="s">
        <v>128</v>
      </c>
    </row>
    <row r="9" spans="1:36" ht="15.75" thickBot="1">
      <c r="A9" s="101" t="s">
        <v>137</v>
      </c>
      <c r="B9" s="89">
        <v>1</v>
      </c>
      <c r="C9" s="90" t="s">
        <v>128</v>
      </c>
    </row>
    <row r="11" spans="1:36" ht="34.5" customHeight="1">
      <c r="A11" s="3" t="s">
        <v>0</v>
      </c>
      <c r="B11" s="38" t="s">
        <v>1</v>
      </c>
      <c r="C11" s="1" t="s">
        <v>2</v>
      </c>
      <c r="D11" s="1" t="s">
        <v>3</v>
      </c>
      <c r="E11" s="1" t="s">
        <v>4</v>
      </c>
      <c r="F11" s="2" t="s">
        <v>5</v>
      </c>
      <c r="L11" s="33"/>
      <c r="M11" s="37"/>
      <c r="N11" s="37"/>
      <c r="O11" s="108" t="s">
        <v>39</v>
      </c>
      <c r="P11" s="108"/>
      <c r="Q11" s="108"/>
      <c r="R11" s="108"/>
      <c r="S11" s="108"/>
      <c r="T11" s="108"/>
      <c r="U11" s="108"/>
      <c r="V11" s="108"/>
      <c r="W11" s="108"/>
      <c r="X11" s="108"/>
      <c r="Y11" s="108"/>
      <c r="Z11" s="108"/>
      <c r="AA11" s="108"/>
      <c r="AB11" s="108"/>
      <c r="AC11" s="108"/>
      <c r="AD11" s="108"/>
      <c r="AE11" s="108"/>
      <c r="AF11" s="108"/>
      <c r="AG11" s="109" t="s">
        <v>40</v>
      </c>
      <c r="AH11" s="109"/>
      <c r="AI11" s="109"/>
    </row>
    <row r="12" spans="1:36">
      <c r="A12" s="42" t="s">
        <v>6</v>
      </c>
      <c r="B12" s="39"/>
      <c r="C12" s="3"/>
      <c r="D12" s="3"/>
      <c r="E12" s="3"/>
      <c r="F12" s="3"/>
      <c r="L12" s="29"/>
      <c r="M12" s="30" t="s">
        <v>68</v>
      </c>
      <c r="N12" s="30" t="s">
        <v>69</v>
      </c>
      <c r="O12" s="31" t="s">
        <v>41</v>
      </c>
      <c r="P12" s="31" t="s">
        <v>42</v>
      </c>
      <c r="Q12" s="31" t="s">
        <v>43</v>
      </c>
      <c r="R12" s="31" t="s">
        <v>44</v>
      </c>
      <c r="S12" s="31" t="s">
        <v>45</v>
      </c>
      <c r="T12" s="31" t="s">
        <v>46</v>
      </c>
      <c r="U12" s="31" t="s">
        <v>47</v>
      </c>
      <c r="V12" s="31" t="s">
        <v>48</v>
      </c>
      <c r="W12" s="31" t="s">
        <v>49</v>
      </c>
      <c r="X12" s="31" t="s">
        <v>50</v>
      </c>
      <c r="Y12" s="31" t="s">
        <v>51</v>
      </c>
      <c r="Z12" s="31" t="s">
        <v>52</v>
      </c>
      <c r="AA12" s="31" t="s">
        <v>53</v>
      </c>
      <c r="AB12" s="31" t="s">
        <v>54</v>
      </c>
      <c r="AC12" s="31" t="s">
        <v>55</v>
      </c>
      <c r="AD12" s="31" t="s">
        <v>56</v>
      </c>
      <c r="AE12" s="31" t="s">
        <v>57</v>
      </c>
      <c r="AF12" s="31" t="s">
        <v>58</v>
      </c>
      <c r="AG12" s="32" t="s">
        <v>59</v>
      </c>
      <c r="AH12" s="32" t="s">
        <v>60</v>
      </c>
      <c r="AI12" s="32" t="s">
        <v>61</v>
      </c>
    </row>
    <row r="13" spans="1:36">
      <c r="A13" s="6" t="s">
        <v>7</v>
      </c>
      <c r="B13" s="39" t="s">
        <v>18</v>
      </c>
      <c r="C13" s="3">
        <v>1</v>
      </c>
      <c r="D13" s="3" t="s">
        <v>18</v>
      </c>
      <c r="E13" s="3">
        <v>1</v>
      </c>
      <c r="F13" s="8">
        <f>1.54*(1-B2)</f>
        <v>0.15399999999999997</v>
      </c>
      <c r="G13" s="3" t="s">
        <v>19</v>
      </c>
      <c r="H13" s="3"/>
      <c r="I13" s="3"/>
      <c r="J13" s="3"/>
      <c r="K13" s="3"/>
      <c r="L13" s="6" t="s">
        <v>7</v>
      </c>
      <c r="M13" s="15">
        <f>$F$13/1.54*'[1]ITO glass'!$D$14</f>
        <v>1.6837863429999995</v>
      </c>
      <c r="N13" s="15">
        <f>$F$13/1.54*'[1]ITO glass'!M14</f>
        <v>29.222870408888099</v>
      </c>
      <c r="O13" s="15">
        <f>$F$13/1.54*'[1]ITO glass'!N14</f>
        <v>5.4035999599999981E-3</v>
      </c>
      <c r="P13" s="15">
        <f>$F$13/1.54*'[1]ITO glass'!O14</f>
        <v>1.5863857979999996</v>
      </c>
      <c r="Q13" s="15">
        <f>$F$13/1.54*'[1]ITO glass'!P14</f>
        <v>0.68711502629999976</v>
      </c>
      <c r="R13" s="15">
        <f>$F$13/1.54*'[1]ITO glass'!Q14</f>
        <v>8.2522552699999981E-3</v>
      </c>
      <c r="S13" s="15">
        <f>$F$13/1.54*'[1]ITO glass'!R14</f>
        <v>1.0550032339999995E-4</v>
      </c>
      <c r="T13" s="15">
        <f>$F$13/1.54*'[1]ITO glass'!S14</f>
        <v>16.551815009999995</v>
      </c>
      <c r="U13" s="15">
        <f>$F$13/1.54*'[1]ITO glass'!T14</f>
        <v>1.6734018999999996E-2</v>
      </c>
      <c r="V13" s="15">
        <f>$F$13/1.54*'[1]ITO glass'!U14</f>
        <v>6.6525372399999982</v>
      </c>
      <c r="W13" s="15">
        <f>$F$13/1.54*'[1]ITO glass'!V14</f>
        <v>1.5045233709999994E-3</v>
      </c>
      <c r="X13" s="15">
        <f>$F$13/1.54*'[1]ITO glass'!W14</f>
        <v>6.4124742969999995E-2</v>
      </c>
      <c r="Y13" s="15">
        <f>$F$13/1.54*'[1]ITO glass'!X14</f>
        <v>2.6055490221999996E-4</v>
      </c>
      <c r="Z13" s="15">
        <f>$F$13/1.54*'[1]ITO glass'!Y14</f>
        <v>1.3754312986999998E-7</v>
      </c>
      <c r="AA13" s="15">
        <f>$F$13/1.54*'[1]ITO glass'!Z14</f>
        <v>1.9945352209999995E-3</v>
      </c>
      <c r="AB13" s="15">
        <f>$F$13/1.54*'[1]ITO glass'!AA14</f>
        <v>4.886430722999999E-3</v>
      </c>
      <c r="AC13" s="15">
        <f>$F$13/1.54*'[1]ITO glass'!AB14</f>
        <v>7.216869110999999E-3</v>
      </c>
      <c r="AD13" s="15">
        <f>$F$13/1.54*'[1]ITO glass'!AC14</f>
        <v>7.8770027929999981E-4</v>
      </c>
      <c r="AE13" s="15">
        <f>$F$13/1.54*'[1]ITO glass'!AD14</f>
        <v>1.5844954199999996E-3</v>
      </c>
      <c r="AF13" s="15">
        <f>$F$13/1.54*'[1]ITO glass'!AE14</f>
        <v>1.0150023859999999E-3</v>
      </c>
      <c r="AG13" s="15">
        <f>$F$13/1.54*'[1]ITO glass'!AF14</f>
        <v>4.8907124689999991E-2</v>
      </c>
      <c r="AH13" s="15">
        <f>$F$13/1.54*'[1]ITO glass'!AG14</f>
        <v>0.17239188979999995</v>
      </c>
      <c r="AI13" s="15">
        <f>$F$13/1.54*'[1]ITO glass'!AH14</f>
        <v>8.5370339059999981E-2</v>
      </c>
      <c r="AJ13" s="15"/>
    </row>
    <row r="14" spans="1:36">
      <c r="A14" s="42" t="s">
        <v>8</v>
      </c>
      <c r="B14" s="39"/>
      <c r="C14" s="3"/>
      <c r="D14" s="3"/>
      <c r="E14" s="3"/>
      <c r="F14" s="8"/>
      <c r="G14" s="3"/>
      <c r="H14" s="3"/>
      <c r="I14" s="3"/>
      <c r="J14" s="3"/>
      <c r="K14" s="3"/>
      <c r="L14" s="6" t="s">
        <v>70</v>
      </c>
      <c r="M14" s="15">
        <f>$F$15*[2]production!D134</f>
        <v>8.8120058880000011E-3</v>
      </c>
      <c r="N14" s="15">
        <f>$F$15*[2]production!M134</f>
        <v>0.1232730025314816</v>
      </c>
      <c r="O14" s="15">
        <f>$F$15*[2]production!N134</f>
        <v>3.6717854208000004E-4</v>
      </c>
      <c r="P14" s="15">
        <f>$F$15*[2]production!O134</f>
        <v>8.3171988480000014E-3</v>
      </c>
      <c r="Q14" s="15">
        <f>$F$15*[2]production!P134</f>
        <v>2.3912501760000003E-3</v>
      </c>
      <c r="R14" s="15">
        <f>$F$15*[2]production!Q134</f>
        <v>9.0784404480000007E-4</v>
      </c>
      <c r="S14" s="15">
        <f>$F$15*[2]production!R134</f>
        <v>1.3959267840000002E-5</v>
      </c>
      <c r="T14" s="15">
        <f>$F$15*[2]production!S134</f>
        <v>1.0426472448000002</v>
      </c>
      <c r="U14" s="15">
        <f>$F$15*[2]production!T134</f>
        <v>5.4667931136000007E-4</v>
      </c>
      <c r="V14" s="15">
        <f>$F$15*[2]production!U134</f>
        <v>1.0454384640000001</v>
      </c>
      <c r="W14" s="15">
        <f>$F$15*[2]production!V134</f>
        <v>2.3535687168000003E-5</v>
      </c>
      <c r="X14" s="15">
        <f>$F$15*[2]production!W134</f>
        <v>1.81429248E-4</v>
      </c>
      <c r="Y14" s="15">
        <f>$F$15*[2]production!X134</f>
        <v>3.0564484608000003E-6</v>
      </c>
      <c r="Z14" s="15">
        <f>$F$15*[2]production!Y134</f>
        <v>8.1122979840000009E-10</v>
      </c>
      <c r="AA14" s="15">
        <f>$F$15*[2]production!Z134</f>
        <v>1.8892113408000002E-4</v>
      </c>
      <c r="AB14" s="15">
        <f>$F$15*[2]production!AA134</f>
        <v>1.3106042880000002E-4</v>
      </c>
      <c r="AC14" s="15">
        <f>$F$15*[2]production!AB134</f>
        <v>8.7092382720000013E-4</v>
      </c>
      <c r="AD14" s="15">
        <f>$F$15*[2]production!AC134</f>
        <v>1.1959105536000002E-5</v>
      </c>
      <c r="AE14" s="15">
        <f>$F$15*[2]production!AD134</f>
        <v>2.7028517376000003E-4</v>
      </c>
      <c r="AF14" s="15">
        <f>$F$15*[2]production!AE134</f>
        <v>3.7690974720000005E-5</v>
      </c>
      <c r="AG14" s="15">
        <f>$F$15*[2]production!AF134</f>
        <v>1.0670704128E-3</v>
      </c>
      <c r="AH14" s="15">
        <f>$F$15*[2]production!AG134</f>
        <v>7.8655288320000002E-3</v>
      </c>
      <c r="AI14" s="15">
        <f>$F$15*[2]production!AH134</f>
        <v>2.9507627520000001E-4</v>
      </c>
    </row>
    <row r="15" spans="1:36">
      <c r="A15" s="6" t="s">
        <v>70</v>
      </c>
      <c r="B15" s="39">
        <v>70</v>
      </c>
      <c r="C15" s="3">
        <v>0.8</v>
      </c>
      <c r="D15" s="3">
        <v>6840</v>
      </c>
      <c r="E15" s="3">
        <v>0.5</v>
      </c>
      <c r="F15" s="8">
        <f>B15/1000000000*C15*D15/E15/75*59/0.95</f>
        <v>6.3436800000000006E-4</v>
      </c>
      <c r="G15" s="3" t="s">
        <v>22</v>
      </c>
      <c r="H15" s="3"/>
      <c r="I15" s="3"/>
      <c r="J15" s="3"/>
      <c r="K15" s="3"/>
      <c r="L15" s="6" t="s">
        <v>66</v>
      </c>
      <c r="M15" s="15">
        <f>$F$19*[1]PbI2!D18</f>
        <v>3.7615529770640022E-3</v>
      </c>
      <c r="N15" s="15">
        <f>$F$19*[1]PbI2!M18</f>
        <v>4.472927890759943E-2</v>
      </c>
      <c r="O15" s="15">
        <f>$F$19*[1]PbI2!N18</f>
        <v>8.627760232184571E-4</v>
      </c>
      <c r="P15" s="15">
        <f>$F$19*[1]PbI2!O18</f>
        <v>3.2124886312535884E-3</v>
      </c>
      <c r="Q15" s="15">
        <f>$F$19*[1]PbI2!P18</f>
        <v>8.5268134776706177E-4</v>
      </c>
      <c r="R15" s="15">
        <f>$F$19*[1]PbI2!Q18</f>
        <v>5.8731843372568069E-5</v>
      </c>
      <c r="S15" s="15">
        <f>$F$19*[1]PbI2!R18</f>
        <v>1.6305720956388424E-6</v>
      </c>
      <c r="T15" s="15">
        <f>$F$19*[1]PbI2!S18</f>
        <v>0.12851374749916886</v>
      </c>
      <c r="U15" s="15">
        <f>$F$19*[1]PbI2!T18</f>
        <v>1.5790866691612631E-4</v>
      </c>
      <c r="V15" s="15">
        <f>$F$19*[1]PbI2!U18</f>
        <v>6.4450691056375131E-2</v>
      </c>
      <c r="W15" s="15">
        <f>$F$19*[1]PbI2!V18</f>
        <v>4.2513817580592057E-6</v>
      </c>
      <c r="X15" s="15">
        <f>$F$19*[1]PbI2!W18</f>
        <v>5.2103006417646765E-4</v>
      </c>
      <c r="Y15" s="15">
        <f>$F$19*[1]PbI2!X18</f>
        <v>5.4650269239401167E-7</v>
      </c>
      <c r="Z15" s="15">
        <f>$F$19*[1]PbI2!Y18</f>
        <v>3.6778454932801263E-10</v>
      </c>
      <c r="AA15" s="15">
        <f>$F$19*[1]PbI2!Z18</f>
        <v>9.1045799677784732E-6</v>
      </c>
      <c r="AB15" s="15">
        <f>$F$19*[1]PbI2!AA18</f>
        <v>1.2815095554052926E-5</v>
      </c>
      <c r="AC15" s="15">
        <f>$F$19*[1]PbI2!AB18</f>
        <v>2.5757205705270191E-5</v>
      </c>
      <c r="AD15" s="15">
        <f>$F$19*[1]PbI2!AC18</f>
        <v>4.4311570671526525E-6</v>
      </c>
      <c r="AE15" s="15">
        <f>$F$19*[1]PbI2!AD18</f>
        <v>3.3134224651253246E-5</v>
      </c>
      <c r="AF15" s="15">
        <f>$F$19*[1]PbI2!AE18</f>
        <v>9.6753862499580139E-6</v>
      </c>
      <c r="AG15" s="15">
        <f>$F$19*[1]PbI2!AF18</f>
        <v>1.5756541441360261E-4</v>
      </c>
      <c r="AH15" s="15">
        <f>$F$19*[1]PbI2!AG18</f>
        <v>1.0059093195516099E-3</v>
      </c>
      <c r="AI15" s="15">
        <f>$F$19*[1]PbI2!AH18</f>
        <v>1.2642887287286957E-4</v>
      </c>
      <c r="AJ15" s="15"/>
    </row>
    <row r="16" spans="1:36">
      <c r="A16" s="44" t="s">
        <v>113</v>
      </c>
      <c r="B16" s="45"/>
      <c r="C16" s="44"/>
      <c r="D16" s="44"/>
      <c r="E16" s="44"/>
      <c r="F16" s="46">
        <f>20/10*10000/1000*1.784/1000*'energy inventory'!D7/60</f>
        <v>7.568484848484848E-2</v>
      </c>
      <c r="G16" s="44"/>
      <c r="H16" s="35"/>
      <c r="I16" s="35"/>
      <c r="J16" s="35"/>
      <c r="K16" s="35"/>
      <c r="L16" s="6" t="s">
        <v>20</v>
      </c>
      <c r="M16" s="15">
        <f>$F$20*[3]production!D75</f>
        <v>5.5650324248804721E-3</v>
      </c>
      <c r="N16" s="15">
        <f>$F$20*[3]production!M75</f>
        <v>0.15136487547183283</v>
      </c>
      <c r="O16" s="15">
        <f>$F$20*[3]production!N75</f>
        <v>2.2649518589309763E-4</v>
      </c>
      <c r="P16" s="15">
        <f>$F$20*[3]production!O75</f>
        <v>5.0371595742889153E-3</v>
      </c>
      <c r="Q16" s="15">
        <f>$F$20*[3]production!P75</f>
        <v>3.3872165412866429E-3</v>
      </c>
      <c r="R16" s="15">
        <f>$F$20*[3]production!Q75</f>
        <v>7.0877724938861063E-5</v>
      </c>
      <c r="S16" s="15">
        <f>$F$20*[3]production!R75</f>
        <v>1.9120317088210361E-6</v>
      </c>
      <c r="T16" s="15">
        <f>$F$20*[3]production!S75</f>
        <v>0.11545711232116933</v>
      </c>
      <c r="U16" s="15">
        <f>$F$20*[3]production!T75</f>
        <v>4.9854225889324846E-4</v>
      </c>
      <c r="V16" s="15">
        <f>$F$20*[3]production!U75</f>
        <v>7.5005013770678614E-2</v>
      </c>
      <c r="W16" s="15">
        <f>$F$20*[3]production!V75</f>
        <v>2.4306658120275149E-5</v>
      </c>
      <c r="X16" s="15">
        <f>$F$20*[3]production!W75</f>
        <v>3.2434810819693396E-4</v>
      </c>
      <c r="Y16" s="15">
        <f>$F$20*[3]production!X75</f>
        <v>2.1268568980171944E-6</v>
      </c>
      <c r="Z16" s="15">
        <f>$F$20*[3]production!Y75</f>
        <v>1.012274963487013E-9</v>
      </c>
      <c r="AA16" s="15">
        <f>$F$20*[3]production!Z75</f>
        <v>1.4038811526473075E-5</v>
      </c>
      <c r="AB16" s="15">
        <f>$F$20*[3]production!AA75</f>
        <v>1.7029053680118831E-5</v>
      </c>
      <c r="AC16" s="15">
        <f>$F$20*[3]production!AB75</f>
        <v>3.5768539876119071E-5</v>
      </c>
      <c r="AD16" s="15">
        <f>$F$20*[3]production!AC75</f>
        <v>3.5768539876119071E-5</v>
      </c>
      <c r="AE16" s="15">
        <f>$F$20*[3]production!AD75</f>
        <v>4.2986432833176044E-5</v>
      </c>
      <c r="AF16" s="15">
        <f>$F$20*[3]production!AE75</f>
        <v>1.5045154241639142E-5</v>
      </c>
      <c r="AG16" s="15">
        <f>$F$20*[3]production!AF75</f>
        <v>2.2412228656471997E-4</v>
      </c>
      <c r="AH16" s="15">
        <f>$F$20*[3]production!AG75</f>
        <v>9.9535346827645107E-4</v>
      </c>
      <c r="AI16" s="15">
        <f>$F$20*[3]production!AH75</f>
        <v>4.2117018079254072E-4</v>
      </c>
      <c r="AJ16" s="15"/>
    </row>
    <row r="17" spans="1:36">
      <c r="A17" s="44" t="s">
        <v>114</v>
      </c>
      <c r="B17" s="45"/>
      <c r="C17" s="44"/>
      <c r="D17" s="44"/>
      <c r="E17" s="44"/>
      <c r="F17" s="46">
        <f>H17*1.2</f>
        <v>2.0999768275862071E-4</v>
      </c>
      <c r="G17" s="44"/>
      <c r="H17" s="8">
        <f>F15/58*16</f>
        <v>1.7499806896551726E-4</v>
      </c>
      <c r="I17" s="35"/>
      <c r="J17" s="35"/>
      <c r="K17" s="35"/>
      <c r="L17" s="6" t="s">
        <v>11</v>
      </c>
      <c r="M17" s="15">
        <f>$F$21*[1]CH3NH3I!D17</f>
        <v>4.0852260795166184E-2</v>
      </c>
      <c r="N17" s="15">
        <f>$F$21*[1]CH3NH3I!M17</f>
        <v>0.86776101755973556</v>
      </c>
      <c r="O17" s="15">
        <f>$F$21*[1]CH3NH3I!N17</f>
        <v>4.0807091098061668E-3</v>
      </c>
      <c r="P17" s="15">
        <f>$F$21*[1]CH3NH3I!O17</f>
        <v>3.738459913606404E-2</v>
      </c>
      <c r="Q17" s="15">
        <f>$F$21*[1]CH3NH3I!P17</f>
        <v>1.7241501975391049E-2</v>
      </c>
      <c r="R17" s="15">
        <f>$F$21*[1]CH3NH3I!Q17</f>
        <v>1.4092483494768696E-3</v>
      </c>
      <c r="S17" s="15">
        <f>$F$21*[1]CH3NH3I!R17</f>
        <v>3.3175438082005527E-5</v>
      </c>
      <c r="T17" s="15">
        <f>$F$21*[1]CH3NH3I!S17</f>
        <v>1.6533108491869659</v>
      </c>
      <c r="U17" s="15">
        <f>$F$21*[1]CH3NH3I!T17</f>
        <v>3.9967689708219779E-3</v>
      </c>
      <c r="V17" s="15">
        <f>$F$21*[1]CH3NH3I!U17</f>
        <v>1.2576395496490516</v>
      </c>
      <c r="W17" s="15">
        <f>$F$21*[1]CH3NH3I!V17</f>
        <v>5.3104956518999123E-5</v>
      </c>
      <c r="X17" s="15">
        <f>$F$21*[1]CH3NH3I!W17</f>
        <v>2.9865084470904139E-3</v>
      </c>
      <c r="Y17" s="15">
        <f>$F$21*[1]CH3NH3I!X17</f>
        <v>7.8853272121470548E-6</v>
      </c>
      <c r="Z17" s="15">
        <f>$F$21*[1]CH3NH3I!Y17</f>
        <v>1.3516803208679665E-8</v>
      </c>
      <c r="AA17" s="15">
        <f>$F$21*[1]CH3NH3I!Z17</f>
        <v>1.220135366614554E-4</v>
      </c>
      <c r="AB17" s="15">
        <f>$F$21*[1]CH3NH3I!AA17</f>
        <v>1.6429918733137724E-4</v>
      </c>
      <c r="AC17" s="15">
        <f>$F$21*[1]CH3NH3I!AB17</f>
        <v>3.0963374696798234E-4</v>
      </c>
      <c r="AD17" s="15">
        <f>$F$21*[1]CH3NH3I!AC17</f>
        <v>5.8744673418272689E-5</v>
      </c>
      <c r="AE17" s="15">
        <f>$F$21*[1]CH3NH3I!AD17</f>
        <v>5.643730133631364E-4</v>
      </c>
      <c r="AF17" s="15">
        <f>$F$21*[1]CH3NH3I!AE17</f>
        <v>7.330468088897616E-4</v>
      </c>
      <c r="AG17" s="15">
        <f>$F$21*[1]CH3NH3I!AF17</f>
        <v>2.34112586574119E-3</v>
      </c>
      <c r="AH17" s="15">
        <f>$F$21*[1]CH3NH3I!AG17</f>
        <v>1.290258427217532E-2</v>
      </c>
      <c r="AI17" s="15">
        <f>$F$21*[1]CH3NH3I!AH17</f>
        <v>2.2060127776507678E-3</v>
      </c>
      <c r="AJ17" s="15"/>
    </row>
    <row r="18" spans="1:36">
      <c r="A18" s="42" t="s">
        <v>9</v>
      </c>
      <c r="B18" s="39"/>
      <c r="C18" s="3"/>
      <c r="D18" s="3"/>
      <c r="E18" s="3"/>
      <c r="F18" s="8"/>
      <c r="G18" s="3"/>
      <c r="H18" s="3"/>
      <c r="I18" s="3"/>
      <c r="J18" s="3"/>
      <c r="K18" s="3"/>
      <c r="L18" s="6" t="s">
        <v>12</v>
      </c>
      <c r="M18" s="15">
        <f>$F$22*[1]PbI2!D18</f>
        <v>6.0750870841095503E-5</v>
      </c>
      <c r="N18" s="15">
        <f>$F$22*[1]PbI2!M18</f>
        <v>7.223991426678969E-4</v>
      </c>
      <c r="O18" s="15">
        <f>$F$22*[1]PbI2!N18</f>
        <v>1.3934243401843408E-5</v>
      </c>
      <c r="P18" s="15">
        <f>$F$22*[1]PbI2!O18</f>
        <v>5.1883220336325944E-5</v>
      </c>
      <c r="Q18" s="15">
        <f>$F$22*[1]PbI2!P18</f>
        <v>1.3771209588875776E-5</v>
      </c>
      <c r="R18" s="15">
        <f>$F$22*[1]PbI2!Q18</f>
        <v>9.4854722311295639E-7</v>
      </c>
      <c r="S18" s="15">
        <f>$F$22*[1]PbI2!R18</f>
        <v>2.6334515393843482E-8</v>
      </c>
      <c r="T18" s="15">
        <f>$F$22*[1]PbI2!S18</f>
        <v>2.0755581865341695E-3</v>
      </c>
      <c r="U18" s="15">
        <f>$F$22*[1]PbI2!T18</f>
        <v>2.5503001252421111E-6</v>
      </c>
      <c r="V18" s="15">
        <f>$F$22*[1]PbI2!U18</f>
        <v>1.0409093350165447E-3</v>
      </c>
      <c r="W18" s="15">
        <f>$F$22*[1]PbI2!V18</f>
        <v>6.866183878171386E-8</v>
      </c>
      <c r="X18" s="15">
        <f>$F$22*[1]PbI2!W18</f>
        <v>8.4148835138348546E-6</v>
      </c>
      <c r="Y18" s="15">
        <f>$F$22*[1]PbI2!X18</f>
        <v>8.8262785829095207E-9</v>
      </c>
      <c r="Z18" s="15">
        <f>$F$22*[1]PbI2!Y18</f>
        <v>5.9398955138513385E-12</v>
      </c>
      <c r="AA18" s="15">
        <f>$F$22*[1]PbI2!Z18</f>
        <v>1.470432996843379E-7</v>
      </c>
      <c r="AB18" s="15">
        <f>$F$22*[1]PbI2!AA18</f>
        <v>2.0696989237360938E-7</v>
      </c>
      <c r="AC18" s="15">
        <f>$F$22*[1]PbI2!AB18</f>
        <v>4.1599113094234462E-7</v>
      </c>
      <c r="AD18" s="15">
        <f>$F$22*[1]PbI2!AC18</f>
        <v>7.156529558525955E-8</v>
      </c>
      <c r="AE18" s="15">
        <f>$F$22*[1]PbI2!AD18</f>
        <v>5.3513349791481055E-7</v>
      </c>
      <c r="AF18" s="15">
        <f>$F$22*[1]PbI2!AE18</f>
        <v>1.5626209280925662E-7</v>
      </c>
      <c r="AG18" s="15">
        <f>$F$22*[1]PbI2!AF18</f>
        <v>2.5447564339598531E-6</v>
      </c>
      <c r="AH18" s="15">
        <f>$F$22*[1]PbI2!AG18</f>
        <v>1.6245914260027803E-5</v>
      </c>
      <c r="AI18" s="15">
        <f>$F$22*[1]PbI2!AH18</f>
        <v>2.0418864690508641E-6</v>
      </c>
      <c r="AJ18" s="15"/>
    </row>
    <row r="19" spans="1:36">
      <c r="A19" s="6" t="s">
        <v>10</v>
      </c>
      <c r="B19" s="39">
        <f>300/H21*H19</f>
        <v>100.34321945282694</v>
      </c>
      <c r="C19" s="3">
        <v>0.8</v>
      </c>
      <c r="D19" s="3">
        <v>6160</v>
      </c>
      <c r="E19" s="3">
        <v>0.6</v>
      </c>
      <c r="F19" s="8">
        <f>B19/1000000000*C19*D19/E19</f>
        <v>8.241523091058854E-4</v>
      </c>
      <c r="G19" s="3" t="s">
        <v>23</v>
      </c>
      <c r="H19" s="3">
        <f>(19/159+1/67.5)*461/6160/0.8</f>
        <v>1.2564464274369934E-2</v>
      </c>
      <c r="I19" s="3"/>
      <c r="J19" s="3"/>
      <c r="K19" s="3"/>
      <c r="L19" s="6" t="s">
        <v>21</v>
      </c>
      <c r="M19" s="15">
        <f>$F$23*[3]production!D54</f>
        <v>5.8794098163324465E-3</v>
      </c>
      <c r="N19" s="15">
        <f>$F$23*[3]production!M54</f>
        <v>0.17467875691966225</v>
      </c>
      <c r="O19" s="15">
        <f>$F$23*[3]production!N54</f>
        <v>4.6855485203895477E-3</v>
      </c>
      <c r="P19" s="15">
        <f>$F$23*[3]production!O54</f>
        <v>5.1194889562477504E-3</v>
      </c>
      <c r="Q19" s="15">
        <f>$F$23*[3]production!P54</f>
        <v>1.4400689333644797E-3</v>
      </c>
      <c r="R19" s="15">
        <f>$F$23*[3]production!Q54</f>
        <v>1.4335577264372752E-4</v>
      </c>
      <c r="S19" s="15">
        <f>$F$23*[3]production!R54</f>
        <v>2.3849080701817805E-6</v>
      </c>
      <c r="T19" s="15">
        <f>$F$23*[3]production!S54</f>
        <v>7.0228617683227954E-2</v>
      </c>
      <c r="U19" s="15">
        <f>$F$23*[3]production!T54</f>
        <v>3.6568618414645052E-4</v>
      </c>
      <c r="V19" s="15">
        <f>$F$23*[3]production!U54</f>
        <v>5.6424858997554603E-2</v>
      </c>
      <c r="W19" s="15">
        <f>$F$23*[3]production!V54</f>
        <v>2.6217899789721393E-5</v>
      </c>
      <c r="X19" s="15">
        <f>$F$23*[3]production!W54</f>
        <v>2.2878280752864941E-4</v>
      </c>
      <c r="Y19" s="15">
        <f>$F$23*[3]production!X54</f>
        <v>4.4141782187783187E-6</v>
      </c>
      <c r="Z19" s="15">
        <f>$F$23*[3]production!Y54</f>
        <v>3.7376428151484672E-10</v>
      </c>
      <c r="AA19" s="15">
        <f>$F$23*[3]production!Z54</f>
        <v>1.645318978824614E-5</v>
      </c>
      <c r="AB19" s="15">
        <f>$F$23*[3]production!AA54</f>
        <v>1.7268981004544909E-5</v>
      </c>
      <c r="AC19" s="15">
        <f>$F$23*[3]production!AB54</f>
        <v>5.4043017495796598E-5</v>
      </c>
      <c r="AD19" s="15">
        <f>$F$23*[3]production!AC54</f>
        <v>3.4505195935520666E-5</v>
      </c>
      <c r="AE19" s="15">
        <f>$F$23*[3]production!AD54</f>
        <v>2.5111834767829185E-4</v>
      </c>
      <c r="AF19" s="15">
        <f>$F$23*[3]production!AE54</f>
        <v>1.5697889784690427E-3</v>
      </c>
      <c r="AG19" s="15">
        <f>$F$23*[3]production!AF54</f>
        <v>1.4343558743831906E-3</v>
      </c>
      <c r="AH19" s="15">
        <f>$F$23*[3]production!AG54</f>
        <v>6.9258237812141359E-4</v>
      </c>
      <c r="AI19" s="15">
        <f>$F$23*[3]production!AH54</f>
        <v>1.8328837461147277E-4</v>
      </c>
      <c r="AJ19" s="15"/>
    </row>
    <row r="20" spans="1:36">
      <c r="A20" s="6" t="s">
        <v>20</v>
      </c>
      <c r="B20" s="39"/>
      <c r="C20" s="3"/>
      <c r="D20" s="3">
        <v>944</v>
      </c>
      <c r="E20" s="3"/>
      <c r="F20" s="8">
        <f>F19/400*D20</f>
        <v>1.9449994494898895E-3</v>
      </c>
      <c r="G20" s="19" t="s">
        <v>23</v>
      </c>
      <c r="H20" s="3">
        <f>(19/1000+1/1000)/0.8</f>
        <v>2.4999999999999998E-2</v>
      </c>
      <c r="I20" s="3">
        <f>19/1000/0.8</f>
        <v>2.3749999999999997E-2</v>
      </c>
      <c r="J20" s="3"/>
      <c r="K20" s="3"/>
      <c r="L20" s="65" t="s">
        <v>119</v>
      </c>
      <c r="M20" s="69">
        <f>$F$24*[2]production!D69</f>
        <v>0.85753647703738045</v>
      </c>
      <c r="N20" s="69">
        <f>$F$24*[2]production!M69</f>
        <v>11.683460563708593</v>
      </c>
      <c r="O20" s="69">
        <f>$F$24*[2]production!N69</f>
        <v>3.3725230770223429E-2</v>
      </c>
      <c r="P20" s="69">
        <f>$F$24*[2]production!O69</f>
        <v>0.79157493982244909</v>
      </c>
      <c r="Q20" s="69">
        <f>$F$24*[2]production!P69</f>
        <v>0.22406851369276834</v>
      </c>
      <c r="R20" s="69">
        <f>$F$24*[2]production!Q69</f>
        <v>1.0353862981256063E-2</v>
      </c>
      <c r="S20" s="69">
        <f>$F$24*[2]production!R69</f>
        <v>4.2056638209320987E-4</v>
      </c>
      <c r="T20" s="69">
        <f>$F$24*[2]production!S69</f>
        <v>13.999355517956241</v>
      </c>
      <c r="U20" s="69">
        <f>$F$24*[2]production!T69</f>
        <v>8.7049157839909588E-2</v>
      </c>
      <c r="V20" s="69">
        <f>$F$24*[2]production!U69</f>
        <v>11.969966259575973</v>
      </c>
      <c r="W20" s="69">
        <f>$F$24*[2]production!V69</f>
        <v>7.8248812224761212E-4</v>
      </c>
      <c r="X20" s="69">
        <f>$F$24*[2]production!W69</f>
        <v>8.7567361894378207E-3</v>
      </c>
      <c r="Y20" s="69">
        <f>$F$24*[2]production!X69</f>
        <v>9.3004855141971441E-5</v>
      </c>
      <c r="Z20" s="69">
        <f>$F$24*[2]production!Y69</f>
        <v>3.8883550706782517E-8</v>
      </c>
      <c r="AA20" s="69">
        <f>$F$24*[2]production!Z69</f>
        <v>2.8897174685279898E-3</v>
      </c>
      <c r="AB20" s="69">
        <f>$F$24*[2]production!AA69</f>
        <v>2.16459672470465E-3</v>
      </c>
      <c r="AC20" s="69">
        <f>$F$24*[2]production!AB69</f>
        <v>4.2357707466318594E-3</v>
      </c>
      <c r="AD20" s="69">
        <f>$F$24*[2]production!AC69</f>
        <v>2.7143674346039265E-4</v>
      </c>
      <c r="AE20" s="69">
        <f>$F$24*[2]production!AD69</f>
        <v>5.1546706122318443E-3</v>
      </c>
      <c r="AF20" s="69">
        <f>$F$24*[2]production!AE69</f>
        <v>3.145170171435055E-3</v>
      </c>
      <c r="AG20" s="69">
        <f>$F$24*[2]production!AF69</f>
        <v>3.2781880431630904E-2</v>
      </c>
      <c r="AH20" s="69">
        <f>$F$24*[2]production!AG69</f>
        <v>0.13002360111753239</v>
      </c>
      <c r="AI20" s="69">
        <f>$F$24*[2]production!AH69</f>
        <v>2.7275050021820037E-2</v>
      </c>
    </row>
    <row r="21" spans="1:36">
      <c r="A21" s="6" t="s">
        <v>11</v>
      </c>
      <c r="B21" s="39">
        <f>300/H21*I20</f>
        <v>189.67394151981438</v>
      </c>
      <c r="C21" s="3">
        <v>0.8</v>
      </c>
      <c r="D21" s="3">
        <v>1000</v>
      </c>
      <c r="E21" s="3">
        <v>0.6</v>
      </c>
      <c r="F21" s="8">
        <f>B21/1000000000*C21*D21/E21</f>
        <v>2.5289858869308591E-4</v>
      </c>
      <c r="G21" s="19" t="s">
        <v>23</v>
      </c>
      <c r="H21" s="3">
        <f>SUM(H19:H20)</f>
        <v>3.7564464274369935E-2</v>
      </c>
      <c r="I21" s="3"/>
      <c r="J21" s="3"/>
      <c r="K21" s="3"/>
      <c r="L21" s="6" t="s">
        <v>14</v>
      </c>
      <c r="M21" s="15">
        <f>$F$26*[1]PCBM_new!D16</f>
        <v>6.819169729874415E-2</v>
      </c>
      <c r="N21" s="15">
        <f>$F$26*[1]PCBM_new!M16</f>
        <v>2.0963550633835544</v>
      </c>
      <c r="O21" s="15">
        <f>$F$26*[1]PCBM_new!N16</f>
        <v>7.6399552434711526E-2</v>
      </c>
      <c r="P21" s="15">
        <f>$F$26*[1]PCBM_new!O16</f>
        <v>5.9706772602486365E-2</v>
      </c>
      <c r="Q21" s="15">
        <f>$F$26*[1]PCBM_new!P16</f>
        <v>3.4806289101984487E-2</v>
      </c>
      <c r="R21" s="15">
        <f>$F$26*[1]PCBM_new!Q16</f>
        <v>5.3775961105543299E-4</v>
      </c>
      <c r="S21" s="15">
        <f>$F$26*[1]PCBM_new!R16</f>
        <v>1.327158882886124E-5</v>
      </c>
      <c r="T21" s="15">
        <f>$F$26*[1]PCBM_new!S16</f>
        <v>0.71650173510440029</v>
      </c>
      <c r="U21" s="15">
        <f>$F$26*[1]PCBM_new!T16</f>
        <v>2.5374355056999236E-3</v>
      </c>
      <c r="V21" s="15">
        <f>$F$26*[1]PCBM_new!U16</f>
        <v>0.47423459329306</v>
      </c>
      <c r="W21" s="15">
        <f>$F$26*[1]PCBM_new!V16</f>
        <v>1.1953303231434605E-4</v>
      </c>
      <c r="X21" s="15">
        <f>$F$26*[1]PCBM_new!W16</f>
        <v>1.2616109833757366E-3</v>
      </c>
      <c r="Y21" s="15">
        <f>$F$26*[1]PCBM_new!X16</f>
        <v>8.9207254500477487E-6</v>
      </c>
      <c r="Z21" s="15">
        <f>$F$26*[1]PCBM_new!Y16</f>
        <v>4.1859545047078205E-9</v>
      </c>
      <c r="AA21" s="15">
        <f>$F$26*[1]PCBM_new!Z16</f>
        <v>2.3364182419567136E-4</v>
      </c>
      <c r="AB21" s="15">
        <f>$F$26*[1]PCBM_new!AA16</f>
        <v>4.1986226704285551E-4</v>
      </c>
      <c r="AC21" s="15">
        <f>$F$26*[1]PCBM_new!AB16</f>
        <v>3.9109659041271786E-4</v>
      </c>
      <c r="AD21" s="15">
        <f>$F$26*[1]PCBM_new!AC16</f>
        <v>5.9999899116636124E-5</v>
      </c>
      <c r="AE21" s="15">
        <f>$F$26*[1]PCBM_new!AD16</f>
        <v>1.2705158632673277E-3</v>
      </c>
      <c r="AF21" s="15">
        <f>$F$26*[1]PCBM_new!AE16</f>
        <v>1.4390130773760741E-4</v>
      </c>
      <c r="AG21" s="15">
        <f>$F$26*[1]PCBM_new!AF16</f>
        <v>4.1714776626245644E-3</v>
      </c>
      <c r="AH21" s="15">
        <f>$F$26*[1]PCBM_new!AG16</f>
        <v>7.3165210516319976E-3</v>
      </c>
      <c r="AI21" s="15">
        <f>$F$26*[1]PCBM_new!AH16</f>
        <v>4.2322515920880585E-3</v>
      </c>
      <c r="AJ21" s="15"/>
    </row>
    <row r="22" spans="1:36">
      <c r="A22" s="6" t="s">
        <v>12</v>
      </c>
      <c r="B22" s="39">
        <f>300/H21*H20-B21</f>
        <v>9.9828390273586649</v>
      </c>
      <c r="C22" s="3">
        <v>0.8</v>
      </c>
      <c r="D22" s="3">
        <v>1000</v>
      </c>
      <c r="E22" s="3">
        <v>0.6</v>
      </c>
      <c r="F22" s="8">
        <f>B22/1000000000*C22*D22/E22</f>
        <v>1.331045203647822E-5</v>
      </c>
      <c r="G22" s="19" t="s">
        <v>23</v>
      </c>
      <c r="H22" s="3"/>
      <c r="I22" s="3"/>
      <c r="J22" s="3"/>
      <c r="K22" s="3"/>
      <c r="L22" s="6" t="s">
        <v>15</v>
      </c>
      <c r="M22" s="15">
        <f>M52+M53</f>
        <v>3.0227406682730926E-4</v>
      </c>
      <c r="N22" s="15">
        <f t="shared" ref="N22:AI22" si="0">N52+N53</f>
        <v>4.6933677216494775E-3</v>
      </c>
      <c r="O22" s="15">
        <f t="shared" si="0"/>
        <v>1.0845798216867472E-5</v>
      </c>
      <c r="P22" s="15">
        <f t="shared" si="0"/>
        <v>2.8086561060240971E-4</v>
      </c>
      <c r="Q22" s="15">
        <f t="shared" si="0"/>
        <v>9.9168695903614461E-5</v>
      </c>
      <c r="R22" s="15">
        <f t="shared" si="0"/>
        <v>7.5509824096385555E-6</v>
      </c>
      <c r="S22" s="15">
        <f t="shared" si="0"/>
        <v>1.2834907196787149E-7</v>
      </c>
      <c r="T22" s="15">
        <f t="shared" si="0"/>
        <v>7.3886527389558244E-3</v>
      </c>
      <c r="U22" s="15">
        <f t="shared" si="0"/>
        <v>2.0222046008032132E-5</v>
      </c>
      <c r="V22" s="15">
        <f t="shared" si="0"/>
        <v>6.927617092369478E-3</v>
      </c>
      <c r="W22" s="15">
        <f t="shared" si="0"/>
        <v>2.7178700144578317E-7</v>
      </c>
      <c r="X22" s="15">
        <f t="shared" si="0"/>
        <v>3.1760542072289163E-5</v>
      </c>
      <c r="Y22" s="15">
        <f t="shared" si="0"/>
        <v>5.7563818795180727E-8</v>
      </c>
      <c r="Z22" s="15">
        <f t="shared" si="0"/>
        <v>2.3515443903614459E-11</v>
      </c>
      <c r="AA22" s="15">
        <f t="shared" si="0"/>
        <v>6.0039760481927715E-7</v>
      </c>
      <c r="AB22" s="15">
        <f t="shared" si="0"/>
        <v>8.2823144417670684E-7</v>
      </c>
      <c r="AC22" s="15">
        <f t="shared" si="0"/>
        <v>1.1158690008032129E-6</v>
      </c>
      <c r="AD22" s="15">
        <f t="shared" si="0"/>
        <v>9.0645416867469882E-6</v>
      </c>
      <c r="AE22" s="15">
        <f t="shared" si="0"/>
        <v>3.5072877461847397E-6</v>
      </c>
      <c r="AF22" s="15">
        <f t="shared" si="0"/>
        <v>9.7999153253012036E-7</v>
      </c>
      <c r="AG22" s="15">
        <f t="shared" si="0"/>
        <v>1.6663585718875503E-5</v>
      </c>
      <c r="AH22" s="15">
        <f t="shared" si="0"/>
        <v>6.1039042088353415E-5</v>
      </c>
      <c r="AI22" s="15">
        <f t="shared" si="0"/>
        <v>1.3354867678714862E-5</v>
      </c>
      <c r="AJ22" s="15"/>
    </row>
    <row r="23" spans="1:36">
      <c r="A23" s="6" t="s">
        <v>21</v>
      </c>
      <c r="B23" s="39"/>
      <c r="C23" s="3"/>
      <c r="D23" s="3">
        <v>789</v>
      </c>
      <c r="E23" s="3"/>
      <c r="F23" s="8">
        <f>(F21+F22)/50*D23</f>
        <v>4.2007786627125225E-3</v>
      </c>
      <c r="G23" s="19" t="s">
        <v>23</v>
      </c>
      <c r="H23" s="3"/>
      <c r="I23" s="3"/>
      <c r="J23" s="3"/>
      <c r="K23" s="3"/>
      <c r="L23" s="6" t="s">
        <v>17</v>
      </c>
      <c r="M23" s="15">
        <f>$F$30*[3]production!D116</f>
        <v>5.0437571184000017E-2</v>
      </c>
      <c r="N23" s="15">
        <f>$F$30*[3]production!M116</f>
        <v>0.662321153801261</v>
      </c>
      <c r="O23" s="15">
        <f>$F$30*[3]production!N116</f>
        <v>1.4671699257600005E-3</v>
      </c>
      <c r="P23" s="15">
        <f>$F$30*[3]production!O116</f>
        <v>4.6800352368000009E-2</v>
      </c>
      <c r="Q23" s="15">
        <f>$F$30*[3]production!P116</f>
        <v>1.3496558644800004E-2</v>
      </c>
      <c r="R23" s="15">
        <f>$F$30*[3]production!Q116</f>
        <v>1.6394288803200003E-3</v>
      </c>
      <c r="S23" s="15">
        <f>$F$30*[3]production!R116</f>
        <v>4.9334869584000007E-5</v>
      </c>
      <c r="T23" s="15">
        <f>$F$30*[3]production!S116</f>
        <v>3.3547575600000008</v>
      </c>
      <c r="U23" s="15">
        <f>$F$30*[3]production!T116</f>
        <v>2.9509991280000009E-3</v>
      </c>
      <c r="V23" s="15">
        <f>$F$30*[3]production!U116</f>
        <v>2.0196403920000003</v>
      </c>
      <c r="W23" s="15">
        <f>$F$30*[3]production!V116</f>
        <v>7.8822806832000013E-5</v>
      </c>
      <c r="X23" s="15">
        <f>$F$30*[3]production!W116</f>
        <v>4.5360054432000009E-2</v>
      </c>
      <c r="Y23" s="15">
        <f>$F$30*[3]production!X116</f>
        <v>8.0602397568000007E-6</v>
      </c>
      <c r="Z23" s="15">
        <f>$F$30*[3]production!Y116</f>
        <v>3.0853590768000007E-9</v>
      </c>
      <c r="AA23" s="15">
        <f>$F$30*[3]production!Z116</f>
        <v>1.6817726217600003E-4</v>
      </c>
      <c r="AB23" s="15">
        <f>$F$30*[3]production!AA116</f>
        <v>2.5801520976000006E-4</v>
      </c>
      <c r="AC23" s="15">
        <f>$F$30*[3]production!AB116</f>
        <v>4.202310974400001E-4</v>
      </c>
      <c r="AD23" s="15">
        <f>$F$30*[3]production!AC116</f>
        <v>4.9239867600000013E-4</v>
      </c>
      <c r="AE23" s="15">
        <f>$F$30*[3]production!AD116</f>
        <v>5.6717880912000016E-4</v>
      </c>
      <c r="AF23" s="15">
        <f>$F$30*[3]production!AE116</f>
        <v>6.4528401168000016E-4</v>
      </c>
      <c r="AG23" s="15">
        <f>$F$30*[3]production!AF116</f>
        <v>2.9859462864000007E-3</v>
      </c>
      <c r="AH23" s="15">
        <f>$F$30*[3]production!AG116</f>
        <v>2.4761588544000006E-2</v>
      </c>
      <c r="AI23" s="15">
        <f>$F$30*[3]production!AH116</f>
        <v>3.7235688336000011E-3</v>
      </c>
      <c r="AJ23" s="15"/>
    </row>
    <row r="24" spans="1:36">
      <c r="A24" s="65" t="s">
        <v>119</v>
      </c>
      <c r="B24" s="66"/>
      <c r="C24" s="65"/>
      <c r="D24" s="65"/>
      <c r="E24" s="65"/>
      <c r="F24" s="67">
        <f>'energy inventory'!F9*1000/7.4*4.91/1000</f>
        <v>1.8246621636218918</v>
      </c>
      <c r="G24" s="65"/>
      <c r="H24" s="64"/>
      <c r="I24" s="64"/>
      <c r="J24" s="64"/>
      <c r="K24" s="64"/>
      <c r="L24" s="44" t="s">
        <v>113</v>
      </c>
      <c r="M24" s="47">
        <f>($F$16+$F$31)*[2]production!D46</f>
        <v>0.98799433696969696</v>
      </c>
      <c r="N24" s="47">
        <f>($F$16+$F$31)*[2]production!M46</f>
        <v>14.844249782230303</v>
      </c>
      <c r="O24" s="47">
        <f>($F$16+$F$31)*[2]production!N46</f>
        <v>5.1693616484848479E-2</v>
      </c>
      <c r="P24" s="47">
        <f>($F$16+$F$31)*[2]production!O46</f>
        <v>0.91384697212121202</v>
      </c>
      <c r="Q24" s="47">
        <f>($F$16+$F$31)*[2]production!P46</f>
        <v>0.26242726496969693</v>
      </c>
      <c r="R24" s="47">
        <f>($F$16+$F$31)*[2]production!Q46</f>
        <v>1.2989206690909088E-2</v>
      </c>
      <c r="S24" s="47">
        <f>($F$16+$F$31)*[2]production!R46</f>
        <v>5.3546381575757566E-4</v>
      </c>
      <c r="T24" s="47">
        <f>($F$16+$F$31)*[2]production!S46</f>
        <v>17.200203539393939</v>
      </c>
      <c r="U24" s="47">
        <f>($F$16+$F$31)*[2]production!T46</f>
        <v>0.15223185551515148</v>
      </c>
      <c r="V24" s="47">
        <f>($F$16+$F$31)*[2]production!U46</f>
        <v>14.82469401212121</v>
      </c>
      <c r="W24" s="47">
        <f>($F$16+$F$31)*[2]production!V46</f>
        <v>8.9171672242424225E-4</v>
      </c>
      <c r="X24" s="47">
        <f>($F$16+$F$31)*[2]production!W46</f>
        <v>1.1916146909090907E-2</v>
      </c>
      <c r="Y24" s="47">
        <f>($F$16+$F$31)*[2]production!X46</f>
        <v>1.0862570569696968E-4</v>
      </c>
      <c r="Z24" s="47">
        <f>($F$16+$F$31)*[2]production!Y46</f>
        <v>5.4682303030303027E-8</v>
      </c>
      <c r="AA24" s="47">
        <f>($F$16+$F$31)*[2]production!Z46</f>
        <v>3.0627603878787876E-3</v>
      </c>
      <c r="AB24" s="47">
        <f>($F$16+$F$31)*[2]production!AA46</f>
        <v>2.4366066618181814E-3</v>
      </c>
      <c r="AC24" s="47">
        <f>($F$16+$F$31)*[2]production!AB46</f>
        <v>4.8256443151515147E-3</v>
      </c>
      <c r="AD24" s="47">
        <f>($F$16+$F$31)*[2]production!AC46</f>
        <v>3.306193134545454E-4</v>
      </c>
      <c r="AE24" s="47">
        <f>($F$16+$F$31)*[2]production!AD46</f>
        <v>5.8777502060606054E-3</v>
      </c>
      <c r="AF24" s="47">
        <f>($F$16+$F$31)*[2]production!AE46</f>
        <v>3.8691175757575753E-3</v>
      </c>
      <c r="AG24" s="47">
        <f>($F$16+$F$31)*[2]production!AF46</f>
        <v>3.9110253575757571E-2</v>
      </c>
      <c r="AH24" s="47">
        <f>($F$16+$F$31)*[2]production!AG46</f>
        <v>0.15638954860606061</v>
      </c>
      <c r="AI24" s="47">
        <f>($F$16+$F$31)*[2]production!AH46</f>
        <v>3.2021221430303025E-2</v>
      </c>
      <c r="AJ24" s="15"/>
    </row>
    <row r="25" spans="1:36">
      <c r="A25" s="63" t="s">
        <v>13</v>
      </c>
      <c r="B25" s="39"/>
      <c r="C25" s="3"/>
      <c r="D25" s="3"/>
      <c r="E25" s="3"/>
      <c r="F25" s="8"/>
      <c r="G25" s="3"/>
      <c r="H25" s="3"/>
      <c r="I25" s="3"/>
      <c r="J25" s="3"/>
      <c r="K25" s="3"/>
      <c r="L25" s="44" t="s">
        <v>115</v>
      </c>
      <c r="M25" s="47">
        <f>($F$17+$F$32)*[2]production!D91</f>
        <v>5.9453010977304082E-4</v>
      </c>
      <c r="N25" s="47">
        <f>($F$17+$F$32)*[2]production!M91</f>
        <v>8.0999662531850997E-3</v>
      </c>
      <c r="O25" s="47">
        <f>($F$17+$F$32)*[2]production!N91</f>
        <v>2.338066827644389E-5</v>
      </c>
      <c r="P25" s="47">
        <f>($F$17+$F$32)*[2]production!O91</f>
        <v>5.4880474632827594E-4</v>
      </c>
      <c r="Q25" s="47">
        <f>($F$17+$F$32)*[2]production!P91</f>
        <v>1.5534075447332918E-4</v>
      </c>
      <c r="R25" s="47">
        <f>($F$17+$F$32)*[2]production!Q91</f>
        <v>7.1780287884037624E-6</v>
      </c>
      <c r="S25" s="47">
        <f>($F$17+$F$32)*[2]production!R91</f>
        <v>2.9157824514086524E-7</v>
      </c>
      <c r="T25" s="47">
        <f>($F$17+$F$32)*[2]production!S91</f>
        <v>9.7057228642307217E-3</v>
      </c>
      <c r="U25" s="47">
        <f>($F$17+$F$32)*[2]production!T91</f>
        <v>6.0351456647623834E-5</v>
      </c>
      <c r="V25" s="47">
        <f>($F$17+$F$32)*[2]production!U91</f>
        <v>8.2988272140037626E-3</v>
      </c>
      <c r="W25" s="47">
        <f>($F$17+$F$32)*[2]production!V91</f>
        <v>5.4248049188915373E-7</v>
      </c>
      <c r="X25" s="47">
        <f>($F$17+$F$32)*[2]production!W91</f>
        <v>6.0707823366018811E-6</v>
      </c>
      <c r="Y25" s="47">
        <f>($F$17+$F$32)*[2]production!X91</f>
        <v>6.4477279781717875E-8</v>
      </c>
      <c r="Z25" s="47">
        <f>($F$17+$F$32)*[2]production!Y91</f>
        <v>2.6956883584280881E-11</v>
      </c>
      <c r="AA25" s="47">
        <f>($F$17+$F$32)*[2]production!Z91</f>
        <v>2.0034334598219439E-6</v>
      </c>
      <c r="AB25" s="47">
        <f>($F$17+$F$32)*[2]production!AA91</f>
        <v>1.500705424407273E-6</v>
      </c>
      <c r="AC25" s="47">
        <f>($F$17+$F$32)*[2]production!AB91</f>
        <v>2.9366123370613173E-6</v>
      </c>
      <c r="AD25" s="47">
        <f>($F$17+$F$32)*[2]production!AC91</f>
        <v>1.8818672356032602E-7</v>
      </c>
      <c r="AE25" s="47">
        <f>($F$17+$F$32)*[2]production!AD91</f>
        <v>3.5737056830595614E-6</v>
      </c>
      <c r="AF25" s="47">
        <f>($F$17+$F$32)*[2]production!AE91</f>
        <v>2.1805627766129156E-6</v>
      </c>
      <c r="AG25" s="47">
        <f>($F$17+$F$32)*[2]production!AF91</f>
        <v>2.2727663909356742E-5</v>
      </c>
      <c r="AH25" s="47">
        <f>($F$17+$F$32)*[2]production!AG91</f>
        <v>9.0145722005266471E-5</v>
      </c>
      <c r="AI25" s="47">
        <f>($F$17+$F$32)*[2]production!AH91</f>
        <v>1.8909520772975549E-5</v>
      </c>
      <c r="AJ25" s="15"/>
    </row>
    <row r="26" spans="1:36">
      <c r="A26" s="6" t="s">
        <v>14</v>
      </c>
      <c r="B26" s="39">
        <v>50</v>
      </c>
      <c r="C26" s="3">
        <v>0.8</v>
      </c>
      <c r="D26" s="3">
        <v>1500</v>
      </c>
      <c r="E26" s="3">
        <v>0.6</v>
      </c>
      <c r="F26" s="8">
        <f>B26/1000000000*C26*D26/E26</f>
        <v>1E-4</v>
      </c>
      <c r="G26" s="3" t="s">
        <v>23</v>
      </c>
      <c r="H26" s="3"/>
      <c r="I26" s="3"/>
      <c r="J26" s="3"/>
      <c r="K26" s="3"/>
      <c r="L26" s="42" t="s">
        <v>24</v>
      </c>
      <c r="M26" s="18">
        <f t="shared" ref="M26:AI26" si="1">SUM(M27:M38)</f>
        <v>0</v>
      </c>
      <c r="N26" s="18">
        <f t="shared" si="1"/>
        <v>0</v>
      </c>
      <c r="O26" s="18">
        <f t="shared" si="1"/>
        <v>0</v>
      </c>
      <c r="P26" s="18">
        <f t="shared" si="1"/>
        <v>0</v>
      </c>
      <c r="Q26" s="18">
        <f t="shared" si="1"/>
        <v>0</v>
      </c>
      <c r="R26" s="18">
        <f t="shared" si="1"/>
        <v>4.415657269717634E-8</v>
      </c>
      <c r="S26" s="18">
        <f t="shared" si="1"/>
        <v>0</v>
      </c>
      <c r="T26" s="18">
        <f t="shared" si="1"/>
        <v>6.035238398856483E-5</v>
      </c>
      <c r="U26" s="18">
        <f t="shared" si="1"/>
        <v>0</v>
      </c>
      <c r="V26" s="18">
        <f t="shared" si="1"/>
        <v>7.5058736288013125E-8</v>
      </c>
      <c r="W26" s="18">
        <f t="shared" si="1"/>
        <v>0</v>
      </c>
      <c r="X26" s="18">
        <f t="shared" si="1"/>
        <v>0</v>
      </c>
      <c r="Y26" s="18">
        <f t="shared" si="1"/>
        <v>0</v>
      </c>
      <c r="Z26" s="18">
        <f t="shared" si="1"/>
        <v>0</v>
      </c>
      <c r="AA26" s="18">
        <f t="shared" si="1"/>
        <v>0</v>
      </c>
      <c r="AB26" s="18">
        <f t="shared" si="1"/>
        <v>2.8312680513890146E-3</v>
      </c>
      <c r="AC26" s="18">
        <f t="shared" si="1"/>
        <v>0</v>
      </c>
      <c r="AD26" s="18">
        <f t="shared" si="1"/>
        <v>1.5618451813015086E-7</v>
      </c>
      <c r="AE26" s="18">
        <f t="shared" si="1"/>
        <v>0</v>
      </c>
      <c r="AF26" s="18">
        <f t="shared" si="1"/>
        <v>0</v>
      </c>
      <c r="AG26" s="18">
        <f t="shared" si="1"/>
        <v>3.4284480087961961E-8</v>
      </c>
      <c r="AH26" s="18">
        <f t="shared" si="1"/>
        <v>1.4894255882583876E-6</v>
      </c>
      <c r="AI26" s="18">
        <f t="shared" si="1"/>
        <v>0</v>
      </c>
    </row>
    <row r="27" spans="1:36">
      <c r="A27" s="6" t="s">
        <v>25</v>
      </c>
      <c r="B27" s="107">
        <v>50</v>
      </c>
      <c r="C27" s="3">
        <v>0.8</v>
      </c>
      <c r="D27" s="3">
        <v>3950</v>
      </c>
      <c r="E27" s="3">
        <v>0.6</v>
      </c>
      <c r="F27" s="8">
        <f>J28/K28*50</f>
        <v>1.1164658634538154E-5</v>
      </c>
      <c r="G27" s="19" t="s">
        <v>23</v>
      </c>
      <c r="H27" s="3"/>
      <c r="I27" s="3"/>
      <c r="J27" s="3"/>
      <c r="K27" s="3"/>
      <c r="L27" s="48" t="s">
        <v>116</v>
      </c>
      <c r="M27" s="34"/>
      <c r="N27" s="34"/>
      <c r="O27" s="34"/>
      <c r="P27" s="34"/>
      <c r="Q27" s="34"/>
      <c r="R27" s="34"/>
      <c r="S27" s="34"/>
      <c r="T27" s="34"/>
      <c r="U27" s="34"/>
      <c r="V27" s="34"/>
      <c r="W27" s="34"/>
      <c r="X27" s="34"/>
      <c r="Y27" s="34"/>
      <c r="Z27" s="34"/>
      <c r="AA27" s="34"/>
      <c r="AB27" s="34"/>
      <c r="AC27" s="34"/>
      <c r="AD27" s="34"/>
      <c r="AE27" s="34"/>
      <c r="AF27" s="34"/>
      <c r="AG27" s="34"/>
      <c r="AH27" s="34"/>
      <c r="AI27" s="34"/>
    </row>
    <row r="28" spans="1:36">
      <c r="A28" s="6" t="s">
        <v>26</v>
      </c>
      <c r="B28" s="107"/>
      <c r="C28" s="3">
        <v>0.8</v>
      </c>
      <c r="D28" s="3">
        <v>5610</v>
      </c>
      <c r="E28" s="3">
        <v>0.6</v>
      </c>
      <c r="F28" s="8">
        <f>J28-F27</f>
        <v>3.5950200803212855E-4</v>
      </c>
      <c r="G28" s="19" t="s">
        <v>23</v>
      </c>
      <c r="H28" s="3" t="s">
        <v>15</v>
      </c>
      <c r="I28" s="3">
        <v>5560</v>
      </c>
      <c r="J28" s="3">
        <f>B27/1000000000*C28*I28/E28</f>
        <v>3.7066666666666671E-4</v>
      </c>
      <c r="K28" s="3">
        <f>50+1610</f>
        <v>1660</v>
      </c>
      <c r="L28" s="6" t="s">
        <v>66</v>
      </c>
    </row>
    <row r="29" spans="1:36">
      <c r="A29" s="63" t="s">
        <v>16</v>
      </c>
      <c r="B29" s="39"/>
      <c r="C29" s="3"/>
      <c r="D29" s="3"/>
      <c r="E29" s="3"/>
      <c r="F29" s="8"/>
      <c r="G29" s="3"/>
      <c r="H29" s="3"/>
      <c r="I29" s="3"/>
      <c r="J29" s="3"/>
      <c r="K29" s="3"/>
      <c r="L29" s="6" t="s">
        <v>20</v>
      </c>
      <c r="M29" s="15">
        <f>$F$36*'[3]direct emissions'!D28</f>
        <v>0</v>
      </c>
      <c r="N29" s="15">
        <f>$F$36*'[3]direct emissions'!M28</f>
        <v>0</v>
      </c>
      <c r="O29" s="15">
        <f>$F$36*'[3]direct emissions'!N28</f>
        <v>0</v>
      </c>
      <c r="P29" s="15">
        <f>$F$36*'[3]direct emissions'!O28</f>
        <v>0</v>
      </c>
      <c r="Q29" s="15">
        <f>$F$36*'[3]direct emissions'!P28</f>
        <v>0</v>
      </c>
      <c r="R29" s="15">
        <f>$F$36*'[3]direct emissions'!Q28</f>
        <v>0</v>
      </c>
      <c r="S29" s="15">
        <f>$F$36*'[3]direct emissions'!R28</f>
        <v>0</v>
      </c>
      <c r="T29" s="15">
        <f>$F$36*'[3]direct emissions'!S28</f>
        <v>0</v>
      </c>
      <c r="U29" s="15">
        <f>$F$36*'[3]direct emissions'!T28</f>
        <v>0</v>
      </c>
      <c r="V29" s="15">
        <f>$F$36*'[3]direct emissions'!U28</f>
        <v>0</v>
      </c>
      <c r="W29" s="15">
        <f>$F$36*'[3]direct emissions'!V28</f>
        <v>0</v>
      </c>
      <c r="X29" s="15">
        <f>$F$36*'[3]direct emissions'!W28</f>
        <v>0</v>
      </c>
      <c r="Y29" s="15">
        <f>$F$36*'[3]direct emissions'!X28</f>
        <v>0</v>
      </c>
      <c r="Z29" s="15">
        <f>$F$36*'[3]direct emissions'!Y28</f>
        <v>0</v>
      </c>
      <c r="AA29" s="15">
        <f>$F$36*'[3]direct emissions'!Z28</f>
        <v>0</v>
      </c>
      <c r="AB29" s="15">
        <f>$F$36*'[3]direct emissions'!AA28</f>
        <v>0</v>
      </c>
      <c r="AC29" s="15">
        <f>$F$36*'[3]direct emissions'!AB28</f>
        <v>0</v>
      </c>
      <c r="AD29" s="15">
        <f>$F$36*'[3]direct emissions'!AC28</f>
        <v>0</v>
      </c>
      <c r="AE29" s="15">
        <f>$F$36*'[3]direct emissions'!AD28</f>
        <v>0</v>
      </c>
      <c r="AF29" s="15">
        <f>$F$36*'[3]direct emissions'!AE28</f>
        <v>0</v>
      </c>
      <c r="AG29" s="15">
        <f>$F$36*'[3]direct emissions'!AF28</f>
        <v>0</v>
      </c>
      <c r="AH29" s="15">
        <f>$F$36*'[3]direct emissions'!AG28</f>
        <v>0</v>
      </c>
      <c r="AI29" s="15">
        <f>$F$36*'[3]direct emissions'!AH28</f>
        <v>0</v>
      </c>
    </row>
    <row r="30" spans="1:36">
      <c r="A30" s="6" t="s">
        <v>17</v>
      </c>
      <c r="B30" s="39">
        <v>270</v>
      </c>
      <c r="C30" s="3">
        <v>0.8</v>
      </c>
      <c r="D30" s="3">
        <v>7140</v>
      </c>
      <c r="E30" s="3">
        <v>0.5</v>
      </c>
      <c r="F30" s="8">
        <f>$B$30/1000000000*$C$30*$D$30/$E$30*(1-E30*B3)</f>
        <v>1.6964640000000004E-3</v>
      </c>
      <c r="G30" s="3" t="s">
        <v>22</v>
      </c>
      <c r="H30" s="8">
        <f>$B$30/1000000000*$C$30*$D$30/$E$30</f>
        <v>3.0844800000000006E-3</v>
      </c>
      <c r="I30" s="3"/>
      <c r="J30" s="3"/>
      <c r="K30" s="3"/>
      <c r="L30" s="6" t="s">
        <v>11</v>
      </c>
    </row>
    <row r="31" spans="1:36">
      <c r="A31" s="44" t="s">
        <v>113</v>
      </c>
      <c r="B31" s="45"/>
      <c r="C31" s="44"/>
      <c r="D31" s="44"/>
      <c r="E31" s="44"/>
      <c r="F31" s="46">
        <f>20/10*10000/1000*1.784/1000*'energy inventory'!D17/60</f>
        <v>0.2919272727272727</v>
      </c>
      <c r="G31" s="44"/>
      <c r="L31" s="6" t="s">
        <v>12</v>
      </c>
    </row>
    <row r="32" spans="1:36">
      <c r="A32" s="44" t="s">
        <v>114</v>
      </c>
      <c r="B32" s="45"/>
      <c r="C32" s="44"/>
      <c r="D32" s="44"/>
      <c r="E32" s="44"/>
      <c r="F32" s="46">
        <f>F31*0.1/100</f>
        <v>2.9192727272727272E-4</v>
      </c>
      <c r="G32" s="44"/>
      <c r="L32" s="6" t="s">
        <v>21</v>
      </c>
      <c r="M32" s="15">
        <f>$F$39*'[3]direct emissions'!D15</f>
        <v>0</v>
      </c>
      <c r="N32" s="15">
        <f>$F$39*'[3]direct emissions'!M15</f>
        <v>0</v>
      </c>
      <c r="O32" s="15">
        <f>$F$39*'[3]direct emissions'!N15</f>
        <v>0</v>
      </c>
      <c r="P32" s="15">
        <f>$F$39*'[3]direct emissions'!O15</f>
        <v>0</v>
      </c>
      <c r="Q32" s="15">
        <f>$F$39*'[3]direct emissions'!P15</f>
        <v>0</v>
      </c>
      <c r="R32" s="15">
        <f>$F$39*'[3]direct emissions'!Q15</f>
        <v>4.415657269717634E-8</v>
      </c>
      <c r="S32" s="15">
        <f>$F$39*'[3]direct emissions'!R15</f>
        <v>0</v>
      </c>
      <c r="T32" s="15">
        <f>$F$39*'[3]direct emissions'!S15</f>
        <v>6.035238398856483E-5</v>
      </c>
      <c r="U32" s="15">
        <f>$F$39*'[3]direct emissions'!T15</f>
        <v>0</v>
      </c>
      <c r="V32" s="15">
        <f>$F$39*'[3]direct emissions'!U15</f>
        <v>7.5058736288013125E-8</v>
      </c>
      <c r="W32" s="15">
        <f>$F$39*'[3]direct emissions'!V15</f>
        <v>0</v>
      </c>
      <c r="X32" s="15">
        <f>$F$39*'[3]direct emissions'!W15</f>
        <v>0</v>
      </c>
      <c r="Y32" s="15">
        <f>$F$39*'[3]direct emissions'!X15</f>
        <v>0</v>
      </c>
      <c r="Z32" s="15">
        <f>$F$39*'[3]direct emissions'!Y15</f>
        <v>0</v>
      </c>
      <c r="AA32" s="15">
        <f>$F$39*'[3]direct emissions'!Z15</f>
        <v>0</v>
      </c>
      <c r="AB32" s="15">
        <f>$F$39*'[3]direct emissions'!AA15</f>
        <v>2.8312680513890146E-3</v>
      </c>
      <c r="AC32" s="15">
        <f>$F$39*'[3]direct emissions'!AB15</f>
        <v>0</v>
      </c>
      <c r="AD32" s="15">
        <f>$F$39*'[3]direct emissions'!AC15</f>
        <v>1.5618451813015086E-7</v>
      </c>
      <c r="AE32" s="15">
        <f>$F$39*'[3]direct emissions'!AD15</f>
        <v>0</v>
      </c>
      <c r="AF32" s="15">
        <f>$F$39*'[3]direct emissions'!AE15</f>
        <v>0</v>
      </c>
      <c r="AG32" s="15">
        <f>$F$39*'[3]direct emissions'!AF15</f>
        <v>3.4284480087961961E-8</v>
      </c>
      <c r="AH32" s="15">
        <f>$F$39*'[3]direct emissions'!AG15</f>
        <v>1.4894255882583876E-6</v>
      </c>
      <c r="AI32" s="15">
        <f>$F$39*'[3]direct emissions'!AH15</f>
        <v>0</v>
      </c>
    </row>
    <row r="33" spans="1:35">
      <c r="A33" s="42" t="s">
        <v>24</v>
      </c>
      <c r="B33" s="39"/>
      <c r="C33" s="3"/>
      <c r="D33" s="3"/>
      <c r="E33" s="3"/>
      <c r="F33" s="8"/>
      <c r="L33" s="6" t="s">
        <v>14</v>
      </c>
    </row>
    <row r="34" spans="1:35">
      <c r="A34" s="6" t="s">
        <v>116</v>
      </c>
      <c r="B34" s="39"/>
      <c r="C34" s="35"/>
      <c r="D34" s="35"/>
      <c r="E34" s="35"/>
      <c r="F34" s="8">
        <f>F15*(1-E15)/58*74</f>
        <v>4.0468303448275869E-4</v>
      </c>
      <c r="L34" s="6" t="s">
        <v>15</v>
      </c>
    </row>
    <row r="35" spans="1:35">
      <c r="A35" s="6" t="s">
        <v>10</v>
      </c>
      <c r="B35" s="39"/>
      <c r="C35" s="3"/>
      <c r="D35" s="3"/>
      <c r="E35" s="3"/>
      <c r="F35" s="8">
        <f>F19*(1-E19)</f>
        <v>3.2966092364235418E-4</v>
      </c>
      <c r="L35" s="6" t="s">
        <v>17</v>
      </c>
    </row>
    <row r="36" spans="1:35">
      <c r="A36" s="6" t="s">
        <v>20</v>
      </c>
      <c r="B36" s="39"/>
      <c r="C36" s="3"/>
      <c r="D36" s="3"/>
      <c r="E36" s="3"/>
      <c r="F36" s="8">
        <f>F20</f>
        <v>1.9449994494898895E-3</v>
      </c>
      <c r="L36" s="44" t="s">
        <v>113</v>
      </c>
      <c r="M36" s="33"/>
      <c r="N36" s="33"/>
      <c r="O36" s="33"/>
      <c r="P36" s="33"/>
      <c r="Q36" s="33"/>
      <c r="R36" s="33"/>
      <c r="S36" s="33"/>
      <c r="T36" s="33"/>
      <c r="U36" s="33"/>
      <c r="V36" s="33"/>
      <c r="W36" s="33"/>
      <c r="X36" s="33"/>
      <c r="Y36" s="33"/>
      <c r="Z36" s="33"/>
      <c r="AA36" s="33"/>
      <c r="AB36" s="33"/>
      <c r="AC36" s="33"/>
      <c r="AD36" s="33"/>
      <c r="AE36" s="33"/>
      <c r="AF36" s="33"/>
      <c r="AG36" s="33"/>
      <c r="AH36" s="33"/>
      <c r="AI36" s="33"/>
    </row>
    <row r="37" spans="1:35">
      <c r="A37" s="6" t="s">
        <v>11</v>
      </c>
      <c r="B37" s="39"/>
      <c r="C37" s="3"/>
      <c r="D37" s="3"/>
      <c r="E37" s="3"/>
      <c r="F37" s="8">
        <f>F21*(1-E21)</f>
        <v>1.0115943547723438E-4</v>
      </c>
      <c r="L37" s="44" t="s">
        <v>115</v>
      </c>
      <c r="M37" s="33"/>
      <c r="N37" s="33"/>
      <c r="O37" s="33"/>
      <c r="P37" s="33"/>
      <c r="Q37" s="33"/>
      <c r="R37" s="33"/>
      <c r="S37" s="33"/>
      <c r="T37" s="33"/>
      <c r="U37" s="33"/>
      <c r="V37" s="33"/>
      <c r="W37" s="33"/>
      <c r="X37" s="33"/>
      <c r="Y37" s="33"/>
      <c r="Z37" s="33"/>
      <c r="AA37" s="33"/>
      <c r="AB37" s="33"/>
      <c r="AC37" s="33"/>
      <c r="AD37" s="33"/>
      <c r="AE37" s="33"/>
      <c r="AF37" s="33"/>
      <c r="AG37" s="33"/>
      <c r="AH37" s="33"/>
      <c r="AI37" s="33"/>
    </row>
    <row r="38" spans="1:35">
      <c r="A38" s="6" t="s">
        <v>12</v>
      </c>
      <c r="B38" s="39"/>
      <c r="C38" s="3"/>
      <c r="D38" s="3"/>
      <c r="E38" s="3"/>
      <c r="F38" s="8">
        <f>F22*(1-E22)</f>
        <v>5.3241808145912881E-6</v>
      </c>
      <c r="L38" s="65" t="s">
        <v>119</v>
      </c>
      <c r="M38" s="68"/>
      <c r="N38" s="68"/>
      <c r="O38" s="68"/>
      <c r="P38" s="68"/>
      <c r="Q38" s="68"/>
      <c r="R38" s="68"/>
      <c r="S38" s="68"/>
      <c r="T38" s="68"/>
      <c r="U38" s="68"/>
      <c r="V38" s="68"/>
      <c r="W38" s="68"/>
      <c r="X38" s="68"/>
      <c r="Y38" s="68"/>
      <c r="Z38" s="68"/>
      <c r="AA38" s="68"/>
      <c r="AB38" s="68"/>
      <c r="AC38" s="68"/>
      <c r="AD38" s="68"/>
      <c r="AE38" s="68"/>
      <c r="AF38" s="68"/>
      <c r="AG38" s="68"/>
      <c r="AH38" s="68"/>
      <c r="AI38" s="68"/>
    </row>
    <row r="39" spans="1:35">
      <c r="A39" s="6" t="s">
        <v>21</v>
      </c>
      <c r="B39" s="39"/>
      <c r="C39" s="3"/>
      <c r="D39" s="3"/>
      <c r="E39" s="3"/>
      <c r="F39" s="8">
        <f>F23</f>
        <v>4.2007786627125225E-3</v>
      </c>
      <c r="L39" s="36" t="s">
        <v>32</v>
      </c>
      <c r="M39" s="43">
        <f t="shared" ref="M39:AI39" si="2">SUM(M13:M26)</f>
        <v>3.7137742424387059</v>
      </c>
      <c r="N39" s="43">
        <f t="shared" si="2"/>
        <v>59.884579636519618</v>
      </c>
      <c r="O39" s="43">
        <f t="shared" si="2"/>
        <v>0.17896003766682583</v>
      </c>
      <c r="P39" s="43">
        <f t="shared" si="2"/>
        <v>3.4582673236372679</v>
      </c>
      <c r="Q39" s="43">
        <f t="shared" si="2"/>
        <v>1.2474946523430246</v>
      </c>
      <c r="R39" s="43">
        <f t="shared" si="2"/>
        <v>3.6378292883766462E-2</v>
      </c>
      <c r="S39" s="43">
        <f t="shared" si="2"/>
        <v>1.1776454592927967E-3</v>
      </c>
      <c r="T39" s="43">
        <f t="shared" si="2"/>
        <v>54.852021220118822</v>
      </c>
      <c r="U39" s="43">
        <f t="shared" si="2"/>
        <v>0.2671521761836797</v>
      </c>
      <c r="V39" s="43">
        <f t="shared" si="2"/>
        <v>38.456298503164021</v>
      </c>
      <c r="W39" s="43">
        <f t="shared" si="2"/>
        <v>3.5093835675053713E-3</v>
      </c>
      <c r="X39" s="43">
        <f t="shared" si="2"/>
        <v>0.13570763636681968</v>
      </c>
      <c r="Y39" s="43">
        <f t="shared" si="2"/>
        <v>4.973266091250852E-4</v>
      </c>
      <c r="Z39" s="43">
        <f t="shared" si="2"/>
        <v>2.5451856621300461E-7</v>
      </c>
      <c r="AA39" s="43">
        <f t="shared" si="2"/>
        <v>8.7021142901667278E-3</v>
      </c>
      <c r="AB39" s="43">
        <f t="shared" si="2"/>
        <v>1.3341788290845751E-2</v>
      </c>
      <c r="AC39" s="43">
        <f t="shared" si="2"/>
        <v>1.839020667035007E-2</v>
      </c>
      <c r="AD39" s="43">
        <f t="shared" si="2"/>
        <v>2.0970440613886617E-3</v>
      </c>
      <c r="AE39" s="43">
        <f t="shared" si="2"/>
        <v>1.5624124229892794E-2</v>
      </c>
      <c r="AF39" s="43">
        <f t="shared" si="2"/>
        <v>1.1187039571582591E-2</v>
      </c>
      <c r="AG39" s="43">
        <f t="shared" si="2"/>
        <v>0.133222892790858</v>
      </c>
      <c r="AH39" s="43">
        <f t="shared" si="2"/>
        <v>0.51451402749329178</v>
      </c>
      <c r="AI39" s="43">
        <f t="shared" si="2"/>
        <v>0.15588871369385948</v>
      </c>
    </row>
    <row r="40" spans="1:35">
      <c r="A40" s="6" t="s">
        <v>14</v>
      </c>
      <c r="B40" s="39"/>
      <c r="C40" s="3"/>
      <c r="D40" s="3"/>
      <c r="E40" s="3"/>
      <c r="F40" s="8">
        <f>F26*(1-E26)</f>
        <v>4.0000000000000003E-5</v>
      </c>
    </row>
    <row r="41" spans="1:35">
      <c r="A41" s="6" t="s">
        <v>15</v>
      </c>
      <c r="B41" s="39"/>
      <c r="C41" s="3"/>
      <c r="D41" s="3"/>
      <c r="E41" s="3"/>
      <c r="F41" s="8">
        <f>(F27+F28)*(1-E27)</f>
        <v>1.482666666666667E-4</v>
      </c>
    </row>
    <row r="42" spans="1:35">
      <c r="A42" s="6" t="s">
        <v>17</v>
      </c>
      <c r="B42" s="79"/>
      <c r="C42" s="80"/>
      <c r="D42" s="80"/>
      <c r="E42" s="80"/>
      <c r="F42" s="8">
        <f>H30*E30</f>
        <v>1.5422400000000003E-3</v>
      </c>
    </row>
    <row r="43" spans="1:35">
      <c r="A43" s="44" t="s">
        <v>113</v>
      </c>
      <c r="B43" s="45"/>
      <c r="C43" s="44"/>
      <c r="D43" s="44"/>
      <c r="E43" s="44"/>
      <c r="F43" s="46">
        <f>F16+F31</f>
        <v>0.36761212121212117</v>
      </c>
      <c r="G43" s="33"/>
    </row>
    <row r="44" spans="1:35">
      <c r="A44" s="44" t="s">
        <v>114</v>
      </c>
      <c r="B44" s="45"/>
      <c r="C44" s="44"/>
      <c r="D44" s="44"/>
      <c r="E44" s="44"/>
      <c r="F44" s="46">
        <f>F17+F32-H17</f>
        <v>3.2692688652037621E-4</v>
      </c>
      <c r="G44" s="33"/>
      <c r="L44" s="7" t="s">
        <v>63</v>
      </c>
      <c r="M44">
        <f>$F$46*[3]production!D103</f>
        <v>8.4370316282724334E-4</v>
      </c>
      <c r="N44">
        <f>$F$46*[3]production!M103</f>
        <v>2.7002741464560154E-2</v>
      </c>
      <c r="O44">
        <f>$F$46*[3]production!N103</f>
        <v>4.3619604348826602E-5</v>
      </c>
      <c r="P44">
        <f>$F$46*[3]production!O103</f>
        <v>7.9399124385419375E-4</v>
      </c>
      <c r="Q44">
        <f>$F$46*[3]production!P103</f>
        <v>6.2939923186491333E-4</v>
      </c>
      <c r="R44">
        <f>$F$46*[3]production!Q103</f>
        <v>3.8850556632519348E-6</v>
      </c>
      <c r="S44">
        <f>$F$46*[3]production!R103</f>
        <v>9.3577206249550317E-8</v>
      </c>
      <c r="T44">
        <f>$F$46*[3]production!S103</f>
        <v>5.9850227127703423E-3</v>
      </c>
      <c r="U44">
        <f>$F$46*[3]production!T103</f>
        <v>1.1546320123064737E-4</v>
      </c>
      <c r="V44">
        <f>$F$46*[3]production!U103</f>
        <v>4.2451832964755286E-3</v>
      </c>
      <c r="W44">
        <f>$F$46*[3]production!V103</f>
        <v>2.6880511206978665E-6</v>
      </c>
      <c r="X44">
        <f>$F$46*[3]production!W103</f>
        <v>3.2753577142581051E-5</v>
      </c>
      <c r="Y44">
        <f>$F$46*[3]production!X103</f>
        <v>-6.1896548221495505E-6</v>
      </c>
      <c r="Z44">
        <f>$F$46*[3]production!Y103</f>
        <v>2.9668545949508474E-10</v>
      </c>
      <c r="AA44">
        <f>$F$46*[3]production!Z103</f>
        <v>2.8398147519699859E-6</v>
      </c>
      <c r="AB44">
        <f>$F$46*[3]production!AA103</f>
        <v>8.5873957998299524E-6</v>
      </c>
      <c r="AC44">
        <f>$F$46*[3]production!AB103</f>
        <v>7.1842041926582316E-6</v>
      </c>
      <c r="AD44">
        <f>$F$46*[3]production!AC103</f>
        <v>8.6611006781321902E-7</v>
      </c>
      <c r="AE44">
        <f>$F$46*[3]production!AD103</f>
        <v>1.589630740261138E-4</v>
      </c>
      <c r="AF44">
        <f>$F$46*[3]production!AE103</f>
        <v>1.1479923534383183E-6</v>
      </c>
      <c r="AG44">
        <f>$F$46*[3]production!AF103</f>
        <v>6.4650373948779547E-5</v>
      </c>
      <c r="AH44">
        <f>$F$46*[3]production!AG103</f>
        <v>7.4679835236742312E-5</v>
      </c>
      <c r="AI44">
        <f>$F$46*[3]production!AH103</f>
        <v>7.6995163586785194E-5</v>
      </c>
    </row>
    <row r="45" spans="1:35">
      <c r="A45" s="65" t="s">
        <v>119</v>
      </c>
      <c r="B45" s="66"/>
      <c r="C45" s="65"/>
      <c r="D45" s="65"/>
      <c r="E45" s="65"/>
      <c r="F45" s="67">
        <f>F24</f>
        <v>1.8246621636218918</v>
      </c>
      <c r="G45" s="68"/>
    </row>
    <row r="46" spans="1:35">
      <c r="A46" s="16" t="s">
        <v>62</v>
      </c>
      <c r="B46" s="40"/>
      <c r="C46" s="4"/>
      <c r="D46" s="4"/>
      <c r="E46" s="4"/>
      <c r="F46" s="17">
        <f>SUM(F12:F32)-SUM(F34:F45)</f>
        <v>0.15549552384438403</v>
      </c>
    </row>
    <row r="52" spans="12:35">
      <c r="L52" s="6" t="s">
        <v>67</v>
      </c>
      <c r="M52" s="15">
        <f>$F$27*[3]production!D86</f>
        <v>1.411882730923695E-5</v>
      </c>
      <c r="N52" s="15">
        <f>$F$27*[3]production!M86</f>
        <v>1.7232005474939765E-4</v>
      </c>
      <c r="O52" s="15">
        <f>$F$27*[3]production!N86</f>
        <v>2.2754690763052211E-7</v>
      </c>
      <c r="P52" s="15">
        <f>$F$27*[3]production!O86</f>
        <v>1.323793574297189E-5</v>
      </c>
      <c r="Q52" s="15">
        <f>$F$27*[3]production!P86</f>
        <v>3.8539285140562256E-6</v>
      </c>
      <c r="R52" s="15">
        <f>$F$27*[3]production!Q86</f>
        <v>4.4902024096385547E-7</v>
      </c>
      <c r="S52" s="15">
        <f>$F$27*[3]production!R86</f>
        <v>6.05727389558233E-9</v>
      </c>
      <c r="T52" s="15">
        <f>$F$27*[3]production!S86</f>
        <v>4.7111510040160655E-4</v>
      </c>
      <c r="U52" s="15">
        <f>$F$27*[3]production!T86</f>
        <v>6.503971887550202E-7</v>
      </c>
      <c r="V52" s="15">
        <f>$F$27*[3]production!U86</f>
        <v>6.9529028112449813E-4</v>
      </c>
      <c r="W52" s="15">
        <f>$F$27*[3]production!V86</f>
        <v>1.4577694779116467E-8</v>
      </c>
      <c r="X52" s="15">
        <f>$F$27*[3]production!W86</f>
        <v>7.8009702811244995E-7</v>
      </c>
      <c r="Y52" s="15">
        <f>$F$27*[3]production!X86</f>
        <v>1.6864216867469883E-9</v>
      </c>
      <c r="Z52" s="15">
        <f>$F$27*[3]production!Y86</f>
        <v>1.6659903614457834E-12</v>
      </c>
      <c r="AA52" s="15">
        <f>$F$27*[3]production!Z86</f>
        <v>3.4505493975903622E-8</v>
      </c>
      <c r="AB52" s="15">
        <f>$F$27*[3]production!AA86</f>
        <v>4.6638128514056234E-8</v>
      </c>
      <c r="AC52" s="15">
        <f>$F$27*[3]production!AB86</f>
        <v>4.6638128514056234E-8</v>
      </c>
      <c r="AD52" s="15">
        <f>$F$27*[3]production!AC86</f>
        <v>1.3000128514056226E-8</v>
      </c>
      <c r="AE52" s="15">
        <f>$F$27*[3]production!AD86</f>
        <v>1.3000128514056226E-8</v>
      </c>
      <c r="AF52" s="15">
        <f>$F$27*[3]production!AE86</f>
        <v>2.134347791164659E-8</v>
      </c>
      <c r="AG52" s="15">
        <f>$F$27*[3]production!AF86</f>
        <v>6.6610586345381532E-7</v>
      </c>
      <c r="AH52" s="15">
        <f>$F$27*[3]production!AG86</f>
        <v>3.7416120481927715E-6</v>
      </c>
      <c r="AI52" s="15">
        <f>$F$27*[3]production!AH86</f>
        <v>4.9835686746987966E-7</v>
      </c>
    </row>
    <row r="53" spans="12:35">
      <c r="L53" s="6" t="s">
        <v>26</v>
      </c>
      <c r="M53" s="15">
        <f>$F$28*[3]production!D115</f>
        <v>2.8815523951807232E-4</v>
      </c>
      <c r="N53" s="15">
        <f>$F$28*[3]production!M115</f>
        <v>4.5210476669000797E-3</v>
      </c>
      <c r="O53" s="15">
        <f>$F$28*[3]production!N115</f>
        <v>1.0618251309236949E-5</v>
      </c>
      <c r="P53" s="15">
        <f>$F$28*[3]production!O115</f>
        <v>2.676276748594378E-4</v>
      </c>
      <c r="Q53" s="15">
        <f>$F$28*[3]production!P115</f>
        <v>9.5314767389558232E-5</v>
      </c>
      <c r="R53" s="15">
        <f>$F$28*[3]production!Q115</f>
        <v>7.1019621686746998E-6</v>
      </c>
      <c r="S53" s="15">
        <f>$F$28*[3]production!R115</f>
        <v>1.2229179807228916E-7</v>
      </c>
      <c r="T53" s="15">
        <f>$F$28*[3]production!S115</f>
        <v>6.9175376385542178E-3</v>
      </c>
      <c r="U53" s="15">
        <f>$F$28*[3]production!T115</f>
        <v>1.9571648819277113E-5</v>
      </c>
      <c r="V53" s="15">
        <f>$F$28*[3]production!U115</f>
        <v>6.2323268112449799E-3</v>
      </c>
      <c r="W53" s="15">
        <f>$F$28*[3]production!V115</f>
        <v>2.5720930666666669E-7</v>
      </c>
      <c r="X53" s="15">
        <f>$F$28*[3]production!W115</f>
        <v>3.0980445044176714E-5</v>
      </c>
      <c r="Y53" s="15">
        <f>$F$28*[3]production!X115</f>
        <v>5.5877397108433739E-8</v>
      </c>
      <c r="Z53" s="15">
        <f>$F$28*[3]production!Y115</f>
        <v>2.1849453542168678E-11</v>
      </c>
      <c r="AA53" s="15">
        <f>$F$28*[3]production!Z115</f>
        <v>5.6589211084337358E-7</v>
      </c>
      <c r="AB53" s="15">
        <f>$F$28*[3]production!AA115</f>
        <v>7.8159331566265066E-7</v>
      </c>
      <c r="AC53" s="15">
        <f>$F$28*[3]production!AB115</f>
        <v>1.0692308722891568E-6</v>
      </c>
      <c r="AD53" s="15">
        <f>$F$28*[3]production!AC115</f>
        <v>9.0515415582329322E-6</v>
      </c>
      <c r="AE53" s="15">
        <f>$F$28*[3]production!AD115</f>
        <v>3.4942876176706833E-6</v>
      </c>
      <c r="AF53" s="15">
        <f>$F$28*[3]production!AE115</f>
        <v>9.5864805461847387E-7</v>
      </c>
      <c r="AG53" s="15">
        <f>$F$28*[3]production!AF115</f>
        <v>1.5997479855421687E-5</v>
      </c>
      <c r="AH53" s="15">
        <f>$F$28*[3]production!AG115</f>
        <v>5.7297430040160644E-5</v>
      </c>
      <c r="AI53" s="15">
        <f>$F$28*[3]production!AH115</f>
        <v>1.2856510811244982E-5</v>
      </c>
    </row>
  </sheetData>
  <mergeCells count="3">
    <mergeCell ref="B27:B28"/>
    <mergeCell ref="O11:AF11"/>
    <mergeCell ref="AG11:AI11"/>
  </mergeCells>
  <dataValidations count="3">
    <dataValidation type="list" allowBlank="1" showInputMessage="1" showErrorMessage="1" sqref="B4:B9" xr:uid="{DA389F3B-DF00-4F91-9B2D-6D3683598365}">
      <formula1>"80%,100%,120%"</formula1>
    </dataValidation>
    <dataValidation type="list" allowBlank="1" showInputMessage="1" showErrorMessage="1" sqref="B3" xr:uid="{0679211C-2BD7-476C-92EB-43896BFA6A88}">
      <formula1>"80%,90%,100%,0%"</formula1>
    </dataValidation>
    <dataValidation type="list" allowBlank="1" showInputMessage="1" showErrorMessage="1" sqref="B2" xr:uid="{5FE339BC-391C-4A55-A215-5B20EBF741A1}">
      <formula1>"70%,80%,90%,100%,0%"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deal_recycling.ideal_recycling">
                <anchor moveWithCells="1">
                  <from>
                    <xdr:col>3</xdr:col>
                    <xdr:colOff>19050</xdr:colOff>
                    <xdr:row>6</xdr:row>
                    <xdr:rowOff>161925</xdr:rowOff>
                  </from>
                  <to>
                    <xdr:col>4</xdr:col>
                    <xdr:colOff>1028700</xdr:colOff>
                    <xdr:row>9</xdr:row>
                    <xdr:rowOff>9525</xdr:rowOff>
                  </to>
                </anchor>
              </controlPr>
            </control>
          </mc:Choice>
        </mc:AlternateContent>
        <mc:AlternateContent xmlns:mc="http://schemas.openxmlformats.org/markup-compatibility/2006">
          <mc:Choice Requires="x14">
            <control shapeId="4098" r:id="rId5" name="Button 2">
              <controlPr defaultSize="0" print="0" autoFill="0" autoPict="0" macro="[0]!no_recycling.no_recycling">
                <anchor moveWithCells="1">
                  <from>
                    <xdr:col>3</xdr:col>
                    <xdr:colOff>9525</xdr:colOff>
                    <xdr:row>0</xdr:row>
                    <xdr:rowOff>161925</xdr:rowOff>
                  </from>
                  <to>
                    <xdr:col>4</xdr:col>
                    <xdr:colOff>1019175</xdr:colOff>
                    <xdr:row>3</xdr:row>
                    <xdr:rowOff>9525</xdr:rowOff>
                  </to>
                </anchor>
              </controlPr>
            </control>
          </mc:Choice>
        </mc:AlternateContent>
        <mc:AlternateContent xmlns:mc="http://schemas.openxmlformats.org/markup-compatibility/2006">
          <mc:Choice Requires="x14">
            <control shapeId="4099" r:id="rId6" name="Button 3">
              <controlPr defaultSize="0" print="0" autoFill="0" autoPict="0" macro="[0]!norminal_recycling.norminal_recycling">
                <anchor moveWithCells="1">
                  <from>
                    <xdr:col>3</xdr:col>
                    <xdr:colOff>9525</xdr:colOff>
                    <xdr:row>3</xdr:row>
                    <xdr:rowOff>171450</xdr:rowOff>
                  </from>
                  <to>
                    <xdr:col>4</xdr:col>
                    <xdr:colOff>1019175</xdr:colOff>
                    <xdr:row>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252BF-82FD-4CBA-BF1E-536C91BC956B}">
  <dimension ref="A1:H24"/>
  <sheetViews>
    <sheetView workbookViewId="0">
      <selection activeCell="Y27" sqref="Y27"/>
    </sheetView>
  </sheetViews>
  <sheetFormatPr defaultRowHeight="15"/>
  <cols>
    <col min="1" max="1" width="58.140625" customWidth="1"/>
  </cols>
  <sheetData>
    <row r="1" spans="1:8">
      <c r="C1" s="94">
        <f>Results!G28</f>
        <v>38.516255400973186</v>
      </c>
    </row>
    <row r="2" spans="1:8" ht="15.75" thickBot="1">
      <c r="C2" s="95">
        <f>Results!H28</f>
        <v>672.24668338438846</v>
      </c>
    </row>
    <row r="4" spans="1:8" ht="15.75" thickBot="1"/>
    <row r="5" spans="1:8" ht="16.5" thickTop="1" thickBot="1">
      <c r="A5" s="91" t="s">
        <v>130</v>
      </c>
      <c r="H5">
        <v>0</v>
      </c>
    </row>
    <row r="6" spans="1:8" ht="15.75" thickTop="1">
      <c r="A6" t="s">
        <v>138</v>
      </c>
      <c r="B6" s="93">
        <v>0.8</v>
      </c>
      <c r="C6">
        <v>38.520840634717182</v>
      </c>
      <c r="D6" s="97">
        <v>0.9</v>
      </c>
      <c r="E6">
        <v>38.516255400973186</v>
      </c>
      <c r="F6" s="99">
        <v>1</v>
      </c>
      <c r="G6">
        <v>38.511670167229184</v>
      </c>
      <c r="H6">
        <f t="shared" ref="H6:H13" si="0">ABS(G6-C6)</f>
        <v>9.1704674879977688E-3</v>
      </c>
    </row>
    <row r="7" spans="1:8">
      <c r="A7" t="s">
        <v>144</v>
      </c>
      <c r="B7" s="92">
        <f>D7*0.8</f>
        <v>0.28799999999999998</v>
      </c>
      <c r="C7">
        <v>38.465509636287116</v>
      </c>
      <c r="D7" s="96">
        <v>0.36</v>
      </c>
      <c r="E7">
        <v>38.516255400973186</v>
      </c>
      <c r="F7" s="98">
        <f>D7*1.2</f>
        <v>0.432</v>
      </c>
      <c r="G7">
        <v>38.567001165659256</v>
      </c>
      <c r="H7">
        <f t="shared" si="0"/>
        <v>0.10149152937214012</v>
      </c>
    </row>
    <row r="8" spans="1:8">
      <c r="A8" t="s">
        <v>143</v>
      </c>
      <c r="B8" s="92">
        <f>D8*0.8</f>
        <v>2.2000000000000002</v>
      </c>
      <c r="C8">
        <v>37.954292105253344</v>
      </c>
      <c r="D8" s="96">
        <v>2.75</v>
      </c>
      <c r="E8">
        <v>38.516255400973186</v>
      </c>
      <c r="F8" s="98">
        <f>D8*1.2</f>
        <v>3.3</v>
      </c>
      <c r="G8">
        <v>39.078218696693021</v>
      </c>
      <c r="H8">
        <f t="shared" si="0"/>
        <v>1.1239265914396768</v>
      </c>
    </row>
    <row r="9" spans="1:8">
      <c r="A9" t="s">
        <v>142</v>
      </c>
      <c r="B9" s="92">
        <f>D9*0.8</f>
        <v>5.88</v>
      </c>
      <c r="C9">
        <v>37.47205152134994</v>
      </c>
      <c r="D9" s="96">
        <v>7.35</v>
      </c>
      <c r="E9">
        <v>38.516255400973186</v>
      </c>
      <c r="F9" s="98">
        <f>D9*1.2</f>
        <v>8.8199999999999985</v>
      </c>
      <c r="G9">
        <v>39.560459280596426</v>
      </c>
      <c r="H9">
        <f t="shared" si="0"/>
        <v>2.0884077592464863</v>
      </c>
    </row>
    <row r="10" spans="1:8">
      <c r="A10" t="s">
        <v>141</v>
      </c>
      <c r="B10" s="92">
        <f>D10*0.8</f>
        <v>7.7200000000000006</v>
      </c>
      <c r="C10">
        <v>37.146119754449344</v>
      </c>
      <c r="D10" s="96">
        <v>9.65</v>
      </c>
      <c r="E10">
        <v>38.516255400973186</v>
      </c>
      <c r="F10" s="104">
        <f>D10*1.2</f>
        <v>11.58</v>
      </c>
      <c r="G10">
        <v>39.886391047497021</v>
      </c>
      <c r="H10">
        <f t="shared" si="0"/>
        <v>2.7402712930476767</v>
      </c>
    </row>
    <row r="11" spans="1:8">
      <c r="A11" t="s">
        <v>140</v>
      </c>
      <c r="B11" s="92">
        <f>D11*0.8</f>
        <v>8.7200000000000006</v>
      </c>
      <c r="C11">
        <v>36.969275181553783</v>
      </c>
      <c r="D11" s="103">
        <v>10.9</v>
      </c>
      <c r="E11">
        <v>38.516255400973186</v>
      </c>
      <c r="F11" s="104">
        <f>D11*1.2</f>
        <v>13.08</v>
      </c>
      <c r="G11">
        <v>40.063235620392589</v>
      </c>
      <c r="H11">
        <f t="shared" si="0"/>
        <v>3.0939604388388062</v>
      </c>
    </row>
    <row r="12" spans="1:8">
      <c r="A12" t="s">
        <v>131</v>
      </c>
      <c r="B12" s="93">
        <v>0.8</v>
      </c>
      <c r="C12">
        <v>40.200041743973188</v>
      </c>
      <c r="D12" s="97">
        <v>0.9</v>
      </c>
      <c r="E12">
        <v>38.516255400973186</v>
      </c>
      <c r="F12" s="99">
        <v>1</v>
      </c>
      <c r="G12">
        <v>36.832469057973185</v>
      </c>
      <c r="H12">
        <f t="shared" si="0"/>
        <v>3.3675726860000026</v>
      </c>
    </row>
    <row r="13" spans="1:8">
      <c r="A13" t="s">
        <v>139</v>
      </c>
      <c r="B13" s="102">
        <f>D13*0.8</f>
        <v>13.728000000000002</v>
      </c>
      <c r="C13">
        <v>36.080458696041916</v>
      </c>
      <c r="D13" s="103">
        <v>17.16</v>
      </c>
      <c r="E13">
        <v>38.516255400973186</v>
      </c>
      <c r="F13" s="104">
        <f>D13*1.2</f>
        <v>20.591999999999999</v>
      </c>
      <c r="G13">
        <v>40.952052105904457</v>
      </c>
      <c r="H13">
        <f t="shared" si="0"/>
        <v>4.8715934098625411</v>
      </c>
    </row>
    <row r="15" spans="1:8" ht="15.75" thickBot="1"/>
    <row r="16" spans="1:8" ht="16.5" thickTop="1" thickBot="1">
      <c r="A16" s="105" t="s">
        <v>132</v>
      </c>
      <c r="B16" s="106"/>
      <c r="D16" s="106"/>
      <c r="F16" s="106"/>
      <c r="H16">
        <v>0</v>
      </c>
    </row>
    <row r="17" spans="1:8" ht="15.75" thickTop="1">
      <c r="A17" s="106" t="s">
        <v>138</v>
      </c>
      <c r="B17" s="93">
        <v>0.8</v>
      </c>
      <c r="C17">
        <v>672.30689439837033</v>
      </c>
      <c r="D17" s="96">
        <v>0.9</v>
      </c>
      <c r="E17">
        <v>672.24668338438846</v>
      </c>
      <c r="F17" s="99">
        <v>1</v>
      </c>
      <c r="G17">
        <v>672.18647237040636</v>
      </c>
      <c r="H17">
        <f t="shared" ref="H17:H24" si="1">ABS(G17-C17)</f>
        <v>0.1204220279639685</v>
      </c>
    </row>
    <row r="18" spans="1:8">
      <c r="A18" t="s">
        <v>144</v>
      </c>
      <c r="B18" s="102">
        <f>D18*0.8</f>
        <v>0.28799999999999998</v>
      </c>
      <c r="C18">
        <v>671.35377160222401</v>
      </c>
      <c r="D18" s="96">
        <v>0.36</v>
      </c>
      <c r="E18">
        <v>672.24668338438846</v>
      </c>
      <c r="F18" s="104">
        <f>D18*1.2</f>
        <v>0.432</v>
      </c>
      <c r="G18">
        <v>673.13959516655268</v>
      </c>
      <c r="H18">
        <f t="shared" si="1"/>
        <v>1.7858235643286662</v>
      </c>
    </row>
    <row r="19" spans="1:8">
      <c r="A19" t="s">
        <v>143</v>
      </c>
      <c r="B19" s="102">
        <f>D19*0.8</f>
        <v>2.2000000000000002</v>
      </c>
      <c r="C19">
        <v>663.03960976784037</v>
      </c>
      <c r="D19" s="96">
        <v>2.75</v>
      </c>
      <c r="E19">
        <v>672.24668338438846</v>
      </c>
      <c r="F19" s="104">
        <f>D19*1.2</f>
        <v>3.3</v>
      </c>
      <c r="G19">
        <v>681.45375700093632</v>
      </c>
      <c r="H19">
        <f t="shared" si="1"/>
        <v>18.414147233095946</v>
      </c>
    </row>
    <row r="20" spans="1:8">
      <c r="A20" t="s">
        <v>142</v>
      </c>
      <c r="B20" s="102">
        <f>D20*0.8</f>
        <v>5.88</v>
      </c>
      <c r="C20">
        <v>653.87309195532339</v>
      </c>
      <c r="D20" s="96">
        <v>7.35</v>
      </c>
      <c r="E20">
        <v>672.24668338438846</v>
      </c>
      <c r="F20" s="104">
        <f>D20*1.2</f>
        <v>8.8199999999999985</v>
      </c>
      <c r="G20">
        <v>690.62027481345353</v>
      </c>
      <c r="H20">
        <f t="shared" si="1"/>
        <v>36.747182858130145</v>
      </c>
    </row>
    <row r="21" spans="1:8">
      <c r="A21" t="s">
        <v>141</v>
      </c>
      <c r="B21" s="102">
        <f>D21*0.8</f>
        <v>7.7200000000000006</v>
      </c>
      <c r="C21">
        <v>648.13806526595158</v>
      </c>
      <c r="D21" s="96">
        <v>9.65</v>
      </c>
      <c r="E21">
        <v>672.24668338438846</v>
      </c>
      <c r="F21" s="104">
        <f>D21*1.2</f>
        <v>11.58</v>
      </c>
      <c r="G21">
        <v>696.35530150282511</v>
      </c>
      <c r="H21">
        <f t="shared" si="1"/>
        <v>48.217236236873532</v>
      </c>
    </row>
    <row r="22" spans="1:8">
      <c r="A22" t="s">
        <v>140</v>
      </c>
      <c r="B22" s="102">
        <f>D22*0.8</f>
        <v>8.7200000000000006</v>
      </c>
      <c r="C22">
        <v>645.02634542633268</v>
      </c>
      <c r="D22" s="96">
        <v>10.9</v>
      </c>
      <c r="E22">
        <v>672.24668338438846</v>
      </c>
      <c r="F22" s="104">
        <f>D22*1.2</f>
        <v>13.08</v>
      </c>
      <c r="G22">
        <v>699.46702134244413</v>
      </c>
      <c r="H22">
        <f t="shared" si="1"/>
        <v>54.440675916111445</v>
      </c>
    </row>
    <row r="23" spans="1:8">
      <c r="A23" t="s">
        <v>131</v>
      </c>
      <c r="B23" s="93">
        <v>0.8</v>
      </c>
      <c r="C23">
        <v>701.46955379327642</v>
      </c>
      <c r="D23" s="96">
        <v>0.9</v>
      </c>
      <c r="E23">
        <v>672.24668338438846</v>
      </c>
      <c r="F23" s="99">
        <v>1</v>
      </c>
      <c r="G23">
        <v>643.02381297550028</v>
      </c>
      <c r="H23">
        <f t="shared" si="1"/>
        <v>58.445740817776141</v>
      </c>
    </row>
    <row r="24" spans="1:8">
      <c r="A24" t="s">
        <v>139</v>
      </c>
      <c r="B24" s="102">
        <f>D24*0.8</f>
        <v>13.728000000000002</v>
      </c>
      <c r="C24">
        <v>629.3869178405007</v>
      </c>
      <c r="D24" s="96">
        <v>17.16</v>
      </c>
      <c r="E24">
        <v>672.24668338438846</v>
      </c>
      <c r="F24" s="104">
        <f>D24*1.2</f>
        <v>20.591999999999999</v>
      </c>
      <c r="G24">
        <v>715.10644892827622</v>
      </c>
      <c r="H24">
        <f t="shared" si="1"/>
        <v>85.719531087775522</v>
      </c>
    </row>
  </sheetData>
  <sortState xmlns:xlrd2="http://schemas.microsoft.com/office/spreadsheetml/2017/richdata2" ref="A16:H24">
    <sortCondition ref="H16"/>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474E-DCC7-4607-90FD-650F41FD5E38}">
  <sheetPr codeName="Sheet2"/>
  <dimension ref="A3:AF19"/>
  <sheetViews>
    <sheetView workbookViewId="0">
      <selection activeCell="E15" sqref="E15"/>
    </sheetView>
  </sheetViews>
  <sheetFormatPr defaultRowHeight="15"/>
  <cols>
    <col min="1" max="1" width="9.140625" style="19"/>
    <col min="2" max="2" width="25.28515625" customWidth="1"/>
    <col min="3" max="4" width="25.28515625" style="13" customWidth="1"/>
    <col min="5" max="6" width="25.28515625" customWidth="1"/>
    <col min="9" max="9" width="24.7109375" customWidth="1"/>
  </cols>
  <sheetData>
    <row r="3" spans="1:32" ht="15.75" thickBot="1">
      <c r="A3" s="19" t="s">
        <v>117</v>
      </c>
      <c r="B3" s="5"/>
      <c r="C3" s="9" t="s">
        <v>27</v>
      </c>
      <c r="D3" s="9" t="s">
        <v>28</v>
      </c>
      <c r="E3" s="5" t="s">
        <v>29</v>
      </c>
      <c r="J3" s="14"/>
      <c r="K3" s="14"/>
      <c r="L3" s="110" t="s">
        <v>39</v>
      </c>
      <c r="M3" s="110"/>
      <c r="N3" s="110"/>
      <c r="O3" s="110"/>
      <c r="P3" s="110"/>
      <c r="Q3" s="110"/>
      <c r="R3" s="110"/>
      <c r="S3" s="110"/>
      <c r="T3" s="110"/>
      <c r="U3" s="110"/>
      <c r="V3" s="110"/>
      <c r="W3" s="110"/>
      <c r="X3" s="110"/>
      <c r="Y3" s="110"/>
      <c r="Z3" s="110"/>
      <c r="AA3" s="110"/>
      <c r="AB3" s="110"/>
      <c r="AC3" s="110"/>
      <c r="AD3" s="111" t="s">
        <v>40</v>
      </c>
      <c r="AE3" s="111"/>
      <c r="AF3" s="111"/>
    </row>
    <row r="4" spans="1:32">
      <c r="B4" s="75" t="s">
        <v>33</v>
      </c>
      <c r="C4" s="49"/>
      <c r="D4" s="49"/>
      <c r="E4" s="50"/>
      <c r="F4" s="51"/>
      <c r="I4" s="29"/>
      <c r="J4" s="30" t="s">
        <v>68</v>
      </c>
      <c r="K4" s="30" t="s">
        <v>69</v>
      </c>
      <c r="L4" s="31" t="s">
        <v>41</v>
      </c>
      <c r="M4" s="31" t="s">
        <v>42</v>
      </c>
      <c r="N4" s="31" t="s">
        <v>43</v>
      </c>
      <c r="O4" s="31" t="s">
        <v>44</v>
      </c>
      <c r="P4" s="31" t="s">
        <v>45</v>
      </c>
      <c r="Q4" s="31" t="s">
        <v>46</v>
      </c>
      <c r="R4" s="31" t="s">
        <v>47</v>
      </c>
      <c r="S4" s="31" t="s">
        <v>48</v>
      </c>
      <c r="T4" s="31" t="s">
        <v>49</v>
      </c>
      <c r="U4" s="31" t="s">
        <v>50</v>
      </c>
      <c r="V4" s="31" t="s">
        <v>51</v>
      </c>
      <c r="W4" s="31" t="s">
        <v>52</v>
      </c>
      <c r="X4" s="31" t="s">
        <v>53</v>
      </c>
      <c r="Y4" s="31" t="s">
        <v>54</v>
      </c>
      <c r="Z4" s="31" t="s">
        <v>55</v>
      </c>
      <c r="AA4" s="31" t="s">
        <v>56</v>
      </c>
      <c r="AB4" s="31" t="s">
        <v>57</v>
      </c>
      <c r="AC4" s="31" t="s">
        <v>58</v>
      </c>
      <c r="AD4" s="32" t="s">
        <v>59</v>
      </c>
      <c r="AE4" s="32" t="s">
        <v>60</v>
      </c>
      <c r="AF4" s="32" t="s">
        <v>61</v>
      </c>
    </row>
    <row r="5" spans="1:32" ht="15.75" thickBot="1">
      <c r="B5" s="73" t="s">
        <v>34</v>
      </c>
      <c r="C5" s="52">
        <f>230*0.6</f>
        <v>138</v>
      </c>
      <c r="D5" s="53">
        <f>20*60</f>
        <v>1200</v>
      </c>
      <c r="E5" s="54">
        <f>C5*D5/1000000</f>
        <v>0.1656</v>
      </c>
      <c r="F5" s="55">
        <f>E5*0.277777778</f>
        <v>4.6000000036799993E-2</v>
      </c>
      <c r="I5" s="10" t="s">
        <v>65</v>
      </c>
      <c r="J5">
        <f>$F$5*[3]production!D$7</f>
        <v>3.2656320026125049E-2</v>
      </c>
      <c r="K5">
        <f>$F$5*[3]production!M$7</f>
        <v>0.57461372577289094</v>
      </c>
      <c r="L5">
        <f>$F$5*[3]production!N$7</f>
        <v>3.7387420029909928E-5</v>
      </c>
      <c r="M5">
        <f>$F$5*[3]production!O$7</f>
        <v>3.0819540024655628E-2</v>
      </c>
      <c r="N5">
        <f>$F$5*[3]production!P$7</f>
        <v>1.3611400010889117E-2</v>
      </c>
      <c r="O5">
        <f>$F$5*[3]production!Q$7</f>
        <v>1.1734600009387678E-4</v>
      </c>
      <c r="P5">
        <f>$F$5*[3]production!R$7</f>
        <v>5.726540004581231E-7</v>
      </c>
      <c r="Q5">
        <f>$F$5*[3]production!S$7</f>
        <v>0.24005100019204076</v>
      </c>
      <c r="R5">
        <f>$F$5*[3]production!T$7</f>
        <v>1.9425800015540639E-4</v>
      </c>
      <c r="S5">
        <f>$F$5*[3]production!U$7</f>
        <v>7.2192400057753903E-2</v>
      </c>
      <c r="T5">
        <f>$F$5*[3]production!V$7</f>
        <v>2.8278500022622794E-5</v>
      </c>
      <c r="U5">
        <f>$F$5*[3]production!W$7</f>
        <v>1.3795400011036316E-4</v>
      </c>
      <c r="V5">
        <f>$F$5*[3]production!X$7</f>
        <v>5.0761000040608788E-6</v>
      </c>
      <c r="W5">
        <f>$F$5*[3]production!Y$7</f>
        <v>2.7275240021820186E-9</v>
      </c>
      <c r="X5">
        <f>$F$5*[3]production!Z$7</f>
        <v>3.4436520027549207E-5</v>
      </c>
      <c r="Y5">
        <f>$F$5*[3]production!AA$7</f>
        <v>9.2625600074100465E-5</v>
      </c>
      <c r="Z5">
        <f>$F$5*[3]production!AB$7</f>
        <v>1.3340000010671996E-4</v>
      </c>
      <c r="AA5">
        <f>$F$5*[3]production!AC$7</f>
        <v>2.3875380019100299E-6</v>
      </c>
      <c r="AB5">
        <f>$F$5*[3]production!AD$7</f>
        <v>1.4725060011780048E-5</v>
      </c>
      <c r="AC5">
        <f>$F$5*[3]production!AE$7</f>
        <v>3.688556002950844E-6</v>
      </c>
      <c r="AD5">
        <f>$F$5*[3]production!AF$7</f>
        <v>9.0224400072179498E-4</v>
      </c>
      <c r="AE5">
        <f>$F$5*[3]production!AG$7</f>
        <v>2.7821720022257372E-3</v>
      </c>
      <c r="AF5">
        <f>$F$5*[3]production!AH$7</f>
        <v>1.6385660013108526E-3</v>
      </c>
    </row>
    <row r="6" spans="1:32">
      <c r="B6" s="75" t="s">
        <v>8</v>
      </c>
      <c r="C6" s="49"/>
      <c r="D6" s="49"/>
      <c r="E6" s="50"/>
      <c r="F6" s="56"/>
      <c r="I6" s="10" t="s">
        <v>106</v>
      </c>
      <c r="J6">
        <f>$F$7*[3]production!D$7</f>
        <v>5.2210193981162085</v>
      </c>
      <c r="K6">
        <f>$F$7*[3]production!M$7</f>
        <v>91.867957145325505</v>
      </c>
      <c r="L6">
        <f>$F$7*[3]production!N$7</f>
        <v>5.9774170839065116E-3</v>
      </c>
      <c r="M6">
        <f>$F$7*[3]production!O$7</f>
        <v>4.9273591201035023</v>
      </c>
      <c r="N6">
        <f>$F$7*[3]production!P$7</f>
        <v>2.1761601869261127</v>
      </c>
      <c r="O6">
        <f>$F$7*[3]production!Q$7</f>
        <v>1.8761016008274803E-2</v>
      </c>
      <c r="P6">
        <f>$F$7*[3]production!R$7</f>
        <v>9.1554640645634264E-5</v>
      </c>
      <c r="Q6">
        <f>$F$7*[3]production!S$7</f>
        <v>38.378816949894961</v>
      </c>
      <c r="R6">
        <f>$F$7*[3]production!T$7</f>
        <v>3.1057534536630533E-2</v>
      </c>
      <c r="S6">
        <f>$F$7*[3]production!U$7</f>
        <v>11.541959436842992</v>
      </c>
      <c r="T6">
        <f>$F$7*[3]production!V$7</f>
        <v>4.5211033285327065E-3</v>
      </c>
      <c r="U6">
        <f>$F$7*[3]production!W$7</f>
        <v>2.2055776953671554E-2</v>
      </c>
      <c r="V6">
        <f>$F$7*[3]production!X$7</f>
        <v>8.1155551411725771E-4</v>
      </c>
      <c r="W6">
        <f>$F$7*[3]production!Y$7</f>
        <v>4.3607043637579231E-7</v>
      </c>
      <c r="X6">
        <f>$F$7*[3]production!Z$7</f>
        <v>5.5056337922832939E-3</v>
      </c>
      <c r="Y6">
        <f>$F$7*[3]production!AA$7</f>
        <v>1.4808773749220752E-2</v>
      </c>
      <c r="Z6">
        <f>$F$7*[3]production!AB$7</f>
        <v>2.1327693619755752E-2</v>
      </c>
      <c r="AA6">
        <f>$F$7*[3]production!AC$7</f>
        <v>3.8171423515385614E-4</v>
      </c>
      <c r="AB6">
        <f>$F$7*[3]production!AD$7</f>
        <v>2.3542096567655225E-3</v>
      </c>
      <c r="AC6">
        <f>$F$7*[3]production!AE$7</f>
        <v>5.8971808296335681E-4</v>
      </c>
      <c r="AD6">
        <f>$F$7*[3]production!AF$7</f>
        <v>0.14424875264065148</v>
      </c>
      <c r="AE6">
        <f>$F$7*[3]production!AG$7</f>
        <v>0.44480743638278192</v>
      </c>
      <c r="AF6">
        <f>$F$7*[3]production!AH$7</f>
        <v>0.26197026704459297</v>
      </c>
    </row>
    <row r="7" spans="1:32" ht="15.75" thickBot="1">
      <c r="A7" s="19">
        <v>350</v>
      </c>
      <c r="B7" s="73" t="s">
        <v>31</v>
      </c>
      <c r="C7" s="53">
        <f>(2.8*10000*'mateiral inventory'!C15/240*A7+57500)</f>
        <v>90166.666666666657</v>
      </c>
      <c r="D7" s="53">
        <f>'mateiral inventory'!B15/33*60</f>
        <v>127.27272727272727</v>
      </c>
      <c r="E7" s="54">
        <f>(C7*D7+50000*5*60)/1000000*'mateiral inventory'!B7</f>
        <v>26.475757575757573</v>
      </c>
      <c r="F7" s="55">
        <f>E7*0.277777778</f>
        <v>7.3543771102606046</v>
      </c>
      <c r="I7" s="10" t="s">
        <v>121</v>
      </c>
      <c r="J7">
        <f>$F$9*[3]production!D$7</f>
        <v>1.9522800015618238</v>
      </c>
      <c r="K7">
        <f>$F$9*[3]production!M$7</f>
        <v>34.351907519031528</v>
      </c>
      <c r="L7">
        <f>$F$9*[3]production!N$7</f>
        <v>2.2351175017880937E-3</v>
      </c>
      <c r="M7">
        <f>$F$9*[3]production!O$7</f>
        <v>1.8424725014739778</v>
      </c>
      <c r="N7">
        <f>$F$9*[3]production!P$7</f>
        <v>0.81372500065097986</v>
      </c>
      <c r="O7">
        <f>$F$9*[3]production!Q$7</f>
        <v>7.0152500056121989E-3</v>
      </c>
      <c r="P7">
        <f>$F$9*[3]production!R$7</f>
        <v>3.4234750027387797E-5</v>
      </c>
      <c r="Q7">
        <f>$F$9*[3]production!S$7</f>
        <v>14.350875011480698</v>
      </c>
      <c r="R7">
        <f>$F$9*[3]production!T$7</f>
        <v>1.16132500092906E-2</v>
      </c>
      <c r="S7">
        <f>$F$9*[3]production!U$7</f>
        <v>4.3158500034526792</v>
      </c>
      <c r="T7">
        <f>$F$9*[3]production!V$7</f>
        <v>1.6905625013524496E-3</v>
      </c>
      <c r="U7">
        <f>$F$9*[3]production!W$7</f>
        <v>8.2472500065977998E-3</v>
      </c>
      <c r="V7">
        <f>$F$9*[3]production!X$7</f>
        <v>3.0346250024276995E-4</v>
      </c>
      <c r="W7">
        <f>$F$9*[3]production!Y$7</f>
        <v>1.630585001304468E-7</v>
      </c>
      <c r="X7">
        <f>$F$9*[3]production!Z$7</f>
        <v>2.0587050016469639E-3</v>
      </c>
      <c r="Y7">
        <f>$F$9*[3]production!AA$7</f>
        <v>5.5374000044299196E-3</v>
      </c>
      <c r="Z7">
        <f>$F$9*[3]production!AB$7</f>
        <v>7.9750000063799984E-3</v>
      </c>
      <c r="AA7">
        <f>$F$9*[3]production!AC$7</f>
        <v>1.4273325011418658E-4</v>
      </c>
      <c r="AB7">
        <f>$F$9*[3]production!AD$7</f>
        <v>8.8030250070424197E-4</v>
      </c>
      <c r="AC7">
        <f>$F$9*[3]production!AE$7</f>
        <v>2.2051150017640916E-4</v>
      </c>
      <c r="AD7">
        <f>$F$9*[3]production!AF$7</f>
        <v>5.3938500043150796E-2</v>
      </c>
      <c r="AE7">
        <f>$F$9*[3]production!AG$7</f>
        <v>0.16632550013306038</v>
      </c>
      <c r="AF7">
        <f>$F$9*[3]production!AH$7</f>
        <v>9.7957750078366185E-2</v>
      </c>
    </row>
    <row r="8" spans="1:32">
      <c r="B8" s="75" t="s">
        <v>30</v>
      </c>
      <c r="C8" s="57"/>
      <c r="D8" s="49"/>
      <c r="E8" s="50"/>
      <c r="F8" s="56"/>
      <c r="I8" s="10" t="s">
        <v>107</v>
      </c>
      <c r="J8">
        <f>$F$10*[3]production!D$7</f>
        <v>6.8506782326191873</v>
      </c>
      <c r="K8">
        <f>$F$10*[3]production!M$7</f>
        <v>120.54309059218431</v>
      </c>
      <c r="L8">
        <f>$F$10*[3]production!N$7</f>
        <v>7.8431735225460569E-3</v>
      </c>
      <c r="M8">
        <f>$F$10*[3]production!O$7</f>
        <v>6.4653565318240496</v>
      </c>
      <c r="N8">
        <f>$F$10*[3]production!P$7</f>
        <v>2.8554142565810476</v>
      </c>
      <c r="O8">
        <f>$F$10*[3]production!Q$7</f>
        <v>2.4616971167753472E-2</v>
      </c>
      <c r="P8">
        <f>$F$10*[3]production!R$7</f>
        <v>1.2013197729022462E-4</v>
      </c>
      <c r="Q8">
        <f>$F$10*[3]production!S$7</f>
        <v>50.358159168530577</v>
      </c>
      <c r="R8">
        <f>$F$10*[3]production!T$7</f>
        <v>4.0751653955869438E-2</v>
      </c>
      <c r="S8">
        <f>$F$10*[3]production!U$7</f>
        <v>15.144599980663386</v>
      </c>
      <c r="T8">
        <f>$F$10*[3]production!V$7</f>
        <v>5.9322944043028016E-3</v>
      </c>
      <c r="U8">
        <f>$F$10*[3]production!W$7</f>
        <v>2.894013976169842E-2</v>
      </c>
      <c r="V8">
        <f>$F$10*[3]production!X$7</f>
        <v>1.0648697641558588E-3</v>
      </c>
      <c r="W8">
        <f>$F$10*[3]production!Y$7</f>
        <v>5.7218294332449024E-7</v>
      </c>
      <c r="X8">
        <f>$F$10*[3]production!Z$7</f>
        <v>7.2241305196407701E-3</v>
      </c>
      <c r="Y8">
        <f>$F$10*[3]production!AA$7</f>
        <v>1.943109884099898E-2</v>
      </c>
      <c r="Z8">
        <f>$F$10*[3]production!AB$7</f>
        <v>2.7984796701875762E-2</v>
      </c>
      <c r="AA8">
        <f>$F$10*[3]production!AC$7</f>
        <v>5.0086031145429584E-4</v>
      </c>
      <c r="AB8">
        <f>$F$10*[3]production!AD$7</f>
        <v>3.0890390593922247E-3</v>
      </c>
      <c r="AC8">
        <f>$F$10*[3]production!AE$7</f>
        <v>7.7378927873676207E-4</v>
      </c>
      <c r="AD8">
        <f>$F$10*[3]production!AF$7</f>
        <v>0.18927372500365217</v>
      </c>
      <c r="AE8">
        <f>$F$10*[3]production!AG$7</f>
        <v>0.58364706004236211</v>
      </c>
      <c r="AF8">
        <f>$F$10*[3]production!AH$7</f>
        <v>0.34374015286810916</v>
      </c>
    </row>
    <row r="9" spans="1:32">
      <c r="B9" s="70" t="s">
        <v>120</v>
      </c>
      <c r="C9" s="71">
        <f>300*100</f>
        <v>30000</v>
      </c>
      <c r="D9" s="72">
        <f>D10+D11+D12+D14+D15</f>
        <v>330</v>
      </c>
      <c r="E9" s="78">
        <f>C9*D9/1000000*'mateiral inventory'!B8</f>
        <v>9.9</v>
      </c>
      <c r="F9" s="77">
        <f>E9*0.277777778</f>
        <v>2.7500000021999997</v>
      </c>
      <c r="I9" s="10" t="s">
        <v>108</v>
      </c>
      <c r="J9">
        <f>$F$11*[3]production!D$7</f>
        <v>12.178983524656331</v>
      </c>
      <c r="K9">
        <f>$F$11*[3]production!M$7</f>
        <v>214.29882771943875</v>
      </c>
      <c r="L9">
        <f>$F$11*[3]production!N$7</f>
        <v>1.3943419595637432E-2</v>
      </c>
      <c r="M9">
        <f>$F$11*[3]production!O$7</f>
        <v>11.493967167687197</v>
      </c>
      <c r="N9">
        <f>$F$11*[3]production!P$7</f>
        <v>5.0762920116996399</v>
      </c>
      <c r="O9">
        <f>$F$11*[3]production!Q$7</f>
        <v>4.3763504298228388E-2</v>
      </c>
      <c r="P9">
        <f>$F$11*[3]production!R$7</f>
        <v>2.1356795962706597E-4</v>
      </c>
      <c r="Q9">
        <f>$F$11*[3]production!S$7</f>
        <v>89.525616299609894</v>
      </c>
      <c r="R9">
        <f>$F$11*[3]production!T$7</f>
        <v>7.2447384810434542E-2</v>
      </c>
      <c r="S9">
        <f>$F$11*[3]production!U$7</f>
        <v>26.923733298957128</v>
      </c>
      <c r="T9">
        <f>$F$11*[3]production!V$7</f>
        <v>1.0546301163204978E-2</v>
      </c>
      <c r="U9">
        <f>$F$11*[3]production!W$7</f>
        <v>5.1449137354130516E-2</v>
      </c>
      <c r="V9">
        <f>$F$11*[3]production!X$7</f>
        <v>1.8931018029437487E-3</v>
      </c>
      <c r="W9">
        <f>$F$11*[3]production!Y$7</f>
        <v>1.0172141214657602E-6</v>
      </c>
      <c r="X9">
        <f>$F$11*[3]production!Z$7</f>
        <v>1.284289870158359E-2</v>
      </c>
      <c r="Y9">
        <f>$F$11*[3]production!AA$7</f>
        <v>3.454417571733151E-2</v>
      </c>
      <c r="Z9">
        <f>$F$11*[3]production!AB$7</f>
        <v>4.9750749692223567E-2</v>
      </c>
      <c r="AA9">
        <f>$F$11*[3]production!AC$7</f>
        <v>8.9041833147430354E-4</v>
      </c>
      <c r="AB9">
        <f>$F$11*[3]production!AD$7</f>
        <v>5.4916249944750653E-3</v>
      </c>
      <c r="AC9">
        <f>$F$11*[3]production!AE$7</f>
        <v>1.3756253844209101E-3</v>
      </c>
      <c r="AD9">
        <f>$F$11*[3]production!AF$7</f>
        <v>0.33648662222871489</v>
      </c>
      <c r="AE9">
        <f>$F$11*[3]production!AG$7</f>
        <v>1.0375947734086435</v>
      </c>
      <c r="AF9">
        <f>$F$11*[3]production!AH$7</f>
        <v>0.61109360509886068</v>
      </c>
    </row>
    <row r="10" spans="1:32">
      <c r="B10" s="74" t="s">
        <v>35</v>
      </c>
      <c r="C10" s="58">
        <f>(300+370)*(10000*'mateiral inventory'!$C$19/100)^2*(3000/9999)^2</f>
        <v>385997.19557914388</v>
      </c>
      <c r="D10" s="58">
        <v>90</v>
      </c>
      <c r="E10" s="59">
        <f>C10*D10/1000000*'mateiral inventory'!B6</f>
        <v>34.739747602122947</v>
      </c>
      <c r="F10" s="60">
        <f t="shared" ref="F10:F17" si="0">E10*0.277777778</f>
        <v>9.6499298971985397</v>
      </c>
      <c r="I10" s="10" t="s">
        <v>109</v>
      </c>
      <c r="J10">
        <f>$F$12*[3]production!D$7</f>
        <v>0.17038080013630461</v>
      </c>
      <c r="K10">
        <f>$F$12*[3]production!M$7</f>
        <v>2.9979846562063877</v>
      </c>
      <c r="L10">
        <f>$F$12*[3]production!N$7</f>
        <v>1.950648001560518E-4</v>
      </c>
      <c r="M10">
        <f>$F$12*[3]production!O$7</f>
        <v>0.16079760012863806</v>
      </c>
      <c r="N10">
        <f>$F$12*[3]production!P$7</f>
        <v>7.1016000056812786E-2</v>
      </c>
      <c r="O10">
        <f>$F$12*[3]production!Q$7</f>
        <v>6.1224000048979192E-4</v>
      </c>
      <c r="P10">
        <f>$F$12*[3]production!R$7</f>
        <v>2.9877600023902077E-6</v>
      </c>
      <c r="Q10">
        <f>$F$12*[3]production!S$7</f>
        <v>1.2524400010019516</v>
      </c>
      <c r="R10">
        <f>$F$12*[3]production!T$7</f>
        <v>1.0135200008108158E-3</v>
      </c>
      <c r="S10">
        <f>$F$12*[3]production!U$7</f>
        <v>0.37665600030132473</v>
      </c>
      <c r="T10">
        <f>$F$12*[3]production!V$7</f>
        <v>1.4754000011803195E-4</v>
      </c>
      <c r="U10">
        <f>$F$12*[3]production!W$7</f>
        <v>7.1976000057580791E-4</v>
      </c>
      <c r="V10">
        <f>$F$12*[3]production!X$7</f>
        <v>2.6484000021187197E-5</v>
      </c>
      <c r="W10">
        <f>$F$12*[3]production!Y$7</f>
        <v>1.4230560011384446E-8</v>
      </c>
      <c r="X10">
        <f>$F$12*[3]production!Z$7</f>
        <v>1.79668800143735E-4</v>
      </c>
      <c r="Y10">
        <f>$F$12*[3]production!AA$7</f>
        <v>4.8326400038661111E-4</v>
      </c>
      <c r="Z10">
        <f>$F$12*[3]production!AB$7</f>
        <v>6.9600000055679984E-4</v>
      </c>
      <c r="AA10">
        <f>$F$12*[3]production!AC$7</f>
        <v>1.2456720009965375E-5</v>
      </c>
      <c r="AB10">
        <f>$F$12*[3]production!AD$7</f>
        <v>7.6826400061461117E-5</v>
      </c>
      <c r="AC10">
        <f>$F$12*[3]production!AE$7</f>
        <v>1.9244640015395706E-5</v>
      </c>
      <c r="AD10">
        <f>$F$12*[3]production!AF$7</f>
        <v>4.7073600037658868E-3</v>
      </c>
      <c r="AE10">
        <f>$F$12*[3]production!AG$7</f>
        <v>1.4515680011612542E-2</v>
      </c>
      <c r="AF10">
        <f>$F$12*[3]production!AH$7</f>
        <v>8.5490400068392314E-3</v>
      </c>
    </row>
    <row r="11" spans="1:32">
      <c r="A11" s="19">
        <v>100</v>
      </c>
      <c r="B11" s="74" t="s">
        <v>36</v>
      </c>
      <c r="C11" s="58">
        <f>(300+370)*(10000*'mateiral inventory'!$C$19/100)^2*(4000/9999)^2</f>
        <v>686217.23658514454</v>
      </c>
      <c r="D11" s="58">
        <v>90</v>
      </c>
      <c r="E11" s="59">
        <f>C11*D11/1000000*'mateiral inventory'!B4</f>
        <v>61.759551292663005</v>
      </c>
      <c r="F11" s="60">
        <f t="shared" si="0"/>
        <v>17.155430928352956</v>
      </c>
      <c r="I11" s="10" t="s">
        <v>110</v>
      </c>
      <c r="J11">
        <f>$F$14*[3]production!D$7</f>
        <v>0.24865424696173338</v>
      </c>
      <c r="K11">
        <f>$F$14*[3]production!M$7</f>
        <v>4.3752677326052076</v>
      </c>
      <c r="L11">
        <f>$F$14*[3]production!N$7</f>
        <v>2.8467815007759755E-4</v>
      </c>
      <c r="M11">
        <f>$F$14*[3]production!O$7</f>
        <v>0.23466849634028025</v>
      </c>
      <c r="N11">
        <f>$F$14*[3]production!P$7</f>
        <v>0.1036409619055343</v>
      </c>
      <c r="O11">
        <f>$F$14*[3]production!Q$7</f>
        <v>8.9350487942216285E-4</v>
      </c>
      <c r="P11">
        <f>$F$14*[3]production!R$7</f>
        <v>4.3603458423859299E-6</v>
      </c>
      <c r="Q11">
        <f>$F$14*[3]production!S$7</f>
        <v>1.8278146661170351</v>
      </c>
      <c r="R11">
        <f>$F$14*[3]production!T$7</f>
        <v>1.4791341065463718E-3</v>
      </c>
      <c r="S11">
        <f>$F$14*[3]production!U$7</f>
        <v>0.54969288818704132</v>
      </c>
      <c r="T11">
        <f>$F$14*[3]production!V$7</f>
        <v>2.1532031541543497E-4</v>
      </c>
      <c r="U11">
        <f>$F$14*[3]production!W$7</f>
        <v>1.0504198876468312E-3</v>
      </c>
      <c r="V11">
        <f>$F$14*[3]production!X$7</f>
        <v>3.8650828476768198E-5</v>
      </c>
      <c r="W11">
        <f>$F$14*[3]production!Y$7</f>
        <v>2.0768121646592602E-8</v>
      </c>
      <c r="X11">
        <f>$F$14*[3]production!Z$7</f>
        <v>2.6220918182399825E-4</v>
      </c>
      <c r="Y11">
        <f>$F$14*[3]production!AA$7</f>
        <v>7.0527692089551828E-4</v>
      </c>
      <c r="Z11">
        <f>$F$14*[3]production!AB$7</f>
        <v>1.0157444728828978E-3</v>
      </c>
      <c r="AA11">
        <f>$F$14*[3]production!AC$7</f>
        <v>1.8179374267600361E-5</v>
      </c>
      <c r="AB11">
        <f>$F$14*[3]production!AD$7</f>
        <v>1.1212067697053257E-4</v>
      </c>
      <c r="AC11">
        <f>$F$14*[3]production!AE$7</f>
        <v>2.808568493192691E-5</v>
      </c>
      <c r="AD11">
        <f>$F$14*[3]production!AF$7</f>
        <v>6.869935203836261E-3</v>
      </c>
      <c r="AE11">
        <f>$F$14*[3]production!AG$7</f>
        <v>2.1184226623759805E-2</v>
      </c>
      <c r="AF11">
        <f>$F$14*[3]production!AH$7</f>
        <v>1.247649443743507E-2</v>
      </c>
    </row>
    <row r="12" spans="1:32" ht="15.75" thickBot="1">
      <c r="B12" s="73" t="s">
        <v>37</v>
      </c>
      <c r="C12" s="52">
        <f>630/350*A11/100*10000*'mateiral inventory'!C22</f>
        <v>14400</v>
      </c>
      <c r="D12" s="52">
        <v>60</v>
      </c>
      <c r="E12" s="54">
        <f>C12*D12/1000000</f>
        <v>0.86399999999999999</v>
      </c>
      <c r="F12" s="55">
        <f t="shared" si="0"/>
        <v>0.24000000019199996</v>
      </c>
      <c r="I12" s="10" t="s">
        <v>111</v>
      </c>
      <c r="J12">
        <f>$F$15*[3]production!D$7</f>
        <v>0.25372882343034026</v>
      </c>
      <c r="K12">
        <f>$F$15*[3]production!M$7</f>
        <v>4.4645589108216415</v>
      </c>
      <c r="L12">
        <f>$F$15*[3]production!N$7</f>
        <v>2.9048790824244655E-4</v>
      </c>
      <c r="M12">
        <f>$F$15*[3]production!O$7</f>
        <v>0.23945764932681665</v>
      </c>
      <c r="N12">
        <f>$F$15*[3]production!P$7</f>
        <v>0.10575608357707585</v>
      </c>
      <c r="O12">
        <f>$F$15*[3]production!Q$7</f>
        <v>9.1173967287975827E-4</v>
      </c>
      <c r="P12">
        <f>$F$15*[3]production!R$7</f>
        <v>4.4493324922305416E-6</v>
      </c>
      <c r="Q12">
        <f>$F$15*[3]production!S$7</f>
        <v>1.8651170062418732</v>
      </c>
      <c r="R12">
        <f>$F$15*[3]production!T$7</f>
        <v>1.5093205168840531E-3</v>
      </c>
      <c r="S12">
        <f>$F$15*[3]production!U$7</f>
        <v>0.56091111039494024</v>
      </c>
      <c r="T12">
        <f>$F$15*[3]production!V$7</f>
        <v>2.1971460756677044E-4</v>
      </c>
      <c r="U12">
        <f>$F$15*[3]production!W$7</f>
        <v>1.0718570282110527E-3</v>
      </c>
      <c r="V12">
        <f>$F$15*[3]production!X$7</f>
        <v>3.9439620894661436E-5</v>
      </c>
      <c r="W12">
        <f>$F$15*[3]production!Y$7</f>
        <v>2.1191960863870009E-8</v>
      </c>
      <c r="X12">
        <f>$F$15*[3]production!Z$7</f>
        <v>2.6756038961632485E-4</v>
      </c>
      <c r="Y12">
        <f>$F$15*[3]production!AA$7</f>
        <v>7.196703274444066E-4</v>
      </c>
      <c r="Z12">
        <f>$F$15*[3]production!AB$7</f>
        <v>1.0364739519213245E-3</v>
      </c>
      <c r="AA12">
        <f>$F$15*[3]production!AC$7</f>
        <v>1.8550381905714661E-5</v>
      </c>
      <c r="AB12">
        <f>$F$15*[3]production!AD$7</f>
        <v>1.1440885405156388E-4</v>
      </c>
      <c r="AC12">
        <f>$F$15*[3]production!AE$7</f>
        <v>2.8658862175435631E-5</v>
      </c>
      <c r="AD12">
        <f>$F$15*[3]production!AF$7</f>
        <v>7.0101379630982284E-3</v>
      </c>
      <c r="AE12">
        <f>$F$15*[3]production!AG$7</f>
        <v>2.1616557779346745E-2</v>
      </c>
      <c r="AF12">
        <f>$F$15*[3]production!AH$7</f>
        <v>1.2731116772892933E-2</v>
      </c>
    </row>
    <row r="13" spans="1:32">
      <c r="B13" s="75" t="s">
        <v>13</v>
      </c>
      <c r="C13" s="57"/>
      <c r="D13" s="49"/>
      <c r="E13" s="50"/>
      <c r="F13" s="56"/>
      <c r="I13" s="10" t="s">
        <v>112</v>
      </c>
      <c r="J13">
        <f>$F$17*[3]production!D$7</f>
        <v>7.7349010970970102</v>
      </c>
      <c r="K13">
        <f>$F$17*[3]production!M$7</f>
        <v>136.10168979027861</v>
      </c>
      <c r="L13">
        <f>$F$17*[3]production!N$7</f>
        <v>8.8554985979934879E-3</v>
      </c>
      <c r="M13">
        <f>$F$17*[3]production!O$7</f>
        <v>7.2998455967489662</v>
      </c>
      <c r="N13">
        <f>$F$17*[3]production!P$7</f>
        <v>3.2239650025791713</v>
      </c>
      <c r="O13">
        <f>$F$17*[3]production!Q$7</f>
        <v>2.7794304567689984E-2</v>
      </c>
      <c r="P13">
        <f>$F$17*[3]production!R$7</f>
        <v>1.3563751374487363E-4</v>
      </c>
      <c r="Q13">
        <f>$F$17*[3]production!S$7</f>
        <v>56.857929590940877</v>
      </c>
      <c r="R13">
        <f>$F$17*[3]production!T$7</f>
        <v>4.6011504582263746E-2</v>
      </c>
      <c r="S13">
        <f>$F$17*[3]production!U$7</f>
        <v>17.099326377315823</v>
      </c>
      <c r="T13">
        <f>$F$17*[3]production!V$7</f>
        <v>6.6979806871765649E-3</v>
      </c>
      <c r="U13">
        <f>$F$17*[3]production!W$7</f>
        <v>3.2675468207958552E-2</v>
      </c>
      <c r="V13">
        <f>$F$17*[3]production!X$7</f>
        <v>1.2023134100527595E-3</v>
      </c>
      <c r="W13">
        <f>$F$17*[3]production!Y$7</f>
        <v>6.4603508233500982E-7</v>
      </c>
      <c r="X13">
        <f>$F$17*[3]production!Z$7</f>
        <v>8.1565551883434236E-3</v>
      </c>
      <c r="Y13">
        <f>$F$17*[3]production!AA$7</f>
        <v>2.1939087290278537E-2</v>
      </c>
      <c r="Z13">
        <f>$F$17*[3]production!AB$7</f>
        <v>3.1596818207095631E-2</v>
      </c>
      <c r="AA13">
        <f>$F$17*[3]production!AC$7</f>
        <v>5.6550677772513258E-4</v>
      </c>
      <c r="AB13">
        <f>$F$17*[3]production!AD$7</f>
        <v>3.4877439573356493E-3</v>
      </c>
      <c r="AC13">
        <f>$F$17*[3]production!AE$7</f>
        <v>8.7366291888074828E-4</v>
      </c>
      <c r="AD13">
        <f>$F$17*[3]production!AF$7</f>
        <v>0.21370344562550816</v>
      </c>
      <c r="AE13">
        <f>$F$17*[3]production!AG$7</f>
        <v>0.65897888234536484</v>
      </c>
      <c r="AF13">
        <f>$F$17*[3]production!AH$7</f>
        <v>0.38810698667412191</v>
      </c>
    </row>
    <row r="14" spans="1:32">
      <c r="B14" s="74" t="s">
        <v>71</v>
      </c>
      <c r="C14" s="58">
        <f>(300+370)*(10000*'mateiral inventory'!$C$19/100)^2*(700/9999)^2</f>
        <v>21015.40287042005</v>
      </c>
      <c r="D14" s="61">
        <v>60</v>
      </c>
      <c r="E14" s="59">
        <f>C14*D14/1000000</f>
        <v>1.2609241722252029</v>
      </c>
      <c r="F14" s="60">
        <f>E14*0.277777778</f>
        <v>0.35025671478720616</v>
      </c>
    </row>
    <row r="15" spans="1:32" ht="15.75" thickBot="1">
      <c r="B15" s="73" t="s">
        <v>38</v>
      </c>
      <c r="C15" s="52">
        <f>(300+370)*(10000*'mateiral inventory'!$C$19/100)^2*(1000/9999)^2</f>
        <v>42888.577286571533</v>
      </c>
      <c r="D15" s="53">
        <v>30</v>
      </c>
      <c r="E15" s="54">
        <f>C15*D15/1000000*'mateiral inventory'!B9</f>
        <v>1.2866573185971462</v>
      </c>
      <c r="F15" s="55">
        <f t="shared" si="0"/>
        <v>0.35740481100735333</v>
      </c>
    </row>
    <row r="16" spans="1:32">
      <c r="A16" s="19">
        <v>240</v>
      </c>
      <c r="B16" s="76" t="s">
        <v>16</v>
      </c>
      <c r="C16" s="49"/>
      <c r="D16" s="49"/>
      <c r="E16" s="50"/>
      <c r="F16" s="56"/>
    </row>
    <row r="17" spans="2:6" ht="15.75" thickBot="1">
      <c r="B17" s="73" t="s">
        <v>31</v>
      </c>
      <c r="C17" s="53">
        <f>(2.8*10000*'mateiral inventory'!C30/240*A16+57500)</f>
        <v>79900</v>
      </c>
      <c r="D17" s="53">
        <f>'mateiral inventory'!B30/33*60</f>
        <v>490.90909090909088</v>
      </c>
      <c r="E17" s="54">
        <f>C17*D17/1000000*'mateiral inventory'!B5</f>
        <v>39.223636363636359</v>
      </c>
      <c r="F17" s="55">
        <f t="shared" si="0"/>
        <v>10.895454554170907</v>
      </c>
    </row>
    <row r="18" spans="2:6">
      <c r="B18" s="11"/>
      <c r="C18" s="12"/>
      <c r="D18" s="12"/>
      <c r="E18" s="11"/>
    </row>
    <row r="19" spans="2:6">
      <c r="B19" s="11" t="s">
        <v>32</v>
      </c>
      <c r="C19" s="12"/>
      <c r="D19" s="12"/>
      <c r="E19" s="28">
        <f>SUM(E4:E18)*0.277777778</f>
        <v>48.79885401820637</v>
      </c>
      <c r="F19" s="28">
        <f>SUM(F4:F18)</f>
        <v>48.79885401820637</v>
      </c>
    </row>
  </sheetData>
  <mergeCells count="2">
    <mergeCell ref="L3:AC3"/>
    <mergeCell ref="AD3:AF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6F84E-EB67-412A-98FC-D0C0D341E902}">
  <sheetPr codeName="Sheet3"/>
  <dimension ref="A1:H28"/>
  <sheetViews>
    <sheetView workbookViewId="0">
      <selection activeCell="N13" sqref="N13"/>
    </sheetView>
  </sheetViews>
  <sheetFormatPr defaultRowHeight="15"/>
  <cols>
    <col min="1" max="1" width="31.28515625" customWidth="1"/>
    <col min="2" max="6" width="9.42578125" bestFit="1" customWidth="1"/>
    <col min="7" max="8" width="20.140625" customWidth="1"/>
    <col min="9" max="13" width="9.42578125" bestFit="1" customWidth="1"/>
    <col min="14" max="14" width="11.7109375" bestFit="1" customWidth="1"/>
    <col min="15" max="15" width="12.140625" bestFit="1" customWidth="1"/>
    <col min="16" max="24" width="9.42578125" bestFit="1" customWidth="1"/>
  </cols>
  <sheetData>
    <row r="1" spans="1:8">
      <c r="A1" s="29"/>
      <c r="B1" s="29" t="s">
        <v>68</v>
      </c>
      <c r="C1" s="29" t="s">
        <v>69</v>
      </c>
      <c r="D1" s="29"/>
      <c r="E1" s="29"/>
      <c r="F1" s="29"/>
      <c r="G1" s="29" t="str">
        <f>B1</f>
        <v>carbon footprint</v>
      </c>
      <c r="H1" s="29" t="str">
        <f>C1</f>
        <v>primary energy consumption</v>
      </c>
    </row>
    <row r="2" spans="1:8">
      <c r="A2" s="33" t="str">
        <f>'mateiral inventory'!L13</f>
        <v>ITO glass</v>
      </c>
      <c r="B2">
        <f>'mateiral inventory'!M13</f>
        <v>1.6837863429999995</v>
      </c>
      <c r="C2">
        <f>'mateiral inventory'!N13</f>
        <v>29.222870408888099</v>
      </c>
      <c r="G2">
        <f>B2</f>
        <v>1.6837863429999995</v>
      </c>
      <c r="H2">
        <f>C2</f>
        <v>29.222870408888099</v>
      </c>
    </row>
    <row r="3" spans="1:8">
      <c r="A3" s="33" t="str">
        <f>'mateiral inventory'!L14</f>
        <v>Ni</v>
      </c>
      <c r="B3">
        <f>'mateiral inventory'!M14</f>
        <v>8.8120058880000011E-3</v>
      </c>
      <c r="C3">
        <f>'mateiral inventory'!N14</f>
        <v>0.1232730025314816</v>
      </c>
      <c r="G3">
        <f t="shared" ref="G3:G25" si="0">B3</f>
        <v>8.8120058880000011E-3</v>
      </c>
      <c r="H3">
        <f t="shared" ref="H3:H25" si="1">C3</f>
        <v>0.1232730025314816</v>
      </c>
    </row>
    <row r="4" spans="1:8">
      <c r="A4" s="33" t="str">
        <f>'mateiral inventory'!L15</f>
        <v>PbI₂</v>
      </c>
      <c r="B4">
        <f>'mateiral inventory'!M15</f>
        <v>3.7615529770640022E-3</v>
      </c>
      <c r="C4">
        <f>'mateiral inventory'!N15</f>
        <v>4.472927890759943E-2</v>
      </c>
      <c r="G4">
        <f t="shared" si="0"/>
        <v>3.7615529770640022E-3</v>
      </c>
      <c r="H4">
        <f t="shared" si="1"/>
        <v>4.472927890759943E-2</v>
      </c>
    </row>
    <row r="5" spans="1:8">
      <c r="A5" s="33" t="str">
        <f>'mateiral inventory'!L16</f>
        <v>DMF</v>
      </c>
      <c r="B5">
        <f>'mateiral inventory'!M16</f>
        <v>5.5650324248804721E-3</v>
      </c>
      <c r="C5">
        <f>'mateiral inventory'!N16</f>
        <v>0.15136487547183283</v>
      </c>
      <c r="G5">
        <f t="shared" si="0"/>
        <v>5.5650324248804721E-3</v>
      </c>
      <c r="H5">
        <f t="shared" si="1"/>
        <v>0.15136487547183283</v>
      </c>
    </row>
    <row r="6" spans="1:8">
      <c r="A6" s="33" t="str">
        <f>'mateiral inventory'!L17</f>
        <v>MAI</v>
      </c>
      <c r="B6">
        <f>'mateiral inventory'!M17</f>
        <v>4.0852260795166184E-2</v>
      </c>
      <c r="C6">
        <f>'mateiral inventory'!N17</f>
        <v>0.86776101755973556</v>
      </c>
      <c r="G6">
        <f t="shared" si="0"/>
        <v>4.0852260795166184E-2</v>
      </c>
      <c r="H6">
        <f t="shared" si="1"/>
        <v>0.86776101755973556</v>
      </c>
    </row>
    <row r="7" spans="1:8">
      <c r="A7" s="33" t="str">
        <f>'mateiral inventory'!L18</f>
        <v>MACl</v>
      </c>
      <c r="B7">
        <f>'mateiral inventory'!M18</f>
        <v>6.0750870841095503E-5</v>
      </c>
      <c r="C7">
        <f>'mateiral inventory'!N18</f>
        <v>7.223991426678969E-4</v>
      </c>
      <c r="G7">
        <f t="shared" si="0"/>
        <v>6.0750870841095503E-5</v>
      </c>
      <c r="H7">
        <f t="shared" si="1"/>
        <v>7.223991426678969E-4</v>
      </c>
    </row>
    <row r="8" spans="1:8">
      <c r="A8" s="33" t="str">
        <f>'mateiral inventory'!L19</f>
        <v>Ethanol</v>
      </c>
      <c r="B8">
        <f>'mateiral inventory'!M19</f>
        <v>5.8794098163324465E-3</v>
      </c>
      <c r="C8">
        <f>'mateiral inventory'!N19</f>
        <v>0.17467875691966225</v>
      </c>
      <c r="G8">
        <f t="shared" si="0"/>
        <v>5.8794098163324465E-3</v>
      </c>
      <c r="H8">
        <f t="shared" si="1"/>
        <v>0.17467875691966225</v>
      </c>
    </row>
    <row r="9" spans="1:8">
      <c r="A9" s="33" t="str">
        <f>'mateiral inventory'!L20</f>
        <v>Nitrogen</v>
      </c>
      <c r="B9">
        <f>'mateiral inventory'!M20</f>
        <v>0.85753647703738045</v>
      </c>
      <c r="C9">
        <f>'mateiral inventory'!N20</f>
        <v>11.683460563708593</v>
      </c>
      <c r="G9">
        <f t="shared" si="0"/>
        <v>0.85753647703738045</v>
      </c>
      <c r="H9">
        <f t="shared" si="1"/>
        <v>11.683460563708593</v>
      </c>
    </row>
    <row r="10" spans="1:8">
      <c r="A10" s="33" t="str">
        <f>'mateiral inventory'!L21</f>
        <v>PCBM</v>
      </c>
      <c r="B10">
        <f>'mateiral inventory'!M21</f>
        <v>6.819169729874415E-2</v>
      </c>
      <c r="C10">
        <f>'mateiral inventory'!N21</f>
        <v>2.0963550633835544</v>
      </c>
      <c r="G10">
        <f t="shared" si="0"/>
        <v>6.819169729874415E-2</v>
      </c>
      <c r="H10">
        <f t="shared" si="1"/>
        <v>2.0963550633835544</v>
      </c>
    </row>
    <row r="11" spans="1:8">
      <c r="A11" s="33" t="str">
        <f>'mateiral inventory'!L22</f>
        <v>AZO</v>
      </c>
      <c r="B11">
        <f>'mateiral inventory'!M22</f>
        <v>3.0227406682730926E-4</v>
      </c>
      <c r="C11">
        <f>'mateiral inventory'!N22</f>
        <v>4.6933677216494775E-3</v>
      </c>
      <c r="G11">
        <f t="shared" si="0"/>
        <v>3.0227406682730926E-4</v>
      </c>
      <c r="H11">
        <f t="shared" si="1"/>
        <v>4.6933677216494775E-3</v>
      </c>
    </row>
    <row r="12" spans="1:8">
      <c r="A12" s="33" t="str">
        <f>'mateiral inventory'!L23</f>
        <v>ITO</v>
      </c>
      <c r="B12">
        <f>'mateiral inventory'!M23</f>
        <v>5.0437571184000017E-2</v>
      </c>
      <c r="C12">
        <f>'mateiral inventory'!N23</f>
        <v>0.662321153801261</v>
      </c>
      <c r="G12">
        <f t="shared" si="0"/>
        <v>5.0437571184000017E-2</v>
      </c>
      <c r="H12">
        <f t="shared" si="1"/>
        <v>0.662321153801261</v>
      </c>
    </row>
    <row r="13" spans="1:8">
      <c r="A13" s="33" t="str">
        <f>'mateiral inventory'!L24</f>
        <v>Ar</v>
      </c>
      <c r="B13">
        <f>'mateiral inventory'!M24</f>
        <v>0.98799433696969696</v>
      </c>
      <c r="C13">
        <f>'mateiral inventory'!N24</f>
        <v>14.844249782230303</v>
      </c>
      <c r="G13">
        <f t="shared" si="0"/>
        <v>0.98799433696969696</v>
      </c>
      <c r="H13">
        <f t="shared" si="1"/>
        <v>14.844249782230303</v>
      </c>
    </row>
    <row r="14" spans="1:8">
      <c r="A14" s="33" t="str">
        <f>'mateiral inventory'!L25</f>
        <v>O₂</v>
      </c>
      <c r="B14">
        <f>'mateiral inventory'!M25</f>
        <v>5.9453010977304082E-4</v>
      </c>
      <c r="C14">
        <f>'mateiral inventory'!N25</f>
        <v>8.0999662531850997E-3</v>
      </c>
      <c r="G14">
        <f t="shared" si="0"/>
        <v>5.9453010977304082E-4</v>
      </c>
      <c r="H14">
        <f t="shared" si="1"/>
        <v>8.0999662531850997E-3</v>
      </c>
    </row>
    <row r="15" spans="1:8">
      <c r="A15" s="34" t="str">
        <f>'energy inventory'!I5</f>
        <v>UV/O₃ cleaning</v>
      </c>
      <c r="B15">
        <f>'energy inventory'!J5</f>
        <v>3.2656320026125049E-2</v>
      </c>
      <c r="C15">
        <f>'energy inventory'!K5</f>
        <v>0.57461372577289094</v>
      </c>
      <c r="G15">
        <f t="shared" si="0"/>
        <v>3.2656320026125049E-2</v>
      </c>
      <c r="H15">
        <f t="shared" si="1"/>
        <v>0.57461372577289094</v>
      </c>
    </row>
    <row r="16" spans="1:8">
      <c r="A16" s="34" t="str">
        <f>'energy inventory'!I6</f>
        <v>HTL sputtering</v>
      </c>
      <c r="B16">
        <f>'energy inventory'!J6</f>
        <v>5.2210193981162085</v>
      </c>
      <c r="C16">
        <f>'energy inventory'!K6</f>
        <v>91.867957145325505</v>
      </c>
      <c r="G16">
        <f t="shared" si="0"/>
        <v>5.2210193981162085</v>
      </c>
      <c r="H16">
        <f t="shared" si="1"/>
        <v>91.867957145325505</v>
      </c>
    </row>
    <row r="17" spans="1:8">
      <c r="A17" s="34" t="str">
        <f>'energy inventory'!I7</f>
        <v>Inert gas purging</v>
      </c>
      <c r="B17">
        <f>'energy inventory'!J7</f>
        <v>1.9522800015618238</v>
      </c>
      <c r="C17">
        <f>'energy inventory'!K7</f>
        <v>34.351907519031528</v>
      </c>
      <c r="G17">
        <f t="shared" si="0"/>
        <v>1.9522800015618238</v>
      </c>
      <c r="H17">
        <f t="shared" si="1"/>
        <v>34.351907519031528</v>
      </c>
    </row>
    <row r="18" spans="1:8">
      <c r="A18" s="34" t="str">
        <f>'energy inventory'!I8</f>
        <v>PL 1st-step spin coating</v>
      </c>
      <c r="B18">
        <f>'energy inventory'!J8</f>
        <v>6.8506782326191873</v>
      </c>
      <c r="C18">
        <f>'energy inventory'!K8</f>
        <v>120.54309059218431</v>
      </c>
      <c r="G18">
        <f t="shared" si="0"/>
        <v>6.8506782326191873</v>
      </c>
      <c r="H18">
        <f t="shared" si="1"/>
        <v>120.54309059218431</v>
      </c>
    </row>
    <row r="19" spans="1:8">
      <c r="A19" s="34" t="str">
        <f>'energy inventory'!I9</f>
        <v>PL 2nd-step spin coating</v>
      </c>
      <c r="B19">
        <f>'energy inventory'!J9</f>
        <v>12.178983524656331</v>
      </c>
      <c r="C19">
        <f>'energy inventory'!K9</f>
        <v>214.29882771943875</v>
      </c>
      <c r="G19">
        <f t="shared" si="0"/>
        <v>12.178983524656331</v>
      </c>
      <c r="H19">
        <f t="shared" si="1"/>
        <v>214.29882771943875</v>
      </c>
    </row>
    <row r="20" spans="1:8">
      <c r="A20" s="34" t="str">
        <f>'energy inventory'!I10</f>
        <v>PL treatment</v>
      </c>
      <c r="B20">
        <f>'energy inventory'!J10</f>
        <v>0.17038080013630461</v>
      </c>
      <c r="C20">
        <f>'energy inventory'!K10</f>
        <v>2.9979846562063877</v>
      </c>
      <c r="G20">
        <f t="shared" si="0"/>
        <v>0.17038080013630461</v>
      </c>
      <c r="H20">
        <f t="shared" si="1"/>
        <v>2.9979846562063877</v>
      </c>
    </row>
    <row r="21" spans="1:8">
      <c r="A21" s="34" t="str">
        <f>'energy inventory'!I11</f>
        <v>ETL 1st-step spin coating</v>
      </c>
      <c r="B21">
        <f>'energy inventory'!J11</f>
        <v>0.24865424696173338</v>
      </c>
      <c r="C21">
        <f>'energy inventory'!K11</f>
        <v>4.3752677326052076</v>
      </c>
      <c r="G21">
        <f t="shared" si="0"/>
        <v>0.24865424696173338</v>
      </c>
      <c r="H21">
        <f t="shared" si="1"/>
        <v>4.3752677326052076</v>
      </c>
    </row>
    <row r="22" spans="1:8">
      <c r="A22" s="34" t="str">
        <f>'energy inventory'!I12</f>
        <v>ETL 2nd-step spin coating</v>
      </c>
      <c r="B22">
        <f>'energy inventory'!J12</f>
        <v>0.25372882343034026</v>
      </c>
      <c r="C22">
        <f>'energy inventory'!K12</f>
        <v>4.4645589108216415</v>
      </c>
      <c r="G22">
        <f t="shared" si="0"/>
        <v>0.25372882343034026</v>
      </c>
      <c r="H22">
        <f t="shared" si="1"/>
        <v>4.4645589108216415</v>
      </c>
    </row>
    <row r="23" spans="1:8">
      <c r="A23" s="34" t="str">
        <f>'energy inventory'!I13</f>
        <v>Electrode sputtering</v>
      </c>
      <c r="B23">
        <f>'energy inventory'!J13</f>
        <v>7.7349010970970102</v>
      </c>
      <c r="C23">
        <f>'energy inventory'!K13</f>
        <v>136.10168979027861</v>
      </c>
      <c r="G23">
        <f t="shared" si="0"/>
        <v>7.7349010970970102</v>
      </c>
      <c r="H23">
        <f t="shared" si="1"/>
        <v>136.10168979027861</v>
      </c>
    </row>
    <row r="24" spans="1:8">
      <c r="A24" s="62" t="str">
        <f>'mateiral inventory'!L26</f>
        <v>Direct emissions</v>
      </c>
      <c r="B24" s="62">
        <f>'mateiral inventory'!M26</f>
        <v>0</v>
      </c>
      <c r="C24" s="62">
        <f>'mateiral inventory'!N26</f>
        <v>0</v>
      </c>
      <c r="D24" s="62"/>
      <c r="E24" s="62"/>
      <c r="F24" s="62"/>
      <c r="G24" s="62">
        <f t="shared" si="0"/>
        <v>0</v>
      </c>
      <c r="H24" s="62">
        <f t="shared" si="1"/>
        <v>0</v>
      </c>
    </row>
    <row r="25" spans="1:8">
      <c r="A25" s="62" t="s">
        <v>118</v>
      </c>
      <c r="B25" s="62">
        <v>0</v>
      </c>
      <c r="C25" s="62">
        <v>0</v>
      </c>
      <c r="D25" s="62"/>
      <c r="E25" s="62"/>
      <c r="F25" s="62"/>
      <c r="G25" s="62">
        <f t="shared" si="0"/>
        <v>0</v>
      </c>
      <c r="H25" s="62">
        <f t="shared" si="1"/>
        <v>0</v>
      </c>
    </row>
    <row r="26" spans="1:8">
      <c r="A26" s="62" t="s">
        <v>64</v>
      </c>
      <c r="B26" s="62">
        <f>'mateiral inventory'!M44</f>
        <v>8.4370316282724334E-4</v>
      </c>
      <c r="C26" s="62">
        <f>'mateiral inventory'!N44</f>
        <v>2.7002741464560154E-2</v>
      </c>
      <c r="D26" s="62"/>
      <c r="E26" s="62"/>
      <c r="F26" s="62"/>
      <c r="G26" s="62">
        <v>0.15919871392941176</v>
      </c>
      <c r="H26" s="62">
        <v>2.7862059562039212</v>
      </c>
    </row>
    <row r="28" spans="1:8">
      <c r="A28" s="68" t="s">
        <v>32</v>
      </c>
      <c r="B28" s="68">
        <f t="shared" ref="B28:H28" si="2">SUM(B2:B27)</f>
        <v>38.357900390206602</v>
      </c>
      <c r="C28" s="68">
        <f t="shared" si="2"/>
        <v>669.48748016964907</v>
      </c>
      <c r="D28" s="68"/>
      <c r="E28" s="68"/>
      <c r="F28" s="68"/>
      <c r="G28" s="68">
        <f t="shared" si="2"/>
        <v>38.516255400973186</v>
      </c>
      <c r="H28" s="68">
        <f t="shared" si="2"/>
        <v>672.24668338438846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74924-CBCB-4613-BA9F-AC498F35B252}">
  <sheetPr codeName="Sheet4"/>
  <dimension ref="A1:P31"/>
  <sheetViews>
    <sheetView showGridLines="0" workbookViewId="0"/>
  </sheetViews>
  <sheetFormatPr defaultRowHeight="15"/>
  <cols>
    <col min="1" max="2" width="36.7109375" customWidth="1"/>
  </cols>
  <sheetData>
    <row r="1" spans="1:16">
      <c r="A1" s="18" t="s">
        <v>87</v>
      </c>
    </row>
    <row r="2" spans="1:16">
      <c r="P2">
        <f ca="1">_xll.CB.RecalcCounterFN()</f>
        <v>0</v>
      </c>
    </row>
    <row r="3" spans="1:16">
      <c r="A3" t="s">
        <v>88</v>
      </c>
      <c r="B3" t="s">
        <v>89</v>
      </c>
      <c r="C3">
        <v>0</v>
      </c>
    </row>
    <row r="4" spans="1:16">
      <c r="A4" t="s">
        <v>90</v>
      </c>
    </row>
    <row r="5" spans="1:16">
      <c r="A5" t="s">
        <v>91</v>
      </c>
    </row>
    <row r="7" spans="1:16">
      <c r="A7" s="18" t="s">
        <v>92</v>
      </c>
      <c r="B7" t="s">
        <v>93</v>
      </c>
    </row>
    <row r="8" spans="1:16">
      <c r="B8">
        <v>2</v>
      </c>
    </row>
    <row r="10" spans="1:16">
      <c r="A10" t="s">
        <v>94</v>
      </c>
    </row>
    <row r="11" spans="1:16">
      <c r="A11" t="e">
        <f>CB_DATA_!#REF!</f>
        <v>#REF!</v>
      </c>
      <c r="B11" t="e">
        <f>uncertainty!#REF!</f>
        <v>#REF!</v>
      </c>
    </row>
    <row r="13" spans="1:16">
      <c r="A13" t="s">
        <v>95</v>
      </c>
    </row>
    <row r="14" spans="1:16">
      <c r="A14" t="s">
        <v>104</v>
      </c>
      <c r="B14" s="27" t="s">
        <v>99</v>
      </c>
    </row>
    <row r="16" spans="1:16">
      <c r="A16" t="s">
        <v>96</v>
      </c>
    </row>
    <row r="19" spans="1:2">
      <c r="A19" t="s">
        <v>97</v>
      </c>
    </row>
    <row r="20" spans="1:2">
      <c r="A20">
        <v>31</v>
      </c>
      <c r="B20">
        <v>31</v>
      </c>
    </row>
    <row r="25" spans="1:2">
      <c r="A25" s="18" t="s">
        <v>98</v>
      </c>
    </row>
    <row r="26" spans="1:2">
      <c r="A26" s="27" t="s">
        <v>102</v>
      </c>
      <c r="B26" s="27" t="s">
        <v>100</v>
      </c>
    </row>
    <row r="27" spans="1:2">
      <c r="A27" t="s">
        <v>105</v>
      </c>
      <c r="B27" t="s">
        <v>146</v>
      </c>
    </row>
    <row r="28" spans="1:2">
      <c r="A28" s="27" t="s">
        <v>101</v>
      </c>
      <c r="B28" s="27" t="s">
        <v>101</v>
      </c>
    </row>
    <row r="29" spans="1:2">
      <c r="A29" s="27" t="s">
        <v>100</v>
      </c>
      <c r="B29" s="27" t="s">
        <v>102</v>
      </c>
    </row>
    <row r="30" spans="1:2">
      <c r="A30" t="s">
        <v>145</v>
      </c>
      <c r="B30" t="s">
        <v>103</v>
      </c>
    </row>
    <row r="31" spans="1:2">
      <c r="A31" s="27" t="s">
        <v>101</v>
      </c>
      <c r="B31" s="27" t="s">
        <v>101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17819-5E57-466D-ACC1-7D1893C61653}">
  <sheetPr codeName="Sheet6"/>
  <dimension ref="A1:T12"/>
  <sheetViews>
    <sheetView zoomScaleNormal="100" workbookViewId="0">
      <selection activeCell="H11" sqref="H11"/>
    </sheetView>
  </sheetViews>
  <sheetFormatPr defaultRowHeight="15"/>
  <sheetData>
    <row r="1" spans="1:20">
      <c r="A1" t="s">
        <v>72</v>
      </c>
      <c r="B1" t="s">
        <v>73</v>
      </c>
      <c r="C1" t="s">
        <v>74</v>
      </c>
      <c r="F1" s="20">
        <f>12.5%*0.8</f>
        <v>0.1</v>
      </c>
      <c r="H1" s="21"/>
      <c r="K1" s="112"/>
      <c r="L1" s="113"/>
    </row>
    <row r="2" spans="1:20">
      <c r="A2" t="s">
        <v>76</v>
      </c>
      <c r="B2" t="s">
        <v>77</v>
      </c>
      <c r="C2" s="22">
        <v>1700</v>
      </c>
      <c r="E2">
        <v>58.9</v>
      </c>
      <c r="R2" s="23"/>
      <c r="T2" s="23"/>
    </row>
    <row r="3" spans="1:20">
      <c r="A3" t="s">
        <v>78</v>
      </c>
      <c r="B3" t="s">
        <v>18</v>
      </c>
      <c r="C3" s="24">
        <v>0.75</v>
      </c>
      <c r="E3">
        <v>1.23</v>
      </c>
      <c r="R3" s="23"/>
      <c r="T3" s="23"/>
    </row>
    <row r="4" spans="1:20">
      <c r="A4" t="s">
        <v>79</v>
      </c>
      <c r="B4" t="s">
        <v>18</v>
      </c>
      <c r="C4" s="25">
        <v>0.1</v>
      </c>
      <c r="E4">
        <v>1.05</v>
      </c>
      <c r="R4" s="20"/>
      <c r="T4" s="20"/>
    </row>
    <row r="5" spans="1:20">
      <c r="A5" t="s">
        <v>80</v>
      </c>
      <c r="B5" t="s">
        <v>81</v>
      </c>
      <c r="C5">
        <v>12.49</v>
      </c>
      <c r="R5" s="20"/>
      <c r="T5" s="20"/>
    </row>
    <row r="6" spans="1:20">
      <c r="A6" t="s">
        <v>82</v>
      </c>
      <c r="B6" t="s">
        <v>83</v>
      </c>
      <c r="C6" s="22">
        <v>5</v>
      </c>
      <c r="E6">
        <v>1.1499999999999999</v>
      </c>
      <c r="T6" s="20"/>
    </row>
    <row r="7" spans="1:20">
      <c r="A7" t="s">
        <v>69</v>
      </c>
      <c r="B7" t="s">
        <v>84</v>
      </c>
      <c r="C7" s="22">
        <v>672.24668338438846</v>
      </c>
      <c r="E7">
        <v>1.1100000000000001</v>
      </c>
    </row>
    <row r="8" spans="1:20">
      <c r="A8" t="s">
        <v>85</v>
      </c>
      <c r="C8" s="22">
        <v>38.516255400973186</v>
      </c>
      <c r="E8">
        <v>1.1100000000000001</v>
      </c>
    </row>
    <row r="9" spans="1:20">
      <c r="B9" t="s">
        <v>75</v>
      </c>
      <c r="C9" s="26">
        <f>C7/C5/C2/C4/C3</f>
        <v>0.42213955219666771</v>
      </c>
    </row>
    <row r="10" spans="1:20">
      <c r="B10" t="s">
        <v>86</v>
      </c>
      <c r="C10" s="26">
        <f>C8*1000/C2/C3/C4/C6</f>
        <v>60.417655530938326</v>
      </c>
    </row>
    <row r="12" spans="1:20">
      <c r="B12">
        <f>Results!G28</f>
        <v>38.516255400973186</v>
      </c>
      <c r="C12">
        <f>Results!H28</f>
        <v>672.24668338438846</v>
      </c>
    </row>
  </sheetData>
  <mergeCells count="1">
    <mergeCell ref="K1:L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mateiral inventory</vt:lpstr>
      <vt:lpstr>SA</vt:lpstr>
      <vt:lpstr>energy inventory</vt:lpstr>
      <vt:lpstr>Results</vt:lpstr>
      <vt:lpstr>uncertainty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2020-01-04T20:09:32Z</dcterms:modified>
</cp:coreProperties>
</file>