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filterPrivacy="1" codeName="ThisWorkbook"/>
  <xr:revisionPtr revIDLastSave="0" documentId="13_ncr:1_{33F3C995-306B-4C1C-AFD6-D2DE41ECFF6E}" xr6:coauthVersionLast="45" xr6:coauthVersionMax="45" xr10:uidLastSave="{00000000-0000-0000-0000-000000000000}"/>
  <bookViews>
    <workbookView xWindow="-120" yWindow="-120" windowWidth="29040" windowHeight="15840" activeTab="1" xr2:uid="{00000000-000D-0000-FFFF-FFFF00000000}"/>
  </bookViews>
  <sheets>
    <sheet name="material inventory" sheetId="1" r:id="rId1"/>
    <sheet name="sensitivity" sheetId="9" r:id="rId2"/>
    <sheet name="energy consumption" sheetId="2" r:id="rId3"/>
    <sheet name="results" sheetId="5" r:id="rId4"/>
    <sheet name="uncertainty" sheetId="6" r:id="rId5"/>
    <sheet name="CB_DATA_" sheetId="4" state="veryHidden" r:id="rId6"/>
  </sheets>
  <externalReferences>
    <externalReference r:id="rId7"/>
    <externalReference r:id="rId8"/>
    <externalReference r:id="rId9"/>
    <externalReference r:id="rId10"/>
    <externalReference r:id="rId11"/>
    <externalReference r:id="rId12"/>
    <externalReference r:id="rId13"/>
  </externalReferences>
  <definedNames>
    <definedName name="CB_1c552a0764d543c5bbf3926395c7f317" localSheetId="4" hidden="1">uncertainty!$C$7</definedName>
    <definedName name="CB_29a66ae046f040f29ac5464671b7f4d7" localSheetId="4" hidden="1">uncertainty!$C$10</definedName>
    <definedName name="CB_2c9c74978bef41a29dd780eabf4ddd20" localSheetId="4" hidden="1">uncertainty!$C$6</definedName>
    <definedName name="CB_a6dfdd498a8c40f3a97299b5be30db65" localSheetId="5" hidden="1">#N/A</definedName>
    <definedName name="CB_b4ced0260afb4d5ba1bdf15f4e67b979" localSheetId="4" hidden="1">uncertainty!$C$8</definedName>
    <definedName name="CB_b6034ffdc36248d4b608e37ea72e6750" localSheetId="4" hidden="1">uncertainty!$C$9</definedName>
    <definedName name="CB_b9d09b191fad4321bbd58a9b896c3a5e" localSheetId="5" hidden="1">#N/A</definedName>
    <definedName name="CB_Block_00000000000000000000000000000000" localSheetId="5" hidden="1">"'7.0.0.0"</definedName>
    <definedName name="CB_Block_00000000000000000000000000000000" localSheetId="4" hidden="1">"'7.0.0.0"</definedName>
    <definedName name="CB_Block_00000000000000000000000000000001" localSheetId="5" hidden="1">"'637136999360843855"</definedName>
    <definedName name="CB_Block_00000000000000000000000000000001" localSheetId="4" hidden="1">"'637136999361390467"</definedName>
    <definedName name="CB_Block_00000000000000000000000000000003" localSheetId="5" hidden="1">"'11.1.4716.0"</definedName>
    <definedName name="CB_Block_00000000000000000000000000000003" localSheetId="4" hidden="1">"'11.1.4716.0"</definedName>
    <definedName name="CB_BlockExt_00000000000000000000000000000003" localSheetId="5" hidden="1">"'11.1.2.4.850"</definedName>
    <definedName name="CB_BlockExt_00000000000000000000000000000003" localSheetId="4" hidden="1">"'11.1.2.4.850"</definedName>
    <definedName name="CB_e3691231f849436dbc1ec9fd0c9362b5" localSheetId="4" hidden="1">uncertainty!$C$2</definedName>
    <definedName name="CB_f16a36ffcc644edaa47805181fb53b53" localSheetId="4" hidden="1">uncertainty!$C$3</definedName>
    <definedName name="CB_f499226ce08d4509b9b043083dd43aef" localSheetId="4" hidden="1">uncertainty!$C$4</definedName>
    <definedName name="CBCR_12ff9c8325844dfc933e735a5c010c61" localSheetId="4" hidden="1">uncertainty!$E$7</definedName>
    <definedName name="CBCR_146476bf6a814accb854669b62de5dd6" localSheetId="4" hidden="1">uncertainty!$C$8</definedName>
    <definedName name="CBCR_1c9168ee1e8f41a9add4251a6e58f697" localSheetId="4" hidden="1">uncertainty!$E$2</definedName>
    <definedName name="CBCR_1d0b84596ef24965b78c919488adc473" localSheetId="4" hidden="1">uncertainty!$C$6</definedName>
    <definedName name="CBCR_231ab382c6274181998df9c4f8b048c6" localSheetId="4" hidden="1">uncertainty!$E$3</definedName>
    <definedName name="CBCR_489e32eeebce45c5b6d15949432fffd1" localSheetId="4" hidden="1">uncertainty!$C$7</definedName>
    <definedName name="CBCR_7545999ce53542f2ae437fea85bc5271" localSheetId="4" hidden="1">uncertainty!$E$4</definedName>
    <definedName name="CBCR_b4c2caef5129455ba758ad3a2f3be87a" localSheetId="4" hidden="1">uncertainty!$C$3</definedName>
    <definedName name="CBCR_ba03821dfcce4865ae5c51af116cba22" localSheetId="4" hidden="1">uncertainty!$C$2</definedName>
    <definedName name="CBCR_bf7a8f1040aa4c56b1b8bbd155bd11eb" localSheetId="4" hidden="1">uncertainty!$E$8</definedName>
    <definedName name="CBCR_cc2f49e12f2846c19f44f07b834bd10d" localSheetId="4" hidden="1">uncertainty!$C$4</definedName>
    <definedName name="CBCR_e60be1587a75439790ea56e9c6efe891" localSheetId="4" hidden="1">uncertainty!$E$6</definedName>
    <definedName name="CBWorkbookPriority" localSheetId="5" hidden="1">-1361577931032380</definedName>
    <definedName name="CBx_0a4cc0542da3409ebbac35982ef185f7" localSheetId="5" hidden="1">"'Uncertainty'!$A$1"</definedName>
    <definedName name="CBx_19e15c5a500e4855bf103a8e995feb53" localSheetId="5" hidden="1">"'uncertainty'!$A$1"</definedName>
    <definedName name="CBx_9cc7db5fa39f4ef59a1e1d6dd4332f97" localSheetId="5" hidden="1">"'Sheet1'!$A$1"</definedName>
    <definedName name="CBx_da2faeed94704e3bb2dd889b0059c929" localSheetId="5" hidden="1">"'CB_DATA_'!$A$1"</definedName>
    <definedName name="CBx_Sheet_Guid" localSheetId="5" hidden="1">"'da2faeed-9470-4e3b-b2dd-889b0059c929"</definedName>
    <definedName name="CBx_Sheet_Guid" localSheetId="4" hidden="1">"'19e15c5a-500e-4855-bf10-3a8e995feb53"</definedName>
    <definedName name="CBx_SheetRef" localSheetId="5" hidden="1">CB_DATA_!$A$14</definedName>
    <definedName name="CBx_SheetRef" localSheetId="4" hidden="1">CB_DATA_!$B$14</definedName>
    <definedName name="CBx_StorageType" localSheetId="5" hidden="1">2</definedName>
    <definedName name="CBx_StorageType" localSheetId="4"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 i="9" l="1"/>
  <c r="B20" i="9"/>
  <c r="B19" i="9"/>
  <c r="B21" i="9"/>
  <c r="B22" i="9"/>
  <c r="B18" i="9"/>
  <c r="F17" i="9"/>
  <c r="F20" i="9"/>
  <c r="F19" i="9"/>
  <c r="F21" i="9"/>
  <c r="F22" i="9"/>
  <c r="F18" i="9"/>
  <c r="H22" i="9"/>
  <c r="H21" i="9"/>
  <c r="H19" i="9"/>
  <c r="H20" i="9"/>
  <c r="H23" i="9"/>
  <c r="H17" i="9"/>
  <c r="H16" i="9"/>
  <c r="H18" i="9"/>
  <c r="H11" i="9"/>
  <c r="H10" i="9"/>
  <c r="H8" i="9"/>
  <c r="H9" i="9"/>
  <c r="H12" i="9"/>
  <c r="H6" i="9"/>
  <c r="H5" i="9"/>
  <c r="H7" i="9"/>
  <c r="P2" i="4"/>
  <c r="C19" i="5" l="1"/>
  <c r="H1" i="5" l="1"/>
  <c r="G1" i="5"/>
  <c r="H19" i="5"/>
  <c r="B19" i="5"/>
  <c r="G19" i="5" s="1"/>
  <c r="F11" i="9"/>
  <c r="F10" i="9"/>
  <c r="F8" i="9"/>
  <c r="F9" i="9"/>
  <c r="B11" i="9"/>
  <c r="B10" i="9"/>
  <c r="B8" i="9"/>
  <c r="B9" i="9"/>
  <c r="F6" i="9"/>
  <c r="B6" i="9"/>
  <c r="E4" i="2"/>
  <c r="D4" i="2"/>
  <c r="F33" i="1" l="1"/>
  <c r="J33" i="1"/>
  <c r="F49" i="1" s="1"/>
  <c r="F18" i="1"/>
  <c r="F16" i="1"/>
  <c r="F14" i="1"/>
  <c r="A49" i="1" l="1"/>
  <c r="C17" i="2" l="1"/>
  <c r="A14" i="5" l="1"/>
  <c r="A15" i="5"/>
  <c r="A16" i="5"/>
  <c r="H13" i="2"/>
  <c r="A30" i="5" s="1"/>
  <c r="A29" i="5"/>
  <c r="H11" i="2"/>
  <c r="A28" i="5" s="1"/>
  <c r="H10" i="2"/>
  <c r="A27" i="5" s="1"/>
  <c r="H9" i="2"/>
  <c r="A26" i="5" s="1"/>
  <c r="H8" i="2"/>
  <c r="A25" i="5" s="1"/>
  <c r="H7" i="2"/>
  <c r="A24" i="5" s="1"/>
  <c r="H6" i="2"/>
  <c r="A23" i="5" s="1"/>
  <c r="H5" i="2"/>
  <c r="A22" i="5" s="1"/>
  <c r="H4" i="2"/>
  <c r="A21" i="5" s="1"/>
  <c r="H3" i="2"/>
  <c r="A20" i="5" s="1"/>
  <c r="A51" i="1"/>
  <c r="A50" i="1"/>
  <c r="C13" i="2"/>
  <c r="C12" i="2"/>
  <c r="C11" i="2"/>
  <c r="C7" i="2"/>
  <c r="E7" i="2" s="1"/>
  <c r="D17" i="2"/>
  <c r="F34" i="1" s="1"/>
  <c r="S26" i="1" s="1"/>
  <c r="D15" i="2"/>
  <c r="E15" i="2" s="1"/>
  <c r="D10" i="2"/>
  <c r="D24" i="2"/>
  <c r="E24" i="2" s="1"/>
  <c r="F24" i="2" s="1"/>
  <c r="D9" i="2"/>
  <c r="D6" i="2"/>
  <c r="E6" i="2" s="1"/>
  <c r="K32" i="1"/>
  <c r="K33" i="1"/>
  <c r="K34" i="1"/>
  <c r="K35" i="1"/>
  <c r="K36" i="1"/>
  <c r="K37" i="1"/>
  <c r="K38" i="1"/>
  <c r="K39" i="1"/>
  <c r="K31" i="1"/>
  <c r="K29" i="1"/>
  <c r="A18" i="5" s="1"/>
  <c r="K28" i="1"/>
  <c r="A17" i="5" s="1"/>
  <c r="K24" i="1"/>
  <c r="A13" i="5" s="1"/>
  <c r="K18" i="1"/>
  <c r="A7" i="5" s="1"/>
  <c r="K19" i="1"/>
  <c r="A8" i="5" s="1"/>
  <c r="K20" i="1"/>
  <c r="A9" i="5" s="1"/>
  <c r="K21" i="1"/>
  <c r="A10" i="5" s="1"/>
  <c r="K22" i="1"/>
  <c r="A11" i="5" s="1"/>
  <c r="K23" i="1"/>
  <c r="A12" i="5" s="1"/>
  <c r="K17" i="1"/>
  <c r="A6" i="5" s="1"/>
  <c r="K16" i="1"/>
  <c r="A5" i="5" s="1"/>
  <c r="K15" i="1"/>
  <c r="A4" i="5" s="1"/>
  <c r="K14" i="1"/>
  <c r="A3" i="5" s="1"/>
  <c r="K13" i="1"/>
  <c r="A2" i="5" s="1"/>
  <c r="F31" i="1"/>
  <c r="F20" i="1"/>
  <c r="F54" i="1" s="1"/>
  <c r="E17" i="2" l="1"/>
  <c r="Y26" i="1"/>
  <c r="AF26" i="1"/>
  <c r="X26" i="1"/>
  <c r="P26" i="1"/>
  <c r="AH26" i="1"/>
  <c r="M26" i="1"/>
  <c r="C15" i="5" s="1"/>
  <c r="H15" i="5" s="1"/>
  <c r="Q26" i="1"/>
  <c r="AE26" i="1"/>
  <c r="W26" i="1"/>
  <c r="O26" i="1"/>
  <c r="Z26" i="1"/>
  <c r="AD26" i="1"/>
  <c r="V26" i="1"/>
  <c r="N26" i="1"/>
  <c r="R26" i="1"/>
  <c r="AG26" i="1"/>
  <c r="AC26" i="1"/>
  <c r="U26" i="1"/>
  <c r="AB26" i="1"/>
  <c r="L26" i="1"/>
  <c r="B15" i="5" s="1"/>
  <c r="G15" i="5" s="1"/>
  <c r="T26" i="1"/>
  <c r="AA26" i="1"/>
  <c r="F35" i="1"/>
  <c r="F50" i="1"/>
  <c r="Q47" i="1"/>
  <c r="P47" i="1"/>
  <c r="W47" i="1"/>
  <c r="X47" i="1"/>
  <c r="AE47" i="1"/>
  <c r="AF47" i="1"/>
  <c r="O47" i="1"/>
  <c r="V47" i="1"/>
  <c r="N47" i="1"/>
  <c r="AC47" i="1"/>
  <c r="U47" i="1"/>
  <c r="L47" i="1"/>
  <c r="B32" i="5" s="1"/>
  <c r="G32" i="5" s="1"/>
  <c r="AB47" i="1"/>
  <c r="T47" i="1"/>
  <c r="S47" i="1"/>
  <c r="AH47" i="1"/>
  <c r="Z47" i="1"/>
  <c r="R47" i="1"/>
  <c r="AD47" i="1"/>
  <c r="M47" i="1"/>
  <c r="C32" i="5" s="1"/>
  <c r="H32" i="5" s="1"/>
  <c r="AA47" i="1"/>
  <c r="AG47" i="1"/>
  <c r="Y47" i="1"/>
  <c r="F51" i="1" l="1"/>
  <c r="N27" i="1"/>
  <c r="V27" i="1"/>
  <c r="AD27" i="1"/>
  <c r="L27" i="1"/>
  <c r="O27" i="1"/>
  <c r="W27" i="1"/>
  <c r="AE27" i="1"/>
  <c r="P27" i="1"/>
  <c r="X27" i="1"/>
  <c r="AF27" i="1"/>
  <c r="U27" i="1"/>
  <c r="Q27" i="1"/>
  <c r="Y27" i="1"/>
  <c r="AG27" i="1"/>
  <c r="R27" i="1"/>
  <c r="Z27" i="1"/>
  <c r="AH27" i="1"/>
  <c r="T27" i="1"/>
  <c r="S27" i="1"/>
  <c r="AA27" i="1"/>
  <c r="M27" i="1"/>
  <c r="C16" i="5" s="1"/>
  <c r="H16" i="5" s="1"/>
  <c r="AB27" i="1"/>
  <c r="AC27" i="1"/>
  <c r="F7" i="9"/>
  <c r="B7" i="9"/>
  <c r="B16" i="5" l="1"/>
  <c r="G16" i="5" s="1"/>
  <c r="F1" i="6"/>
  <c r="C10" i="6" l="1"/>
  <c r="C9" i="6"/>
  <c r="B11" i="4"/>
  <c r="F17" i="2" l="1"/>
  <c r="D19" i="2"/>
  <c r="E19" i="2" s="1"/>
  <c r="F19" i="2" s="1"/>
  <c r="F38" i="1"/>
  <c r="F37" i="1"/>
  <c r="I13" i="2" l="1"/>
  <c r="Q13" i="2"/>
  <c r="Y13" i="2"/>
  <c r="AG13" i="2"/>
  <c r="R13" i="2"/>
  <c r="Z13" i="2"/>
  <c r="S13" i="2"/>
  <c r="AI13" i="2"/>
  <c r="V13" i="2"/>
  <c r="W13" i="2"/>
  <c r="X13" i="2"/>
  <c r="J13" i="2"/>
  <c r="AH13" i="2"/>
  <c r="AA13" i="2"/>
  <c r="T13" i="2"/>
  <c r="AB13" i="2"/>
  <c r="M13" i="2"/>
  <c r="AK13" i="2"/>
  <c r="AL13" i="2"/>
  <c r="O13" i="2"/>
  <c r="P13" i="2"/>
  <c r="K13" i="2"/>
  <c r="L13" i="2"/>
  <c r="AJ13" i="2"/>
  <c r="U13" i="2"/>
  <c r="AC13" i="2"/>
  <c r="N13" i="2"/>
  <c r="AD13" i="2"/>
  <c r="AM13" i="2"/>
  <c r="AE13" i="2"/>
  <c r="AF13" i="2"/>
  <c r="W29" i="1"/>
  <c r="U28" i="1"/>
  <c r="AH29" i="1"/>
  <c r="R29" i="1"/>
  <c r="AF28" i="1"/>
  <c r="P28" i="1"/>
  <c r="AG29" i="1"/>
  <c r="Q29" i="1"/>
  <c r="AE28" i="1"/>
  <c r="O28" i="1"/>
  <c r="X29" i="1"/>
  <c r="V28" i="1"/>
  <c r="N28" i="1"/>
  <c r="O29" i="1"/>
  <c r="AC28" i="1"/>
  <c r="M28" i="1"/>
  <c r="AF29" i="1"/>
  <c r="P29" i="1"/>
  <c r="AD28" i="1"/>
  <c r="AE29" i="1"/>
  <c r="Z29" i="1"/>
  <c r="X28" i="1"/>
  <c r="Y29" i="1"/>
  <c r="W28" i="1"/>
  <c r="N29" i="1"/>
  <c r="AB28" i="1"/>
  <c r="T28" i="1"/>
  <c r="AD29" i="1"/>
  <c r="AC29" i="1"/>
  <c r="U29" i="1"/>
  <c r="M29" i="1"/>
  <c r="C18" i="5" s="1"/>
  <c r="H18" i="5" s="1"/>
  <c r="AA28" i="1"/>
  <c r="S28" i="1"/>
  <c r="V29" i="1"/>
  <c r="L28" i="1"/>
  <c r="B17" i="5" s="1"/>
  <c r="G17" i="5" s="1"/>
  <c r="AB29" i="1"/>
  <c r="T29" i="1"/>
  <c r="AH28" i="1"/>
  <c r="Z28" i="1"/>
  <c r="R28" i="1"/>
  <c r="L29" i="1"/>
  <c r="B18" i="5" s="1"/>
  <c r="G18" i="5" s="1"/>
  <c r="AA29" i="1"/>
  <c r="S29" i="1"/>
  <c r="AG28" i="1"/>
  <c r="Y28" i="1"/>
  <c r="Q28" i="1"/>
  <c r="C30" i="5" l="1"/>
  <c r="H30" i="5" s="1"/>
  <c r="C17" i="5"/>
  <c r="H17" i="5" s="1"/>
  <c r="B30" i="5"/>
  <c r="G30" i="5" s="1"/>
  <c r="F30" i="1"/>
  <c r="P24" i="1" l="1"/>
  <c r="X24" i="1"/>
  <c r="AF24" i="1"/>
  <c r="R24" i="1"/>
  <c r="Z24" i="1"/>
  <c r="S24" i="1"/>
  <c r="M24" i="1"/>
  <c r="T24" i="1"/>
  <c r="L24" i="1"/>
  <c r="Q24" i="1"/>
  <c r="Y24" i="1"/>
  <c r="AG24" i="1"/>
  <c r="AH24" i="1"/>
  <c r="AA24" i="1"/>
  <c r="AB24" i="1"/>
  <c r="U24" i="1"/>
  <c r="AC24" i="1"/>
  <c r="N24" i="1"/>
  <c r="V24" i="1"/>
  <c r="AD24" i="1"/>
  <c r="O24" i="1"/>
  <c r="W24" i="1"/>
  <c r="AE24" i="1"/>
  <c r="F48" i="1"/>
  <c r="F47" i="1"/>
  <c r="B13" i="5" l="1"/>
  <c r="G13" i="5" s="1"/>
  <c r="C13" i="5"/>
  <c r="H13" i="5" s="1"/>
  <c r="P38" i="1"/>
  <c r="X38" i="1"/>
  <c r="AF38" i="1"/>
  <c r="N38" i="1"/>
  <c r="Q38" i="1"/>
  <c r="Y38" i="1"/>
  <c r="AG38" i="1"/>
  <c r="L38" i="1"/>
  <c r="AD38" i="1"/>
  <c r="R38" i="1"/>
  <c r="Z38" i="1"/>
  <c r="AH38" i="1"/>
  <c r="V38" i="1"/>
  <c r="AE38" i="1"/>
  <c r="S38" i="1"/>
  <c r="AA38" i="1"/>
  <c r="W38" i="1"/>
  <c r="T38" i="1"/>
  <c r="AB38" i="1"/>
  <c r="M38" i="1"/>
  <c r="U38" i="1"/>
  <c r="AC38" i="1"/>
  <c r="O38" i="1"/>
  <c r="R39" i="1"/>
  <c r="Z39" i="1"/>
  <c r="AH39" i="1"/>
  <c r="AB39" i="1"/>
  <c r="AF39" i="1"/>
  <c r="Y39" i="1"/>
  <c r="S39" i="1"/>
  <c r="AA39" i="1"/>
  <c r="L39" i="1"/>
  <c r="M39" i="1"/>
  <c r="P39" i="1"/>
  <c r="T39" i="1"/>
  <c r="U39" i="1"/>
  <c r="AG39" i="1"/>
  <c r="AC39" i="1"/>
  <c r="N39" i="1"/>
  <c r="V39" i="1"/>
  <c r="AD39" i="1"/>
  <c r="O39" i="1"/>
  <c r="W39" i="1"/>
  <c r="AE39" i="1"/>
  <c r="X39" i="1"/>
  <c r="Q39" i="1"/>
  <c r="G24" i="1"/>
  <c r="H24" i="1" s="1"/>
  <c r="G23" i="1"/>
  <c r="H23" i="1" l="1"/>
  <c r="H25" i="1" s="1"/>
  <c r="H22" i="1" l="1"/>
  <c r="G22" i="1" s="1"/>
  <c r="H21" i="1"/>
  <c r="G21" i="1" s="1"/>
  <c r="A11" i="4"/>
  <c r="F15" i="2" l="1"/>
  <c r="O11" i="2" s="1"/>
  <c r="E10" i="2"/>
  <c r="F10" i="2" s="1"/>
  <c r="E9" i="2"/>
  <c r="F9" i="2" s="1"/>
  <c r="F6" i="2"/>
  <c r="D13" i="2"/>
  <c r="E13" i="2" s="1"/>
  <c r="D12" i="2"/>
  <c r="E12" i="2" s="1"/>
  <c r="D11" i="2"/>
  <c r="E11" i="2" s="1"/>
  <c r="F7" i="2"/>
  <c r="F13" i="2" l="1"/>
  <c r="S10" i="2" s="1"/>
  <c r="L12" i="2"/>
  <c r="I5" i="2"/>
  <c r="B22" i="5" s="1"/>
  <c r="G22" i="5" s="1"/>
  <c r="Q5" i="2"/>
  <c r="Y5" i="2"/>
  <c r="AG5" i="2"/>
  <c r="J5" i="2"/>
  <c r="R5" i="2"/>
  <c r="C22" i="5" s="1"/>
  <c r="H22" i="5" s="1"/>
  <c r="Z5" i="2"/>
  <c r="AH5" i="2"/>
  <c r="AM5" i="2"/>
  <c r="K5" i="2"/>
  <c r="S5" i="2"/>
  <c r="AA5" i="2"/>
  <c r="AI5" i="2"/>
  <c r="N5" i="2"/>
  <c r="W5" i="2"/>
  <c r="L5" i="2"/>
  <c r="T5" i="2"/>
  <c r="AB5" i="2"/>
  <c r="AJ5" i="2"/>
  <c r="V5" i="2"/>
  <c r="AE5" i="2"/>
  <c r="M5" i="2"/>
  <c r="U5" i="2"/>
  <c r="AC5" i="2"/>
  <c r="AK5" i="2"/>
  <c r="AL5" i="2"/>
  <c r="P5" i="2"/>
  <c r="X5" i="2"/>
  <c r="AF5" i="2"/>
  <c r="AD5" i="2"/>
  <c r="O5" i="2"/>
  <c r="T12" i="2"/>
  <c r="U12" i="2"/>
  <c r="V12" i="2"/>
  <c r="X12" i="2"/>
  <c r="Y12" i="2"/>
  <c r="W12" i="2"/>
  <c r="AE12" i="2"/>
  <c r="P12" i="2"/>
  <c r="AF12" i="2"/>
  <c r="AI12" i="2"/>
  <c r="J12" i="2"/>
  <c r="Z12" i="2"/>
  <c r="F12" i="2"/>
  <c r="AD11" i="2"/>
  <c r="N11" i="2"/>
  <c r="AK11" i="2"/>
  <c r="AC11" i="2"/>
  <c r="U11" i="2"/>
  <c r="M11" i="2"/>
  <c r="AJ11" i="2"/>
  <c r="AB11" i="2"/>
  <c r="T11" i="2"/>
  <c r="L11" i="2"/>
  <c r="AH11" i="2"/>
  <c r="R11" i="2"/>
  <c r="C28" i="5" s="1"/>
  <c r="H28" i="5" s="1"/>
  <c r="J11" i="2"/>
  <c r="AL11" i="2"/>
  <c r="V11" i="2"/>
  <c r="AI11" i="2"/>
  <c r="AA11" i="2"/>
  <c r="S11" i="2"/>
  <c r="K11" i="2"/>
  <c r="Z11" i="2"/>
  <c r="AG11" i="2"/>
  <c r="Y11" i="2"/>
  <c r="Q11" i="2"/>
  <c r="I11" i="2"/>
  <c r="B28" i="5" s="1"/>
  <c r="G28" i="5" s="1"/>
  <c r="AF11" i="2"/>
  <c r="X11" i="2"/>
  <c r="P11" i="2"/>
  <c r="AM11" i="2"/>
  <c r="AE11" i="2"/>
  <c r="W11" i="2"/>
  <c r="L7" i="2"/>
  <c r="T7" i="2"/>
  <c r="AB7" i="2"/>
  <c r="AJ7" i="2"/>
  <c r="M7" i="2"/>
  <c r="U7" i="2"/>
  <c r="AC7" i="2"/>
  <c r="AK7" i="2"/>
  <c r="N7" i="2"/>
  <c r="V7" i="2"/>
  <c r="AD7" i="2"/>
  <c r="AL7" i="2"/>
  <c r="O7" i="2"/>
  <c r="W7" i="2"/>
  <c r="AE7" i="2"/>
  <c r="AM7" i="2"/>
  <c r="P7" i="2"/>
  <c r="X7" i="2"/>
  <c r="AF7" i="2"/>
  <c r="I7" i="2"/>
  <c r="B24" i="5" s="1"/>
  <c r="G24" i="5" s="1"/>
  <c r="Q7" i="2"/>
  <c r="Y7" i="2"/>
  <c r="AG7" i="2"/>
  <c r="J7" i="2"/>
  <c r="R7" i="2"/>
  <c r="C24" i="5" s="1"/>
  <c r="H24" i="5" s="1"/>
  <c r="Z7" i="2"/>
  <c r="AH7" i="2"/>
  <c r="K7" i="2"/>
  <c r="S7" i="2"/>
  <c r="AA7" i="2"/>
  <c r="AI7" i="2"/>
  <c r="J6" i="2"/>
  <c r="R6" i="2"/>
  <c r="C23" i="5" s="1"/>
  <c r="H23" i="5" s="1"/>
  <c r="Z6" i="2"/>
  <c r="AH6" i="2"/>
  <c r="AK6" i="2"/>
  <c r="AM6" i="2"/>
  <c r="K6" i="2"/>
  <c r="S6" i="2"/>
  <c r="AA6" i="2"/>
  <c r="AI6" i="2"/>
  <c r="X6" i="2"/>
  <c r="Q6" i="2"/>
  <c r="L6" i="2"/>
  <c r="T6" i="2"/>
  <c r="AB6" i="2"/>
  <c r="AJ6" i="2"/>
  <c r="I6" i="2"/>
  <c r="B23" i="5" s="1"/>
  <c r="G23" i="5" s="1"/>
  <c r="M6" i="2"/>
  <c r="U6" i="2"/>
  <c r="AC6" i="2"/>
  <c r="AE6" i="2"/>
  <c r="AG6" i="2"/>
  <c r="N6" i="2"/>
  <c r="V6" i="2"/>
  <c r="AD6" i="2"/>
  <c r="AL6" i="2"/>
  <c r="W6" i="2"/>
  <c r="AF6" i="2"/>
  <c r="Y6" i="2"/>
  <c r="O6" i="2"/>
  <c r="P6" i="2"/>
  <c r="I4" i="2"/>
  <c r="B21" i="5" s="1"/>
  <c r="G21" i="5" s="1"/>
  <c r="AH4" i="2"/>
  <c r="K4" i="2"/>
  <c r="S4" i="2"/>
  <c r="AA4" i="2"/>
  <c r="AI4" i="2"/>
  <c r="U4" i="2"/>
  <c r="AC4" i="2"/>
  <c r="AK4" i="2"/>
  <c r="N4" i="2"/>
  <c r="V4" i="2"/>
  <c r="AD4" i="2"/>
  <c r="R4" i="2"/>
  <c r="C21" i="5" s="1"/>
  <c r="H21" i="5" s="1"/>
  <c r="Z4" i="2"/>
  <c r="L4" i="2"/>
  <c r="T4" i="2"/>
  <c r="AB4" i="2"/>
  <c r="AJ4" i="2"/>
  <c r="AL4" i="2"/>
  <c r="M4" i="2"/>
  <c r="O4" i="2"/>
  <c r="W4" i="2"/>
  <c r="AE4" i="2"/>
  <c r="AM4" i="2"/>
  <c r="P4" i="2"/>
  <c r="X4" i="2"/>
  <c r="AF4" i="2"/>
  <c r="Q4" i="2"/>
  <c r="Y4" i="2"/>
  <c r="AG4" i="2"/>
  <c r="J4" i="2"/>
  <c r="F11" i="2"/>
  <c r="G11" i="2" l="1"/>
  <c r="P10" i="2"/>
  <c r="O10" i="2"/>
  <c r="X10" i="2"/>
  <c r="AB10" i="2"/>
  <c r="AH10" i="2"/>
  <c r="I10" i="2"/>
  <c r="AM10" i="2"/>
  <c r="T10" i="2"/>
  <c r="AJ10" i="2"/>
  <c r="Z10" i="2"/>
  <c r="AF10" i="2"/>
  <c r="AK10" i="2"/>
  <c r="L10" i="2"/>
  <c r="W10" i="2"/>
  <c r="AC10" i="2"/>
  <c r="J10" i="2"/>
  <c r="AD10" i="2"/>
  <c r="U10" i="2"/>
  <c r="AA10" i="2"/>
  <c r="AG10" i="2"/>
  <c r="R10" i="2"/>
  <c r="AL10" i="2"/>
  <c r="AI10" i="2"/>
  <c r="Q10" i="2"/>
  <c r="V10" i="2"/>
  <c r="M10" i="2"/>
  <c r="K10" i="2"/>
  <c r="AE10" i="2"/>
  <c r="N10" i="2"/>
  <c r="Y10" i="2"/>
  <c r="AA12" i="2"/>
  <c r="N12" i="2"/>
  <c r="AC12" i="2"/>
  <c r="AB12" i="2"/>
  <c r="K12" i="2"/>
  <c r="AH12" i="2"/>
  <c r="AK12" i="2"/>
  <c r="Q12" i="2"/>
  <c r="R12" i="2"/>
  <c r="C29" i="5" s="1"/>
  <c r="H29" i="5" s="1"/>
  <c r="AL12" i="2"/>
  <c r="M12" i="2"/>
  <c r="I12" i="2"/>
  <c r="B29" i="5" s="1"/>
  <c r="G29" i="5" s="1"/>
  <c r="AM12" i="2"/>
  <c r="AD12" i="2"/>
  <c r="AJ12" i="2"/>
  <c r="S12" i="2"/>
  <c r="O12" i="2"/>
  <c r="AG12" i="2"/>
  <c r="J9" i="2"/>
  <c r="R9" i="2"/>
  <c r="C26" i="5" s="1"/>
  <c r="H26" i="5" s="1"/>
  <c r="Z9" i="2"/>
  <c r="AH9" i="2"/>
  <c r="K9" i="2"/>
  <c r="S9" i="2"/>
  <c r="AA9" i="2"/>
  <c r="AI9" i="2"/>
  <c r="AE9" i="2"/>
  <c r="L9" i="2"/>
  <c r="T9" i="2"/>
  <c r="AB9" i="2"/>
  <c r="AJ9" i="2"/>
  <c r="O9" i="2"/>
  <c r="AM9" i="2"/>
  <c r="X9" i="2"/>
  <c r="M9" i="2"/>
  <c r="U9" i="2"/>
  <c r="AC9" i="2"/>
  <c r="AK9" i="2"/>
  <c r="N9" i="2"/>
  <c r="V9" i="2"/>
  <c r="AD9" i="2"/>
  <c r="AL9" i="2"/>
  <c r="P9" i="2"/>
  <c r="I9" i="2"/>
  <c r="B26" i="5" s="1"/>
  <c r="G26" i="5" s="1"/>
  <c r="Q9" i="2"/>
  <c r="Y9" i="2"/>
  <c r="AG9" i="2"/>
  <c r="W9" i="2"/>
  <c r="AF9" i="2"/>
  <c r="J8" i="2"/>
  <c r="R8" i="2"/>
  <c r="C25" i="5" s="1"/>
  <c r="H25" i="5" s="1"/>
  <c r="Z8" i="2"/>
  <c r="AH8" i="2"/>
  <c r="AL8" i="2"/>
  <c r="AF8" i="2"/>
  <c r="AG8" i="2"/>
  <c r="K8" i="2"/>
  <c r="S8" i="2"/>
  <c r="AA8" i="2"/>
  <c r="AI8" i="2"/>
  <c r="I8" i="2"/>
  <c r="B25" i="5" s="1"/>
  <c r="G25" i="5" s="1"/>
  <c r="L8" i="2"/>
  <c r="T8" i="2"/>
  <c r="AB8" i="2"/>
  <c r="AJ8" i="2"/>
  <c r="AD8" i="2"/>
  <c r="X8" i="2"/>
  <c r="Q8" i="2"/>
  <c r="M8" i="2"/>
  <c r="U8" i="2"/>
  <c r="AC8" i="2"/>
  <c r="AK8" i="2"/>
  <c r="V8" i="2"/>
  <c r="N8" i="2"/>
  <c r="O8" i="2"/>
  <c r="W8" i="2"/>
  <c r="AE8" i="2"/>
  <c r="AM8" i="2"/>
  <c r="P8" i="2"/>
  <c r="Y8" i="2"/>
  <c r="M13" i="1"/>
  <c r="N13" i="1"/>
  <c r="O13" i="1"/>
  <c r="P13" i="1"/>
  <c r="Q13" i="1"/>
  <c r="R13" i="1"/>
  <c r="S13" i="1"/>
  <c r="T13" i="1"/>
  <c r="U13" i="1"/>
  <c r="V13" i="1"/>
  <c r="W13" i="1"/>
  <c r="X13" i="1"/>
  <c r="Y13" i="1"/>
  <c r="Z13" i="1"/>
  <c r="AA13" i="1"/>
  <c r="AB13" i="1"/>
  <c r="AC13" i="1"/>
  <c r="AD13" i="1"/>
  <c r="AE13" i="1"/>
  <c r="AF13" i="1"/>
  <c r="AG13" i="1"/>
  <c r="AH13" i="1"/>
  <c r="L13" i="1"/>
  <c r="C27" i="5" l="1"/>
  <c r="H27" i="5" s="1"/>
  <c r="B2" i="5"/>
  <c r="G2" i="5" s="1"/>
  <c r="B27" i="5"/>
  <c r="G27" i="5" s="1"/>
  <c r="C2" i="5"/>
  <c r="H2" i="5" s="1"/>
  <c r="N40" i="1" l="1"/>
  <c r="V40" i="1"/>
  <c r="AD40" i="1"/>
  <c r="X40" i="1"/>
  <c r="AG40" i="1"/>
  <c r="AA40" i="1"/>
  <c r="T40" i="1"/>
  <c r="O40" i="1"/>
  <c r="W40" i="1"/>
  <c r="AE40" i="1"/>
  <c r="AF40" i="1"/>
  <c r="Y40" i="1"/>
  <c r="S40" i="1"/>
  <c r="U40" i="1"/>
  <c r="P40" i="1"/>
  <c r="Z40" i="1"/>
  <c r="L40" i="1"/>
  <c r="Q40" i="1"/>
  <c r="R40" i="1"/>
  <c r="AH40" i="1"/>
  <c r="M40" i="1"/>
  <c r="AB40" i="1"/>
  <c r="AC40" i="1"/>
  <c r="S25" i="1"/>
  <c r="AA25" i="1"/>
  <c r="M25" i="1"/>
  <c r="C14" i="5" s="1"/>
  <c r="H14" i="5" s="1"/>
  <c r="T25" i="1"/>
  <c r="AB25" i="1"/>
  <c r="L25" i="1"/>
  <c r="B14" i="5" s="1"/>
  <c r="G14" i="5" s="1"/>
  <c r="AC25" i="1"/>
  <c r="N25" i="1"/>
  <c r="V25" i="1"/>
  <c r="AD25" i="1"/>
  <c r="U25" i="1"/>
  <c r="X25" i="1"/>
  <c r="O25" i="1"/>
  <c r="W25" i="1"/>
  <c r="AE25" i="1"/>
  <c r="P25" i="1"/>
  <c r="AF25" i="1"/>
  <c r="Q25" i="1"/>
  <c r="Y25" i="1"/>
  <c r="AG25" i="1"/>
  <c r="R25" i="1"/>
  <c r="Z25" i="1"/>
  <c r="AH25" i="1"/>
  <c r="I24" i="1"/>
  <c r="I23" i="1"/>
  <c r="I22" i="1"/>
  <c r="I21" i="1"/>
  <c r="I26" i="1" l="1"/>
  <c r="B25" i="1" s="1"/>
  <c r="F25" i="1" s="1"/>
  <c r="B23" i="1" l="1"/>
  <c r="F23" i="1" s="1"/>
  <c r="B24" i="1"/>
  <c r="F24" i="1" s="1"/>
  <c r="M19" i="1" s="1"/>
  <c r="X20" i="1"/>
  <c r="AF20" i="1"/>
  <c r="U20" i="1"/>
  <c r="N20" i="1"/>
  <c r="Y20" i="1"/>
  <c r="R20" i="1"/>
  <c r="AA20" i="1"/>
  <c r="W20" i="1"/>
  <c r="AC20" i="1"/>
  <c r="P20" i="1"/>
  <c r="AH20" i="1"/>
  <c r="L20" i="1"/>
  <c r="AD20" i="1"/>
  <c r="AG20" i="1"/>
  <c r="M20" i="1"/>
  <c r="Q20" i="1"/>
  <c r="V20" i="1"/>
  <c r="O20" i="1"/>
  <c r="AE20" i="1"/>
  <c r="T20" i="1"/>
  <c r="B22" i="1"/>
  <c r="F22" i="1" s="1"/>
  <c r="T17" i="1" s="1"/>
  <c r="AB20" i="1"/>
  <c r="S20" i="1"/>
  <c r="Z20" i="1"/>
  <c r="F19" i="1"/>
  <c r="B9" i="5" l="1"/>
  <c r="G9" i="5" s="1"/>
  <c r="C8" i="5"/>
  <c r="H8" i="5" s="1"/>
  <c r="C9" i="5"/>
  <c r="H9" i="5" s="1"/>
  <c r="AF19" i="1"/>
  <c r="AH17" i="1"/>
  <c r="V17" i="1"/>
  <c r="U19" i="1"/>
  <c r="AB19" i="1"/>
  <c r="AA19" i="1"/>
  <c r="AH19" i="1"/>
  <c r="P19" i="1"/>
  <c r="O19" i="1"/>
  <c r="S19" i="1"/>
  <c r="AE19" i="1"/>
  <c r="AG19" i="1"/>
  <c r="T19" i="1"/>
  <c r="R19" i="1"/>
  <c r="W19" i="1"/>
  <c r="F26" i="1"/>
  <c r="AG21" i="1" s="1"/>
  <c r="F27" i="1"/>
  <c r="W22" i="1" s="1"/>
  <c r="AD19" i="1"/>
  <c r="U18" i="1"/>
  <c r="W18" i="1"/>
  <c r="M18" i="1"/>
  <c r="AF18" i="1"/>
  <c r="Q18" i="1"/>
  <c r="T18" i="1"/>
  <c r="AG18" i="1"/>
  <c r="O18" i="1"/>
  <c r="Y18" i="1"/>
  <c r="N18" i="1"/>
  <c r="AH18" i="1"/>
  <c r="P18" i="1"/>
  <c r="Z18" i="1"/>
  <c r="L18" i="1"/>
  <c r="V18" i="1"/>
  <c r="AF17" i="1"/>
  <c r="AD18" i="1"/>
  <c r="AE18" i="1"/>
  <c r="AC18" i="1"/>
  <c r="X18" i="1"/>
  <c r="AA18" i="1"/>
  <c r="S18" i="1"/>
  <c r="AB18" i="1"/>
  <c r="R18" i="1"/>
  <c r="F28" i="1"/>
  <c r="Z19" i="1"/>
  <c r="L19" i="1"/>
  <c r="X19" i="1"/>
  <c r="N19" i="1"/>
  <c r="AC19" i="1"/>
  <c r="V19" i="1"/>
  <c r="Q19" i="1"/>
  <c r="Y19" i="1"/>
  <c r="W17" i="1"/>
  <c r="AB17" i="1"/>
  <c r="P17" i="1"/>
  <c r="Z17" i="1"/>
  <c r="AG17" i="1"/>
  <c r="M17" i="1"/>
  <c r="C6" i="5" s="1"/>
  <c r="H6" i="5" s="1"/>
  <c r="AE17" i="1"/>
  <c r="L17" i="1"/>
  <c r="B6" i="5" s="1"/>
  <c r="G6" i="5" s="1"/>
  <c r="U17" i="1"/>
  <c r="R17" i="1"/>
  <c r="AC17" i="1"/>
  <c r="Y17" i="1"/>
  <c r="X17" i="1"/>
  <c r="O17" i="1"/>
  <c r="N17" i="1"/>
  <c r="Q17" i="1"/>
  <c r="S17" i="1"/>
  <c r="AD17" i="1"/>
  <c r="AA17" i="1"/>
  <c r="F44" i="1"/>
  <c r="O16" i="1"/>
  <c r="W16" i="1"/>
  <c r="AE16" i="1"/>
  <c r="P16" i="1"/>
  <c r="X16" i="1"/>
  <c r="AF16" i="1"/>
  <c r="Q16" i="1"/>
  <c r="Y16" i="1"/>
  <c r="AG16" i="1"/>
  <c r="V16" i="1"/>
  <c r="AD16" i="1"/>
  <c r="R16" i="1"/>
  <c r="Z16" i="1"/>
  <c r="AH16" i="1"/>
  <c r="T16" i="1"/>
  <c r="S16" i="1"/>
  <c r="AA16" i="1"/>
  <c r="L16" i="1"/>
  <c r="AB16" i="1"/>
  <c r="M16" i="1"/>
  <c r="U16" i="1"/>
  <c r="AC16" i="1"/>
  <c r="N16" i="1"/>
  <c r="G16" i="1"/>
  <c r="U22" i="1"/>
  <c r="N15" i="1"/>
  <c r="V15" i="1"/>
  <c r="AD15" i="1"/>
  <c r="O15" i="1"/>
  <c r="W15" i="1"/>
  <c r="AE15" i="1"/>
  <c r="P15" i="1"/>
  <c r="X15" i="1"/>
  <c r="AF15" i="1"/>
  <c r="Q15" i="1"/>
  <c r="Y15" i="1"/>
  <c r="AG15" i="1"/>
  <c r="R15" i="1"/>
  <c r="Z15" i="1"/>
  <c r="AH15" i="1"/>
  <c r="S15" i="1"/>
  <c r="AA15" i="1"/>
  <c r="L15" i="1"/>
  <c r="B4" i="5" s="1"/>
  <c r="G4" i="5" s="1"/>
  <c r="M15" i="1"/>
  <c r="C4" i="5" s="1"/>
  <c r="H4" i="5" s="1"/>
  <c r="AC15" i="1"/>
  <c r="T15" i="1"/>
  <c r="AB15" i="1"/>
  <c r="U15" i="1"/>
  <c r="B5" i="5" l="1"/>
  <c r="G5" i="5" s="1"/>
  <c r="B7" i="5"/>
  <c r="G7" i="5" s="1"/>
  <c r="B8" i="5"/>
  <c r="G8" i="5" s="1"/>
  <c r="C7" i="5"/>
  <c r="H7" i="5" s="1"/>
  <c r="C5" i="5"/>
  <c r="H5" i="5" s="1"/>
  <c r="O14" i="1"/>
  <c r="AC23" i="1"/>
  <c r="V23" i="1"/>
  <c r="W23" i="1"/>
  <c r="U23" i="1"/>
  <c r="N23" i="1"/>
  <c r="AD23" i="1"/>
  <c r="O23" i="1"/>
  <c r="AE23" i="1"/>
  <c r="AA23" i="1"/>
  <c r="Y23" i="1"/>
  <c r="S23" i="1"/>
  <c r="Q23" i="1"/>
  <c r="P23" i="1"/>
  <c r="L23" i="1"/>
  <c r="B12" i="5" s="1"/>
  <c r="G12" i="5" s="1"/>
  <c r="AF23" i="1"/>
  <c r="X23" i="1"/>
  <c r="T23" i="1"/>
  <c r="AB23" i="1"/>
  <c r="AH23" i="1"/>
  <c r="AG23" i="1"/>
  <c r="R23" i="1"/>
  <c r="Z23" i="1"/>
  <c r="M23" i="1"/>
  <c r="C12" i="5" s="1"/>
  <c r="H12" i="5" s="1"/>
  <c r="O22" i="1"/>
  <c r="L22" i="1"/>
  <c r="N22" i="1"/>
  <c r="F46" i="1"/>
  <c r="AD37" i="1" s="1"/>
  <c r="Q22" i="1"/>
  <c r="AF22" i="1"/>
  <c r="F42" i="1"/>
  <c r="X33" i="1" s="1"/>
  <c r="AD22" i="1"/>
  <c r="P22" i="1"/>
  <c r="R22" i="1"/>
  <c r="AH22" i="1"/>
  <c r="Z22" i="1"/>
  <c r="AB22" i="1"/>
  <c r="Y22" i="1"/>
  <c r="AE22" i="1"/>
  <c r="N14" i="1"/>
  <c r="AB14" i="1"/>
  <c r="F43" i="1"/>
  <c r="X34" i="1" s="1"/>
  <c r="Y14" i="1"/>
  <c r="X14" i="1"/>
  <c r="AA14" i="1"/>
  <c r="P14" i="1"/>
  <c r="Y21" i="1"/>
  <c r="AF21" i="1"/>
  <c r="T14" i="1"/>
  <c r="R21" i="1"/>
  <c r="W21" i="1"/>
  <c r="V21" i="1"/>
  <c r="N21" i="1"/>
  <c r="S21" i="1"/>
  <c r="L21" i="1"/>
  <c r="X21" i="1"/>
  <c r="F40" i="1"/>
  <c r="V14" i="1"/>
  <c r="W14" i="1"/>
  <c r="AH21" i="1"/>
  <c r="O21" i="1"/>
  <c r="AC21" i="1"/>
  <c r="AH14" i="1"/>
  <c r="U21" i="1"/>
  <c r="M21" i="1"/>
  <c r="Q21" i="1"/>
  <c r="AD21" i="1"/>
  <c r="P21" i="1"/>
  <c r="M14" i="1"/>
  <c r="Z14" i="1"/>
  <c r="AE21" i="1"/>
  <c r="AB21" i="1"/>
  <c r="AA21" i="1"/>
  <c r="AD14" i="1"/>
  <c r="R14" i="1"/>
  <c r="F45" i="1"/>
  <c r="L36" i="1" s="1"/>
  <c r="T21" i="1"/>
  <c r="Z21" i="1"/>
  <c r="AF14" i="1"/>
  <c r="O35" i="1"/>
  <c r="W35" i="1"/>
  <c r="AE35" i="1"/>
  <c r="P35" i="1"/>
  <c r="X35" i="1"/>
  <c r="AF35" i="1"/>
  <c r="Q35" i="1"/>
  <c r="AH35" i="1"/>
  <c r="AA35" i="1"/>
  <c r="T35" i="1"/>
  <c r="U35" i="1"/>
  <c r="N35" i="1"/>
  <c r="AG35" i="1"/>
  <c r="S35" i="1"/>
  <c r="AB35" i="1"/>
  <c r="AD35" i="1"/>
  <c r="Y35" i="1"/>
  <c r="L35" i="1"/>
  <c r="M35" i="1"/>
  <c r="R35" i="1"/>
  <c r="Z35" i="1"/>
  <c r="AC35" i="1"/>
  <c r="V35" i="1"/>
  <c r="AC14" i="1"/>
  <c r="M22" i="1"/>
  <c r="AC22" i="1"/>
  <c r="U14" i="1"/>
  <c r="L14" i="1"/>
  <c r="AG14" i="1"/>
  <c r="AE14" i="1"/>
  <c r="V22" i="1"/>
  <c r="X22" i="1"/>
  <c r="S22" i="1"/>
  <c r="AA22" i="1"/>
  <c r="S14" i="1"/>
  <c r="Q14" i="1"/>
  <c r="AG22" i="1"/>
  <c r="T22" i="1"/>
  <c r="F41" i="1"/>
  <c r="S37" i="1"/>
  <c r="V37" i="1"/>
  <c r="AC33" i="1"/>
  <c r="AB34" i="1" l="1"/>
  <c r="AF37" i="1"/>
  <c r="Q37" i="1"/>
  <c r="L37" i="1"/>
  <c r="R37" i="1"/>
  <c r="AB37" i="1"/>
  <c r="T37" i="1"/>
  <c r="W37" i="1"/>
  <c r="M37" i="1"/>
  <c r="AC37" i="1"/>
  <c r="AE37" i="1"/>
  <c r="N37" i="1"/>
  <c r="Z37" i="1"/>
  <c r="AA37" i="1"/>
  <c r="C11" i="5"/>
  <c r="H11" i="5" s="1"/>
  <c r="F52" i="1"/>
  <c r="C3" i="5"/>
  <c r="H3" i="5" s="1"/>
  <c r="B10" i="5"/>
  <c r="G10" i="5" s="1"/>
  <c r="AH33" i="1"/>
  <c r="Z33" i="1"/>
  <c r="B11" i="5"/>
  <c r="G11" i="5" s="1"/>
  <c r="B3" i="5"/>
  <c r="G3" i="5" s="1"/>
  <c r="C10" i="5"/>
  <c r="H10" i="5" s="1"/>
  <c r="W34" i="1"/>
  <c r="AD34" i="1"/>
  <c r="AC34" i="1"/>
  <c r="N34" i="1"/>
  <c r="Z34" i="1"/>
  <c r="Y34" i="1"/>
  <c r="S34" i="1"/>
  <c r="R34" i="1"/>
  <c r="AF34" i="1"/>
  <c r="U34" i="1"/>
  <c r="T34" i="1"/>
  <c r="U33" i="1"/>
  <c r="O33" i="1"/>
  <c r="AB33" i="1"/>
  <c r="AD33" i="1"/>
  <c r="AG33" i="1"/>
  <c r="T33" i="1"/>
  <c r="P33" i="1"/>
  <c r="W33" i="1"/>
  <c r="Y33" i="1"/>
  <c r="N33" i="1"/>
  <c r="V33" i="1"/>
  <c r="M33" i="1"/>
  <c r="S33" i="1"/>
  <c r="AA33" i="1"/>
  <c r="AH37" i="1"/>
  <c r="P37" i="1"/>
  <c r="Y37" i="1"/>
  <c r="L33" i="1"/>
  <c r="R33" i="1"/>
  <c r="Q33" i="1"/>
  <c r="X37" i="1"/>
  <c r="U37" i="1"/>
  <c r="AG37" i="1"/>
  <c r="AF33" i="1"/>
  <c r="AE33" i="1"/>
  <c r="O37" i="1"/>
  <c r="V34" i="1"/>
  <c r="M34" i="1"/>
  <c r="AA34" i="1"/>
  <c r="AG34" i="1"/>
  <c r="AH34" i="1"/>
  <c r="AE34" i="1"/>
  <c r="Q34" i="1"/>
  <c r="L34" i="1"/>
  <c r="O34" i="1"/>
  <c r="P34" i="1"/>
  <c r="AG36" i="1"/>
  <c r="R36" i="1"/>
  <c r="U36" i="1"/>
  <c r="T36" i="1"/>
  <c r="O36" i="1"/>
  <c r="V36" i="1"/>
  <c r="M36" i="1"/>
  <c r="N36" i="1"/>
  <c r="P36" i="1"/>
  <c r="S36" i="1"/>
  <c r="AA36" i="1"/>
  <c r="AE36" i="1"/>
  <c r="AD36" i="1"/>
  <c r="X36" i="1"/>
  <c r="AC36" i="1"/>
  <c r="AH36" i="1"/>
  <c r="Q36" i="1"/>
  <c r="Y36" i="1"/>
  <c r="Z36" i="1"/>
  <c r="AB36" i="1"/>
  <c r="W36" i="1"/>
  <c r="AF36" i="1"/>
  <c r="O32" i="1"/>
  <c r="Z32" i="1"/>
  <c r="R32" i="1"/>
  <c r="AF32" i="1"/>
  <c r="X32" i="1"/>
  <c r="T32" i="1"/>
  <c r="P32" i="1"/>
  <c r="AG32" i="1"/>
  <c r="V32" i="1"/>
  <c r="AD32" i="1"/>
  <c r="Q32" i="1"/>
  <c r="S32" i="1"/>
  <c r="N32" i="1"/>
  <c r="AC32" i="1"/>
  <c r="L32" i="1"/>
  <c r="AA32" i="1"/>
  <c r="U32" i="1"/>
  <c r="M32" i="1"/>
  <c r="AE32" i="1"/>
  <c r="AH32" i="1"/>
  <c r="Y32" i="1"/>
  <c r="AB32" i="1"/>
  <c r="W32" i="1"/>
  <c r="F4" i="2"/>
  <c r="E21" i="2"/>
  <c r="L30" i="1" l="1"/>
  <c r="L48" i="1" s="1"/>
  <c r="AB30" i="1"/>
  <c r="AB48" i="1" s="1"/>
  <c r="S30" i="1"/>
  <c r="S48" i="1" s="1"/>
  <c r="P52" i="1"/>
  <c r="X52" i="1"/>
  <c r="AF52" i="1"/>
  <c r="Q52" i="1"/>
  <c r="Y52" i="1"/>
  <c r="AG52" i="1"/>
  <c r="R52" i="1"/>
  <c r="Z52" i="1"/>
  <c r="AH52" i="1"/>
  <c r="S52" i="1"/>
  <c r="AA52" i="1"/>
  <c r="T52" i="1"/>
  <c r="AB52" i="1"/>
  <c r="L52" i="1"/>
  <c r="B33" i="5" s="1"/>
  <c r="U52" i="1"/>
  <c r="N52" i="1"/>
  <c r="V52" i="1"/>
  <c r="AD52" i="1"/>
  <c r="O52" i="1"/>
  <c r="W52" i="1"/>
  <c r="AE52" i="1"/>
  <c r="M52" i="1"/>
  <c r="C33" i="5" s="1"/>
  <c r="AC52" i="1"/>
  <c r="N30" i="1"/>
  <c r="N48" i="1" s="1"/>
  <c r="AD30" i="1"/>
  <c r="AD48" i="1" s="1"/>
  <c r="R30" i="1"/>
  <c r="R48" i="1" s="1"/>
  <c r="AG30" i="1"/>
  <c r="AG48" i="1" s="1"/>
  <c r="P30" i="1"/>
  <c r="AC30" i="1"/>
  <c r="AC48" i="1" s="1"/>
  <c r="Y30" i="1"/>
  <c r="Y48" i="1" s="1"/>
  <c r="W30" i="1"/>
  <c r="W48" i="1" s="1"/>
  <c r="Q30" i="1"/>
  <c r="Q48" i="1" s="1"/>
  <c r="M30" i="1"/>
  <c r="M48" i="1" s="1"/>
  <c r="Z30" i="1"/>
  <c r="Z48" i="1" s="1"/>
  <c r="U30" i="1"/>
  <c r="V30" i="1"/>
  <c r="T30" i="1"/>
  <c r="T48" i="1" s="1"/>
  <c r="AH30" i="1"/>
  <c r="AF30" i="1"/>
  <c r="AF48" i="1" s="1"/>
  <c r="X30" i="1"/>
  <c r="AE30" i="1"/>
  <c r="AA30" i="1"/>
  <c r="O30" i="1"/>
  <c r="P3" i="2"/>
  <c r="K3" i="2"/>
  <c r="I3" i="2"/>
  <c r="B20" i="5" s="1"/>
  <c r="G20" i="5" s="1"/>
  <c r="L3" i="2"/>
  <c r="V3" i="2"/>
  <c r="T3" i="2"/>
  <c r="Y3" i="2"/>
  <c r="Z3" i="2"/>
  <c r="M3" i="2"/>
  <c r="AC3" i="2"/>
  <c r="W3" i="2"/>
  <c r="X3" i="2"/>
  <c r="U3" i="2"/>
  <c r="AG3" i="2"/>
  <c r="J3" i="2"/>
  <c r="N3" i="2"/>
  <c r="F21" i="2"/>
  <c r="AL3" i="2"/>
  <c r="AK3" i="2"/>
  <c r="AH3" i="2"/>
  <c r="AA3" i="2"/>
  <c r="R3" i="2"/>
  <c r="C20" i="5" s="1"/>
  <c r="H20" i="5" s="1"/>
  <c r="AE3" i="2"/>
  <c r="S3" i="2"/>
  <c r="AM3" i="2"/>
  <c r="AI3" i="2"/>
  <c r="AD3" i="2"/>
  <c r="O3" i="2"/>
  <c r="AJ3" i="2"/>
  <c r="AB3" i="2"/>
  <c r="AF3" i="2"/>
  <c r="Q3" i="2"/>
  <c r="B31" i="5" l="1"/>
  <c r="G31" i="5" s="1"/>
  <c r="G34" i="5" s="1"/>
  <c r="O48" i="1"/>
  <c r="AA48" i="1"/>
  <c r="P48" i="1"/>
  <c r="X48" i="1"/>
  <c r="V48" i="1"/>
  <c r="U48" i="1"/>
  <c r="C31" i="5"/>
  <c r="H31" i="5" s="1"/>
  <c r="H34" i="5" s="1"/>
  <c r="AH48" i="1"/>
  <c r="AE48" i="1"/>
  <c r="C2" i="9" l="1"/>
  <c r="C12" i="6"/>
  <c r="C1" i="9"/>
  <c r="B12" i="6"/>
  <c r="C34" i="5"/>
  <c r="B34" i="5"/>
</calcChain>
</file>

<file path=xl/sharedStrings.xml><?xml version="1.0" encoding="utf-8"?>
<sst xmlns="http://schemas.openxmlformats.org/spreadsheetml/2006/main" count="253" uniqueCount="168">
  <si>
    <t>FTO glass</t>
  </si>
  <si>
    <t>BL deposition</t>
  </si>
  <si>
    <t>ETL deposition</t>
  </si>
  <si>
    <t>PL deposition</t>
  </si>
  <si>
    <t>FAI</t>
  </si>
  <si>
    <t>MABr</t>
  </si>
  <si>
    <t>HTL deposition</t>
  </si>
  <si>
    <t>Electrode deposition</t>
  </si>
  <si>
    <t>Substrate</t>
  </si>
  <si>
    <t>thickness (nm)</t>
  </si>
  <si>
    <t>area (m2)</t>
  </si>
  <si>
    <t>density (kg/m3)</t>
  </si>
  <si>
    <t>utilization efficiency</t>
  </si>
  <si>
    <t>mass (kg)</t>
  </si>
  <si>
    <t>-</t>
  </si>
  <si>
    <t>PTAA solution</t>
  </si>
  <si>
    <t>DMF</t>
  </si>
  <si>
    <t>DMSO</t>
  </si>
  <si>
    <t>Direct emissions</t>
  </si>
  <si>
    <t>Titanium tetrachloride</t>
  </si>
  <si>
    <t>Isopropanol</t>
  </si>
  <si>
    <t>Mass of module</t>
  </si>
  <si>
    <t>IPCC 2013/kg CO2-Eq</t>
  </si>
  <si>
    <t>cumulative energy demand/MJ-Eq</t>
  </si>
  <si>
    <t xml:space="preserve">ReCiPe Midpoint (E) </t>
  </si>
  <si>
    <t>ReCiPe Endpoint (E,A)</t>
  </si>
  <si>
    <t>biomass</t>
  </si>
  <si>
    <t>fossil</t>
  </si>
  <si>
    <t>geothermal</t>
  </si>
  <si>
    <t>nuclear</t>
  </si>
  <si>
    <t>forest</t>
  </si>
  <si>
    <t>solar</t>
  </si>
  <si>
    <t>water</t>
  </si>
  <si>
    <t>wind</t>
  </si>
  <si>
    <t>total</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</si>
  <si>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</si>
  <si>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</si>
  <si>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</si>
  <si>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</si>
  <si>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</si>
  <si>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</si>
  <si>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</si>
  <si>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</si>
  <si>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</si>
  <si>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</si>
  <si>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</si>
  <si>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</si>
  <si>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</si>
  <si>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</si>
  <si>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</si>
  <si>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</si>
  <si>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</si>
  <si>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</si>
  <si>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</si>
  <si>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</si>
  <si>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</si>
  <si>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Power (W)</t>
  </si>
  <si>
    <t>Time (s)</t>
  </si>
  <si>
    <t>Electricity consumption (MJ)</t>
  </si>
  <si>
    <t>Blocking layer deposition</t>
  </si>
  <si>
    <t>Spray pyrolysis</t>
  </si>
  <si>
    <t>Perovskite layer deposition</t>
  </si>
  <si>
    <t>Hole transporter layer deposition</t>
  </si>
  <si>
    <t>Total</t>
  </si>
  <si>
    <t>Sputtering</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</si>
  <si>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</si>
  <si>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</si>
  <si>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</si>
  <si>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</si>
  <si>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</si>
  <si>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</si>
  <si>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</si>
  <si>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</si>
  <si>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</si>
  <si>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</si>
  <si>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</si>
  <si>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</si>
  <si>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da2faeed-9470-4e3b-b2dd-889b0059c929</t>
  </si>
  <si>
    <t>CB_Block_0</t>
  </si>
  <si>
    <t>Decisioneering:7.0.0.0</t>
  </si>
  <si>
    <t>2-methoxyethanol</t>
  </si>
  <si>
    <t>g</t>
  </si>
  <si>
    <t>mol</t>
  </si>
  <si>
    <t>Encapsulation</t>
  </si>
  <si>
    <t>Adhesive</t>
  </si>
  <si>
    <t>PET</t>
  </si>
  <si>
    <t>Lamination</t>
  </si>
  <si>
    <t>Carbon footprint</t>
  </si>
  <si>
    <t>Primary energy consumption</t>
  </si>
  <si>
    <t>Treatment</t>
  </si>
  <si>
    <t>End of life</t>
  </si>
  <si>
    <t>item</t>
  </si>
  <si>
    <t>unit</t>
  </si>
  <si>
    <t>Insolation</t>
  </si>
  <si>
    <t>kWh/m2/yr</t>
  </si>
  <si>
    <t>performance ratio</t>
  </si>
  <si>
    <t>module efficiency</t>
  </si>
  <si>
    <t>epsilon</t>
  </si>
  <si>
    <t>MJ/kWh</t>
  </si>
  <si>
    <t>lifetime</t>
  </si>
  <si>
    <t>yr</t>
  </si>
  <si>
    <t>primary energy consumption</t>
  </si>
  <si>
    <t>MJ/m2</t>
  </si>
  <si>
    <t>CO2</t>
  </si>
  <si>
    <t>EPBT</t>
  </si>
  <si>
    <t>CO2 emission factor</t>
  </si>
  <si>
    <t>module 4</t>
  </si>
  <si>
    <t>CB_Block_7.0.0.0:1</t>
  </si>
  <si>
    <t>Acetone</t>
  </si>
  <si>
    <t>Acetic anhydride</t>
  </si>
  <si>
    <t>Toluene</t>
  </si>
  <si>
    <t>Acetonitrile</t>
  </si>
  <si>
    <t>ETL slot-die coating</t>
  </si>
  <si>
    <t>PL 1st-step slot-die coating</t>
  </si>
  <si>
    <t>PL 2nd-step slot-die coating</t>
  </si>
  <si>
    <t>HTL slot-die coating</t>
  </si>
  <si>
    <t>ETL calcining</t>
  </si>
  <si>
    <t>PL annealing</t>
  </si>
  <si>
    <t>19e15c5a-500e-4855-bf10-3a8e995feb53</t>
  </si>
  <si>
    <t>CF</t>
  </si>
  <si>
    <t>PEC</t>
  </si>
  <si>
    <t>㜸〱敤㕣㕢㙣ㅣ搷㜹摥㌳攴㉣㜷㤶愴㐸㡢昲㐵㡡㘳㌳㜶ㅣ㈷愶㑡㡢戲ㄴ摢㘹㔵㤶ㄷ敢ㄶ㑡愴㐵㑡㑥攰〴慢攱敥っ㌹搶捥㉣㍤㌳愴㐸搷㐰摣搴㘹搰㌶㐹㥢〴㘹㤰搴㑤っ㌷㜰㥡㕥㜲㜹愸㥢戴㐹㡢〲〵㕡ㄴづ㔰愰改㐳搱㍣戸㐱搱㍥戴㈸〴昴㈵て〱搲敦晢㘷㘶㜷㜶㤷㍢愴搶㜶㑢〷㍣昲ㅥ㥥㌹户㌹攷扦㥦晦㍦攳㥣捡攵㜲㍦㐵攲㕦愶㕥ㄶ敥㕣摣ち㐲换ㅤ㥦愹㔵慢㔶㌹㜴㙡㕥㌰㍥攵晢收搶㥣ㄳ㠴㍤攸㤰㉦㌹㘸て昴㔲攰㍣㘳ㄵ㑡ㅢ㤶ㅦ愰㤳㥥换ㄵち㠶㠶㜶㑥挲摦㜰昲㘰㜰搴㐰㉦戲愵㤹改昹攵愷㌰敢㘲㔸昳慤愳愳㔷愲戱愷㈶㈶挶㈷挶㑦㍣㍣昱摥昱㘳㐷㐷㘷搶慢攱扡㙦㥤昲慣昵搰㌷慢㐷㐷ㄷ搶㤷慢㑥昹晤搶搶㔲敤㥡攵㥤戲㤶㡦㍤戴㙣㥥㜸㘴攲挴挹㤳昶愳㡦㍥㌲㠰㔷攷㉥捥㑣㉦昸㤶ㅤ扣㐱㜳敡㕣昲㠹㔹慢散㜰㙦㤶攵㍢摥捡昸捣㌴晥㑢慤ㅦ㑦て㡦㉦慥㕡㔶挸㔷㕢扥攵㤵慤挰挰挰㝥㜷㉡〸搶摤㌵〲捦㜰㑦㘳慢㘵㌳〸㜵㜷挶慡㔶つ㌷㤹戵攰捥〳㜶㔵㜳㙢挰㕤戴扣挰〹㥤つ㈷摣捡扢㑢㤸愸㌲攸㕥づ慣㑢愶户㘲㕤㌴㕤㑢㜷捦慣㍢㤵摥㈸攵㝡敥㑦愶㐸㉦㑣戶㍦㍥ㄵ戸㌳慢愶㉦㉢ち〸㤸㡣扥愷晤㜲㜳摦㝢㍢捦换愵换ㅢ㌸攷㝤㥤晢愱攵㡡改搷㝢㡥㜵敥ㄹ㙦扥㜹〵て㜶敥㥦㠲㔱昳㤸昷㜴ㅥ㈳愰㙣敥慤晡㘳晡ㄶ㠸㘲㌳㐶㥥㔹ㅦ戳〲㌳㈲搰㈸㌲敢㘷㌶㠰㑣昵晥て戸㈴㍤㤰㑤㕡挹搴㑡换㕡愹慣㤵㉡㕡挹搲㑡戶㔶㕡搱㑡慢㕡挹搱㑡㑦㘹愵㙢攸㤳愴㐲㕦㥦ㄶ愷㐷晥敡挴㉢㍦晣㙣摦昹敦慤㘸㝦晡㤷摦晢㤷扢〷づ愰搳攳昱愲㘶㝤昳㍡㐸慤㐱挵挷挷㡦昱摦捥㕣〱愶戰㑦摡て摢ㄳㄳ㤵㤳挷捣㠷㑣㥤摢捡㐰㝥ㄳ愱っ愳敦㠰晤㠴攳㔵㙡搷〵㜷㜷㑥㥢㠱搵〰摣㔸摣㌶㕤㕢昷㉡挱摢戶㙦㕣っ捤搰㍡搲摡搶㤸愴㙤搸㈲搸捡ち攴㝤㜷戵づ扢㘲㔶搷慤愹㑤㈷㙡㝥㝢㑢戳扢攰搷㤶㍢户㥥昶慤愷敢慤㙤㉢㥡㠲㔰摢㤰戹摢㜶ㄹ㌵㐵敢ㅡ㥤㔹慤〵㤶㈷换ㅢ㜳ㄷ㥣昲㌵换㕦戴㈸ㄲ慤㡡㙣昵㔶㌶挵㕣㍦㌶敦㘱愳攰搶捡㍤改㕡晢戱捤㄰捣㙣㔵戰摥㌵换て户㤶捣攵慡㜵㕢㔳㤷攸㥤㘸㌸摣㔴㝤扡㔶㕥て㘶㙡㕥攸搷慡捤㉤㔳㤵つㄳ㤲愶㜲愱㔶戱㝡㝢㜳㈲ㄴ㈰㜰㝢㝡㤴捡㍤搰㤹ㄷ〴ㄱ㈹ㄴ㤳㤱敦㘸㈶扢昱㑢搸ㅤ㜶㔱戵㐸㤳摡㍢㜷㤸㡣敢ㄵㄹ㤳挱㠱愹㍤㔱㝦昰愵敦摥㘱摡㍡收摥摣捥㥡㌶ㄲ敦晥戱つ换ぢ捦㥡㕥愵㙡昹㤹摡㑦㜱㐵挶㄰㌲晤〶〴㐲㐷攸㔱搵愹㑤戵愵㕦㜷㉡攱㙡㝥搵㜲㔶㔶㐳搴㐱㐳ㄶち〴㙤㕢㌲㙥㐱㤵㜱㤰搹〸戲㘲㌱㤷㍦挴㑥昹㈲㔲㑥愷㜴捡攰攵㈶㐱捥㜱㑤扣㍣㘰㥦㜶慡愱ㄵ〹攵㈱ㅢㄸ㠹戴㥡愰㙦㤰㈴敡㥢攵㐸㘱ㅣ戲㘷㐰愵愶攳㠵㕢つ扥㙤攳㤲㠸㠸昶㘵挱㥥㤳〵ㄴ〵捤昲㈰㠳搷㐰㌴㉤搲㈰扢㜳㡡㠸挸〶ㄹ㥡ㅤ㌳㌷ㄳㄹ晢㘷挸〸昴㑦ㄳ㈱㝢ㅦ敢㉣㈳㐸散敤㐴捡㐱ㅤ昹㜱㕦㥡㙤㘷换㐷搲散㔶〰捥戸㡤搹敤捣敥㘰㜶ㄸ㤹晡㜷㐸㌸㑡㌹㤴㥢㤳昱㌶㍣ㅢ㜷㌲㝢㍢㌲挸㈷㠳㌲㈷ㄶ㔵戴愱㜶㘳㐷戲摦㈰散㘴㌱㡡㈳㔱㐴换戸㙥㘷づ扡㠲攸搸敡摣ㅢ扡戶㔷㜴散扢㍡搳㘶㝡㍢愴挸㡣慥改扤敥搰㌵つ〸㜶敤㔲㙦摤㡤愱挶㈸戳㜷㈰㉢ㅡ昷㌰㠷㜲愱挱扢㍢㡢㥥㈶攵㕢挲㉣㡡㡣愱㉥ㄵ㝣㑣挸㍣〲㘴〸戹戶攳换扥つ㑤㜳㜰捣㝥换摢搰㐷㍢昳㜷㡣昴ㄶ扤戹慦㜷攸㉦扡㐹㉢晡㕥戰㤷晡㘱㐷ㅤ㜳ㅦ㥡㡤㜷㌱扢ㅦ㔹㡢㡥攱改晢㘶㍤〵㘲ㄶ扢㈹捣ㅤ愴搷㐵慣摣愵慤㌵㑢㌴搰㠰扤㘴晡㉢㔶〸て挶戹㔹搸挲㌵摦户慡㌸搴㔶愴㠲攷㤷摢㥢㉢㠳搳㝥捤㘵晤扥㡤ㅣ扣㈵ㄴ㐳㙦慦搶㤳㙢戱㤱㌳㙣捤㤴捦㈹㐵㌹搴挱て㜵ㄶㄲ愹㐱捤攴挵㜱搹攷换㝤㐹搲㠵㈴㜹て挰㙡㍣㠰っ㔲㐲晤㔳㐷㠹㜲㤴摤㝥㑥扡㌵㕢慣昴昰㘵㥣㑥㕡㝣㠸㙤㜲愴㍦㜲搸㑥挳㝦㄰っ扡㡢㡥㕢ㄷㄶ晤敥㠲攵㤷攱㕢㜰慡㔶㌱㜲换㔲搴散换㡡户㠸慣攸改㘹㍢㑦㘷昸搷㠴㑥㕡愴㐴㈶户㘷㌶㘶㥣挵ㅢ㐴㐵㌷㈴㠵㑡㠶㙢愸㉥㠱㐸㜹散扢㉦㘲扡㄰㌱て〲㜰挶㌱㘶ㄳ捣㡥㈳搳扦て㐹戳㕢挰㌳ㅣ搶户㐱㤷㜶愹㤴㉢㄰つ攲㈲㝣戵愳戰㍡挹搷扣㤷搹挳挸㕡捣ㅦ㍡㈰㌳〸㔱㔰㥥㈲㐴〹㘳搸㔷ㅣ敢㍡㘹攰㠰㡤挰搲捣㝡㄰搶㕣㐶㤶〶敤搹摡挵㕡㌸敢〴㙢㠸㐴㡤搸㜱攱㠹㔵换〳㜵昹戰㝤㕡敡㙡㙢㙢㔶挵戰ㄷ㙢敢㄰㙤攷㘶昷挲挱ㅣ攰㠰㉤㈹㘷㜳㑤㈱㜵㜷㍥挶ㄴち㤰ㄶ㝦㉢扤戱扢昲㝥昳搰㌷搴㠰攸㤲ㄳ㔶慤㝥㍢㘲㍡㤶ぢ㌶愰㠸挸㐱愵捦㕥㕡昵㉤㙢㜶搰㍥攳㍢㤵慡攳㔹㐴〶㙣㑣〶敢收慣ㄵ㐴〹ㄶ㙡㡣〱搶扣㐱㝢挹㌷扤㘰捤㘴㐰㜱敢㘰搳㤳㠴㐵㜴㝢摡昱〲扣㐶戰挸昲㤰扤戸㕡扢㡥㠸敤扡敢㥤㌱搷㠲㍤㠱ㄵㄲ㝤㤴〴㌵㑡㔳㥡愶ち㕡愱㕢晣昰㐰㥥换㤱昷㝡㤹〹慥㜲㍡㝤收ㄹ摡㥢㜶㝤ㅣ愳愱㥤捥㌵つ㈰㝡㔴慦散挹㤴挲攴㔴攳㔱㡥㜹ㅦ戲昳㘷㉥㥦㙢㐴收㕥㔷捣㕡愷㤷㍦㐳挶ぢ㔹搴〳㈱昴搱ㅤ㠸㐸㠵㜵愴ㅣ㜰㈰㌰捥愷㔶昲㉢摡搲㠷搴㜷愰㔱㍣㡤㐸搲㠰㍤㘷㉥㕢㔵挴愳㕤㌳㍣㄰㍤搰㡣㜵捤㙡㄰户捤搴㕣搷㈴㘹㤱㉣ㄷ换㈶㈹㜸㙡㍤慣㕤㜰㍣挳㐶㈶昴ㄷ㔷㤹㥢愸㌲㌷愵㙡挰扥挴搰愰㤴㌹㔷㙤挵昴㥤㜰搵㜵捡〵㍥㌰㝣户㈷㘸ㄲ㑣㑥挹㥢愴㐴㘶㡣戶㔸昳㤷㘱戲〵攳㐰昷㌸攴㈸㐱㐷昴㠳㜲㌵㤵挷㍦搵愵㘳〹〲㐶㍣愵挶㉦㘰㌶㕤㙥㐷㐰攴㐸扡㤱摣挱戸昱ㄱ搴㐴㐲㠸㔸捦㈰ㄱ㜸〵㔳㐲㥥㉥敥扣㝤搹㜳㐲㘰㡦ㄸ㍢敤㠴戳〱㔰㡥っ㐵㌹摥ㅥㄱ慣愶〶㡤搵戵挲摤敤㑤㑤㙡攲慥昶昶戴摥㜸攷㌶捤㤱㐶㐹㈹㤲㥤㍡㠹㘶搹㘶㡤㝢㐹搵㈸㔱摣㠹戶㔱㔹㙥搳〶摣㈹㐵㕥㠷㘲ㄲ㥡挹ㄹ扦㈸㠴㠲㐰㙦慣愳攸戳捦㈶㡦㔴挴㠶㌶㐰㤱㝡㉡慡ㅢ㡣㐳㠲攷㜰敤愴㘲ㄵ攳㈷昰昷㠱戸㌸扦ㅥ㌶戵㤸㥢㈳㜱换㔴戵㍡敦挱㑡㈸㥢㝥㘵㡦戰㌴昶ㄶ㘹ㄸ攱捥㙥戵㝦〴摥ㄴ㈳挶㙣挸戰㐸㠶ㅦㄸ㙣〸收㑡㐵㔴㘹㥤つㄲ搴昵敡〲㥦㉥㔸愶㈷ㄸ㔸っ㉢戳搶㠶㤸㘱つ㑢㝥㐴〶搴㑦㡢㈲㐷つ㝢㙡㌹㠰㑡て㈹挷攳㤲㌰戸㘱㕦愲㕢ち㤷ㄸ㈰㜶攳搲㐲㌹㐴㘸户㍥〱㑦〶㝢〷㍢㠰㐸ㄴ㍡愱㜵㐶〹㥡捦㈰摣收㑤㤰㜷扡挴㈸〴愹㉤改扦㈷搵ㄷ扦挰昴戵挹㕣㔲㠸㤹㠸攱慥っ敢〱挸㑤㐷㈶挹㐵㈳㐹挰㍣㤲㙣㈲戴〶㤲㍡㥡ㄸ㠳㌴昹晣㄰户㜸ㄸ换ㅡ㈲摢㔴㜱捦㉤㜴愰㑤慢㕢〷散㜳㕥戹扡㕥戱㐴ㄵ㈷戲㕡㌴昲㥥挰㤷㕣〱㡣戸㈹〳㉥㌱㔰捥攱㈸挵㉤ㄳ㐹摤摢摤挶㈴㠶㡢㤰挳ㅣ㤱敡㘳〰㌲挳㉤㈷〱戱戶㝢ち戴てて㌶㉥㌰挸攵㌹㠸戴戶㉡捡戲㌹摣挷慢㐷㤱㠵摢㔲摤收㙡㜳㌵摡散愹慡戳㑥㔴戵㈷㜰㠴㝤㐶〲㉦㥦㠷㌱搲㈵㜷㜰㤲摣㡤㌸扡㝢攳㈳昲㤸扢〱㔴〸〶ㄴ㘳扣㍣〵攵〰㔵㌰ㄲつ㙥慤㘱㜵㉢㐶㝦㘹㜹ㅢ㔳挸ㄴ挳挰㌴㘸搱㌳㌲㜰㘶㔰摥搹挰戹ㅢ扤㌲㈲愴改㘰㉡㘳㤴㈳㜰搸〳㘹攰㈶ㅥ愴㤷㙡㔰㐲攱㈱戹ㄸ㤶摣㑤ㅣ㜳㜱〴慡昹户戵㔴㉥㤸㈱慥扦㜸㠷㕢慡愷㉡ㄵ㥡扢昰捦敤〹慣攲敡㐶㘴㡥ㅥ㙡戹㤴㈵㝢愲㝤㜷㙦㑢㐳㝣㔹昰昸散昸㔹㌳㉣慦㉥㠶㕢搱挵慤㙥㐹㐲晦㉥晣ㄱ摢扥㥤㌶㜳慦挷㡢愸ㅢ㠴㝤昱㥡㔷扢敥挹扡昴㠰户晥㐰㈱戸㐲搹挷㐵ㄶ㜳㍦挵㍦㐹㕡㑥晦ぢ捣戸㥢㘵㜳㠲㠶㠳㠴昳㐸㡡愴挱㈸捡ㄹ㜴〲摢扤㝥㙢㠰㜴㜲愸㠵㑥㐴㄰散ㄳ㡡户昲㠶ㄱ㡡晡㜳愰㤵挴ㄲㅤ挹〱昳㤷挱晡敡㍢愸㈱挲昱ㅣ㡢ㄱ晤ㅤ㈸㘵愰㑥〴㜹㝣挵㠳ㄷ㐲㝥㜶戰㤴㜰昳戶散昴㝦挰捣敡摢慤㈸扡㡢㈸晡戳㌶ㄴ㈹㕥〳ㄱ晥㍤ㅦㄷ昸愰㌳㍣㝢㔳㠱㜰敥㘹晦〰晡愶㕦昸晤㝦㍣㠰捥〱挳㑣㘲愳㈱搴㜶ㅦ捡㜵ㄳ愱愷捤㐴㘰昰㕥㑣㠴ぢㅣ挳㈸㝥㘴㈲挴㍥㤰㜹㔴散㙣㈲㌰戶㤷㘱〸愶㐲慤㈹户〶㑦㘰户戹昴㡦㥤挵挵㕢㉢㐰㍣ㅦ㑡㉢㤸㠱㐷敡昶昶敡〵搳㌷摤挳㔲㝦挶户愰捣晣㈵摣攴㤶㈱ㅣ㜱㘴摢ㄶㄹ戴㡤慦㈲昱戲敦晢㔳㜶㜷㝦ㅤ㤸㡡㔲攴扥㔷〵㤵㝦ㅤ㥥ㄲ挵㜳㐳敥㤷て㝤晤捣扦㍥昳晣㈴㙦慢挵戴慡㍦㠰㜲㌷㈱㝢摡ㄳ〸敡愶㉥㡡摣捡て㜳㉥攰ㄳ㈵㘷慤㙡㑤㥢扥㔸㐱㠱攱㈶挵㠸昰㔲㠴ㄹㄱ摦㕥㌰㌱㜱敦㈱㌲㌱挷㕢摣㥤昲㘱㤳戸〸挷㔳ぢㄷ㥦㕥ㄲ㌶㔴ㅤㄵ㔹㤷搶愶晥㑤愸愲㥢㕣㐸戳㤵挸㔳㈷㤳㔲摦㘸搵㜵㈷愹敢愲㠳っ挳晥㠹㤴㐲晣㠱ㄴ㤲㍥挸昰㐲㠰㐸愹㑢㈸攸て㈲换㠸慣戵㠶㜸改て搸ㄷ〲㔶晤搲㕦㤷ㅦ戱〰㡡挰㘲攲㡢敦昶㐴㑢㕢㌴㔱㑤っ搵㡡㑤戳㠸㠲ㅣ㕥㔸㌱㤱搴㉥愱㤰㈴晤㌸㑡扢㜶㐷昱㈵㠳㙥ㄴ㜸㡢ㄸ㕢㜷改㙢㉢扡㡦㜹敢戸昹〱㍤㤳ㄷ㠵攱ㅤ㘴㌵づ愴ㄲ愳㡢扡ㄶ愳㉡收㐳㔱戱㍥愸㍦㙥㠲捥昲づ攳㔴㡡攰ㅦ扦ㄴ㘲晢㔸㘳敡㕢㕢㕢愸攳扣㍥㙣㤰㍦搸㕦㜷㘵㌰㌶摥㑡㡥㠱㠴摤㔵慦㐲㜴㍤晣㌲㠶㜰搳㌹㘵㌴㡡昲慣㑥攲㑦挲㔹㍤㕡㥢晥㘷昴㕡㌸敢ち㐷㌳㡣摤愴晦㍦㠰㡡ㅤ昵扦㘲散㑤㄰昹挱戸㈰挶㈹攳㈷㍢㠶㙣〸ㄱ㜸戶ㄱ扣㤱㠳戱㈱㐵㠶扣愳搲㈲㍥㕥㡤㥡㐵㠲挳敦搵摢㝡㌵愲㍥㤶戶㙤㝦㐷〱挸搸㤰晥㌲㐴㔰挷昱捤㜲㉢㌹摤收㥦挴挰㐳ㄷ㥣戲㕦ぢ㙡㜶㌸扡㠸愰敦㈸扦㍤戳㘱昳㑣愹慦戴ち戵㝢〱㠹㠱て㘳捣挵㜹〸散㡢㔶昸㐶挵㈲ㄹ㔹搸㕤㈴㠳摦㈱つ愷挲㑢搴づ挱㉤昶攳敢㘶ㄵ㥦慥捥挳搷ㄹ戲㙡㑦㈸扢挸攳摣㝡㐳㠳愰挳ㅤ慤昷挳ㅦ㘴㔵挷ㄱㅣ㤳㉤㍣昹㘱挲戵ㄵ〶捤㝤攳扤〵散搹㥤捦慤愸扦〴㥣敥敥㉤捤㈴挳㜷昲㡢攴愲㔱㘲㡥㑢晢㤳昸扢㝢〷㉤㘷ㅢ〱㥤挷ㅦ㜴搳ㄱ㌶㔶㠵晢㙣ㄷ搱敦慢ㄸ慡愶㤸攱㘷㤸㜱㠱㡢㔱昴昲㤱ㄵ搵㤷戰㉤㌲〰捡戹㝣ㄹ㔹㘷慡㝥㘱㍢慡ㅥ㍥㡦㌱攴㔷挳㐲㌶搸愳㜸搴㈰㔵ㄶ搵ㄷ搱㥦㔰㡢㜶扦挲㍡ㅣ㍤攴㐸㠱戲㤱㤶攴㡡㐷ち㔹捦攷㌱愰扥㥥愷㔰摢㜹㍤㥦摢㙥㍤㡡挶㠰散㌷㍤晦㜰愲㑣っ㤷慦昶㤸搵㤸慤㈱ㅢ㑥㝡づ㔱㑣㜲㉦昹㈸搴昰ㅤ㘲ち改ㅦ攲扦慦㑤㝥晦㔵愶晦㥡㔴㈲ㄸ搱搴扣ぢち㐶搹挵愷搲扢〸㔰摢㜹ㄷ㥦搸㙥ㄷ挳㤴㤹〲搵㜵ㄴ〰搵ㄲ晥挸慥㌶㔰㈰㐰昹㔳㔷㤹攱搷戴㡡㘱㈲㕡挶㙥愲㌰搸愳ㄳ㌱㍦摦㔹扢搰㜸㑣㍥㠵㐵㜰愰改㥢搷挷昰つ敢ㄶ愳摤㍤昸㠴㕦ㄷ㔵搸慢扤慦扢戹ㄲ㜳㤴㥡㑣晦㌸㜶晤㍡收攱愶ㅢ㍥㐷捥㜸〴扦〲㠲㄰㈴㌳〱挹㌳㈸㈴㠰搲㠹昵㡣㉦㥢挴㌸攴㉤㔰㍡戲昲㤱㈷㍡ㅦ㤹〴〵㌷㜶㐱敦〹挱㠸㉤昱㔳攱㡥晡㉣摦攵昵〶昵戱㠴ち捦㥥㑤㍥ㅢ搳攲㠰ㅢ戸㈰㌲挷挹㌵〴愴㝡㍥改晣慤㔷ㅡ晥㘲㌴㈰㠱㔵愲捥攴㉥改晣慢㐹攷攳昸㈴㑤晡攴㐸㔰㑣慦㈵㥤挹㠵搲昹愳㐹攷晦㍣㝥戸摥㌹㘱扡㘸㘶㥤ㅣ㤱㘱攸换搱㈷昵㜹晡㄰扡敢㌶㡤㠷㝥㍢慡㈶㈱㑡摣扣㉡收挳〰㙥挲昸昸㐰㝣づㄷ扢㜰晦〵ㅡ㈶晡晦㐴㥣挳㠵慦㔹㌳㌴昱晤昷〶㈲敤扥㈱㑦ㅣ㥣户攷㝤㔴昴搹攷〲ㅣ㈸㉢㝢㡡㐴㘰ぢ昵㐶昰摤㈱㈲㤱㘱㌷㌷攰㤱㐴〸㌵㕥愰改㑥㜳㑡㔴愹㔷㍤㤷㘰㌶昷㕣㠳㘶㡣㕦〱㜲愰ㄳ㤰戳㘰㝣ㄴ㜹ㄴ㠵㍡挴㡡㘱ち㍢㤱㘴捦戳攱㘳捣㝥つ㔹㔱㔱戲㤱づ昲ㅦ㐷㌶㤴晣㕦㍡㐶㌷挴㔹愴愹捤攴㘵晦昸慤攷敡㘴㘴晣㍡〷晣〶戲ㅥ昸慥㤵〰〹㌷㌲㡣摦㐴㑤晡愵ㄴㅣ昲搲㑦戲攱㔳捣㝥ぢ㔹㔱攷㘲㜷つ㌵敥愹㑢戵晤摢ㄸ慡〸ち捥㘱㝣㍡㉥昰㐱ㄱづㄴ攷捡挳づ㈹㐳愹㙤ち㕡㕥ㄱ㌶搲攰挶つ愷愴㐱㈹挲㑢ㅡ慡㜱挳㈴㉡㡣捦㈱㔳㠴〷昷㘴晣づ㥦〸〶㜹攱攷㔱㈰㜰昸㔳㠴㠱っ㕦㙤㜹㈱攱㈲つ㉢㉤㉦㈴慣愴挱㑥扦昰㜷㌹㤹㙣っ㠵㘶㜵挵つち扣㝦て㠵挱㥥㈱慥敤〹晣戴㑤㔵扥㕡戹㝡昵挷㐳扤愳㐷㝡㍦昰㑢〳㕦㜸敤敦㝦昴㤹ㅦ㝣攸搴㝦晣攴㠵ㄷ㝥昰㙦㥦㜹昵㈷摦㕤㍥昵户㉦扤昴㌷攷扦晣敡㡦づ摡㉦㙡慦晣㜸敥挵㘷㈷慥㍤晢戴㝤昹㠱㌳捦㝥昰愹挷㈷ㄶ㙥ㄹ敢改改敢扢㝦攴敦敥㜸昷昰㜳㑦㝦㕢晤昵㍦摦敥㈹搹㉥㕥㘰㝣㠹㙦㠹㝦挳摣戶㉣攳换㙣㝡ㄱ搹愰㌶挴㘵扦愹㙢攱㥥〵㕡愵ㄸ㕡搳愸㈸愸摣㌰搷㈶换㜹〹〵攳昷㤱つ㙡㡡㑢㤳摥ㅦ㙡敥慤㕥㑣ㅡ㥥㡣ㅢ㠶㔱㘱扣㡣㑣攷昸㡣晢戰つ㕥愷敥㌳攴㐴㑣慥㙦㍦ㄵ摦ㄲ摦ㅣㄸ慢昷㌹㔸慦愹ㅦ㠶て搴慢攴㝣㝢戳攷㘱散㤸㥢捥摤搳搹挴攰㘹㍢ㄱ㑢〵戵敢㡥昱㤹昸慢㥣ㅤ㐹ㄹ昵㤲㍣㉡㐲㔸㐰晤〷㈸㠸㜱㘵搴㑢昲愸〸㑤㘱㤷慦愱愰㜳昸㉥㕥㑥㡥敡㔲っ晣㈱㠶㉡慥㠱慦㌲晥㠸㑦㝣戳昰攸ㅦ愳挰愴攳愷愴㈳ち挶㥦戰㉡㑥㑡〶攰挱昸㍡㌲づ攲㙦㌸ㄹ㌸㥣昴ㅤ㘶戳㄰摡㌷㔰㠰戵挸㍦ㄹ昴ㄲ㕤㠱㈲ㄲ㡡散摦攴㈴昹ㄹ昷愷㝣ㄳㅢ㉥㙡挸㤴搱㈸捡昳㄰㥦〹摦㍣㝥㐸㌷㈶晢晦ㄷ慦ㄹ慣搱</t>
  </si>
  <si>
    <t>㜸〱敤㕣㕤㙣ㅣ搷㜵摥扢攴㉣㜷㤶愴㐸㡢戲㘴㈹㡥捤搸㜱晣㐳㤵ㄶ㘵㉢戶㤳慡㉣㝦㑣㐹づ㈵搲㈲㈵㍢㐸㠳搵㜰㜷㠶ㅣ㘹㘷㤶㥥㤹愵㐴搷㐰摣搴㘹搰扦戴〹㤰〴㐹㕣挷㜵ㄳㄷ〹㤰戶㜹愸㘳㈷㙥㡢〲〵㕡ㄴ㑥㔱愰改㐳㠱㍥戸㐱㤱㍥戴㈸〴昴㈵て〶搲敦㍢㌳戳㍢扢换ㅤ㔲㙢扢愵〳㡥扣㠷㜷捥晤㤹戹攷㥥扦㝢捥ㅤ㘷㔴㈶㤳昹ㄹ㉥晥攵搵换挲慤㑢㥢㝥㘰㍡攳㌳搵㑡挵㉣〵㜶搵昵挷愷㍣捦搸㥣户晤愰〷つ㜲㐵ㅢ昵扥㔶昴敤愷捤㝣㜱挳昴㝣㌴搲㌲㤹㝣㕥捦愲㥥㠳昰㌷ㅣ摦攸散㌵搰ぢ戰㍣㌳扤戰㜲ㄹ愳㉥〵㔵捦㍣㍡㝡㌱散㝢㜲㘲㘲㝣㘲晣挱㠷㈶㍥㍣㝥散攸攸㑣慤ㄲ搴㍣昳愴㙢搶〲捦愸ㅣㅤ㕤慣慤㔴散搲挷捣捤攵敡ㄵ搳㍤㘹慥ㅣ㝢㘰挵㜸昰攱㠹〷㑦㥣戰ㅥ㜹攴攱〱㍣㍡㜳㙥㘶㝡搱㌳㉤晦ㅤㅡ㔳攳㉢㍦㌸㙢㤶㙣捥捤㌴㍤摢㕤ㅤ㥦㤹挶㝦㠹昷挷摤㐳攳㑢㙢愶ㄹ昰搱愶㘷扡㈵搳搷搱戱摦㤹昲晤㥡戳㑥攲改捥ㅣ愶㕡㌲晣㐰㜳㘶捣㑡㐵㜷攲㔱昳捥〲㘸㔷㌱㌶〷㥣㈵搳昵敤挰摥戰㠳捤㥣戳㡣㠱捡㠳捥〵摦㍣㙦戸慢收㌹挳㌱㌵攷㔴捤㉥昷㠶㔷愶攷敥㜸㠸攴㡢挹昴挷愷㝣㘷㘶捤昰攴㡤㝣ㄲ㈶愵敤㥣㔷㙡㙥㝢㘷攷㜱昹敡昲〴㡥㜹㔷攷㜶愸戹㘸㜸昵㤶㘳㥤㕢㐶㤳㙦㝥㠳晢㍢户㑦搰愸戹捦扤㥤晢〸㈹㥢㕢慢晥㠸扦㠵愲㤸㡣㥥㈳攸㈳挸ㄳ㜰〱昵〲㐱㍦挱〰㠰敡晤ㅦ㐸㐹戲㈳慢戲㐵㈳㕢㕣挹ㄶ㑢搹㘲㌹㕢㌴戳㐵㉢㕢㕣捤ㄶ搷戲㐵㍢㕢扣㥣㉤㕥㐱㥢昸捡昷昵㘵愳敢攱㈷扦愴扦㜵晤攰摣㕦捤扣昶搱ㄷ㝥昲て㤷〷昶愱搱攳搱㑢捤㝡挶㔵戰㕡㠳㡢㡦㡦ㅦ攳扦敤愵〲㐲㘱㥤戰ㅥ戲㈶㈶捡㈷㡥ㄹてㄸㅡ愷㤵戲昸㑤㡣㌲㡣戶〳搶ㄳ戶㕢慥㕥㤵戵扢㜵摡昰捤〶攱挶愲扡改㙡捤㉤晢敦摢扡㜲㈹㌰〲昳㐸㙢㕤㘳㤰戶㙥㑢㄰㉢搳㤷攷摤搶摡敤愲㔱愹㤹㔳搷散戰晡晤㉤搵捥愲㔷㕤改㕣㍢攷㤹㑦搵㙢摢摥㘸ち㑡㙤㐳挶㙥㥢㘵㔸ㄵ扥搷攸捣㕡搵㌷㕤㜹扤㌱㘷搱㉥㕤㌱扤㈵㤳㉡搱㉣换㔴㙦㘶㔵㈴昵㘳ぢ㉥㈶ち㘹㉤摦㤱挴㕡㡦㕥ぢ㈰捣㘶ㄹ敦扢㙥㝡挱收戲戱㔲㌱て㌶㌵〹㥦㠹㡡挳㑤攸戹㙡愹收捦㔴摤挰慢㔶㥡㙢愶捡ㅢ〶㌴㑤昹㙣戵㙣昶昶㘶㐴㈹㐰攱昶昴㈸㤵戹慦戳㉣挸㐲㈴㤶㤸㠲㝣㑢㌳摢㡤㥦挷散㌰㡢㡡㐹㥥捣㝥㜰㥢挱昸扥愲㘳㔲㈴㌰㌱㈷摡て㍥昴㥥㙤㠶慤慦摣扢摢㌸㥢ㅤ㠹㘶晦攸㠶改〶愷つ户㕣㌱扤㔴敢愷昸㐶晡㄰㠰㜶ㅤち愱㈳昵㘸敡搴㌵戵愹㕤戵换挱㕡㙥捤戴㔷搷〲攰㘰㈱昳㜹㤲戶敤搲㙦〲㑡摦㑦㌰〲㔰㈸㘴㜲〷搸㈸㔷挰㤵搱愸㥤㔲㘴戹㐹㤱戳㕦㤳㉣て㔸㜳㜶㈵㌰㐳愵㍣㘴㘱㐵㐲慢㈶换㌷㐸ㄶ昵㡣㔲㘸㌰づ㔸㌳攰㔲挳㜶㠳捤㠶摣戶㐹㐹挸㐴㝢扡㘰搷改〲慡㠲㘶㝤㤰㈲㙢㘰㥡ㄶ㙤㤰摥㌸挱㐴ㄴ㠳ㄴ换㡥㤱㥢㤹㡣敤㔳㜴〴摡㈷㤹㤰慤㡦㜵搶ㄱ㘴昶㜶㈶㘵愷㡥昲戸愷捤戶昲攵㐳㙤㜶㌳〸愷ㅦ㈴㌸㐴㜰ぢ挱㘱〰昵ㄳ㘸㌸㙡㌹㤴㥢㉦晤㝤戸搷㙦㈵㜸㍦〰昴㤳㑥㥤ㄳ愹㉡晡㔰㍢昱㈳搹㙥㄰㝥戲㌸挵愱㉡愲㘷㕣昷㌳〷ㅤ㔹攸挸敢摣ㅤ戶戶㔷㙣散㠷㍡昳㘶㜲㍡攴挸㤴愶挹戹㙥搳㌴㐹〸㌶敤搲㙥摤㡥慥晡㈸挱〷〰ち晡ㅤ㠴㌰㉥㜴㜸㜷收搱搳愵㝣㑦戸㐵愱㌳搴愵㠱㡦ㄸ㤹㕢㠰ㄴ㈵搷戶㝤搹昳愱改づ㡥㔹敦㜹ㅦ晡㘸㘷昹㡥ㄶ扤挵㙥敥搹ㅤ挶㡢㙥搰㡢扥ㄳ攲愵晥戵愳㡤戹ぢ搵晡㠷〸敥〶㘸戱㌱摣㝤摦㘸愴㐰摣㘲㈷戱㜲晢ㄹ㜵ㄱ㉦㜷㜹㜳摤ㄴぢ㌴㘰㉤ㅢ摥慡ㄹ㈰㠲㜱㘶ㄶ扥㜰搵昳捣ち㌶戵㘵㐱㜰晦㜲愸ㄹ改捦㜹㔵㠷昸㍤ㅦ搹㝦㑦ㄸ㠶摥摥㙣㑦愶挵㐷㑥昱㌵ㄳ㌱愷〴攷搰〶㍦搰㔹㐹㈴㍡㌵戳ㄷ晢愵敦㉦昷㌴㐹ㄷ㥡攴㕥㤰㔵扦て〰㕡㐲晤㜳㐷㡤㜲㤴捤㝥㐱㥡㌵㝢慣㡣昰愵散㑥㕡㘲㠸㙤㝡愴㍦っ搸㑥㈳㝥攰て㍡㑢戶㔳㔷ㄶ晤捥愲改㤵㄰㕢戰㉢㘶㈱っ换㔲搵散改㡡昷㠸慥攸改㘹摢㑦愷挴搷㠴㑦㕡戴㐴慡戴愷㔶愶散挵ㅢ㑣挵㌰㈴㤵㑡㑡㘸愸慥㠱挸㜹㙣扢愷㘲扡㔰㌱昷㠳㜰晡㌱㠲〹㠲攳〰摡て愱㘹㜶㑡㜸愶挳晡㌶ㄸ搲㉥ㄶ㌳㜹㉥㠳㠴〸摦攸愸慣㑥昰㌱ㅦ㈶㜸〸愰挵晤㘱〰㌲㠵ㄱ㘵挹ㄳ㡣㈸㘹っ敢愲㙤㕥㈵て散戳㤰㔸㥡愹昹㐱搵㘱㘶㘹搰㥡慤㥥慢〶戳戶扦㡥㑣搴㠸ㄵㄵ㥥㔸㌳㕤㜰㤷〷摦愷〵㔷㕤㕦㌷换扡戵㔴慤㐱戵㥤㤹摤つㅢ㜳㤰〳扥愴散捤戳ち㔷㜷晢㘳っ愱㐰㘹㠹户㌲ㅡ扢愳攸㌷㌷㝤㐳つ㡡㉥摢㐱挵散户㐲愱㘳㌹㙦㠱㡡挸ㅣ㤴晢慣攵㌵捦㌴㘷〷慤㔳㥥㕤慥搸慥挹挵㠰㡦挹㘴摤扣戹㡡㉣挱㘲㤵㌹挰慡㍢㘸㉤㝢㠶敢慦ㅢ㑣㈸㙥敥㙦扡㤳戴㠸㘶㑤摢慥㡦挷挸㉡戲㍣㘴㉤慤㔵慦㈲㘳㕢㜳摣㔳挶扡扦㉢㔶㠵㑣ㅦ㕥戲㌴㉡慢戲㔹㤵捦收扢㕤ㅦ㙥挸㌳ㄹ捡㕥㉦㠱慣㔵㐶㘳捣㍣挵㝡搳慦㡦㜲㌴昴搳昹㑥〳挸ㅥ搵㤱㍤愹㕡㤸㤲慡㍦挲㍥ㅦ〱㜸散搴㠵㌳㡤捣摣摢捡㔹㙢㡣昲愷攸㜸㘱㡢㝡㈲㠴㌱扡㝤㈱慢㄰㐷捥㠱〴㘲挵㜹搷捡㝥〵㑢摡㤰晢昶㌵㡡㜳挸㈴つ㔸昳挶㡡㔹㐱㍥摡㌱㠲㝤攱つ摤㔸挷愸昸㔱摤㑣搵㜱っ戲ㄶ搹㜲愹㘴㤰㠳愷㙡㐱昵慣敤敡ㄶ㠰昰㕦㠴㌲慥〱㘵㕣ㄳ搴㠰㜵㥥愹㐱㈹㜳慣敡慡攱搹挱㥡㘳㤷昲扣㘱晡㙥㔷昰㈴㠴㥣㥡㌷扥㘲㥤㌱摡攲捤㕦㠰换收㡦㘳戹挷愱㐷㐹㍡㉥㍦㌸㌷慢㜲昸愷扡っ㉣㐱挱㐸愴㔴晦㐵㡣愶挹改〸愸ㅣ戹慥挷㘷㌰慥㝦ち㤸㔰〹㜱搵㔳㔸〴㔱挱㠴㤲㘷㠸㍢㘷㕤㜰敤〰慢挷ㄵ㥢戳㠳㔹ㅦ㑢づ㠰愲㙣㙦㡦挸慡㈶㍡㡤搵慤挲敤敤㔵㑤㘶攲戶昶晡愴摤昸攰ㄶ搵愱㐵㐹ㄸ㤲敤ㅡ㠹㘵搹攲ㅤ㜷㤳愹㔱㘲戸㘳㙢愳搲挲愶つ扡㔳㡢扣つ挳㈴㍣㤳搱㝦㐹ㄸ〵㠹摥挸㐶㌱㘶㥦捥ㅥ㠹㡣つ㝤㠰〲敤㔴㠸ㅢ㡣㔲㠲㘷㜰散愴㙣ㄶ愲㍢挸昷扥愸戸㔰ぢ㥡㙡㡣㙢㈳㔱捤㔴愵戲攰挲㑢㈸ㄹ㕥㜹㤷㠸㌴收ㄶ㕡ㄸ㤱捥㙥慤㝦㐸摥㠴㈰㐶㘲挸戴㐸㑡ㅣㄸ㘲〸攱㑡㘴㔴改㥤つ㤲搴㜵㜴㥥㜷㘷㑤挳㤵ㄵ㔸ち捡戳收㠶戸㘱つ㑦㝥㐴㍡搴㜷㡢愲㐷㜵㙢㙡挵㠷㐹て愸挷愳㤲〸戸㙥㥤㘷㔸ち㠷ㄸ愰㜶愳搲㘲㈹㐰㙡户㍥〰㜷〶扢㘷㜵㐰㤱㌰㜵㐲敦㡣ㅡ㌴㤷挲戸捤㤳愰散㜴戹愲㔰愴㤶㕣晦㍤愹扥晡ㄵ㕥摦㥡捣挴㠵㐸㠸㤸敥㑡昱ㅥ戰戸挹捣㈴愵㘸㈴㑥㤸㠷㥡㑤㤴搶㐰㡣愳㡢㌱㐸㤷捦ぢ㜰㡡㠷戹慣㈱㡡㑤〵攷摣〲ㅢ搶戴戲戹捦㍡攳㤶㉡戵戲㈹愶㌸搶搵㘲㤱㜷挵㝡挹ㄱ挰㔰㥡㔲攸ㄲㄱ攵っ戶㔲㥣㌲ㄷ愹㝢扦㕢㥦㐴㜷㔱㜲ㄸ㈳㌴㝤㑣㐰愶㠴攵㈴㈱搶㜶㑥㠱晥攱晥挶〱〶㌹㍣〷㤵搶㠶愲㉥㥢挷㜹扣㝡ㄶ㔹愴㉤搱㙣扥㍡㕦愵捦㥥㐰㥤戶㐳搴慥㔸㈳捣㌳㔴㜸戹ㅣ㥣㤱㉥愵㠳㠳㘴慥㐷搹摤敢㥦㤲摢捣㜵㉣㠵慣㠰㘲㡥㤷扢愰っ愸ち㐱愲挳㥤㙤㜸摤㡡搹㕦㝡摥晡ㄴ㠰㘲ㅡ㤸づ㉤㕡㠶づ捥っ捡摢㍢㌸户愳㔵㑡㠶㌴㤹㑣㘵㡥㜲〴〱㝢㉣ㅡ愴㠹ㅢ改攵㉡㡣㔰㜰㐰づ㠶挵㘷ㄳ挷ㅣ㙣㠱慡摥挱ㄶ攴愲ㄱ攰昸㡢㝢戸〵㍤㔵㉥搳摤㐵㝣㙥㔷慣㉡㡥㙥㠴敥攸㠱㤶㐳㔹㌲㈷晡㜷㜷戶㔴㐴㠷〵㡦捦㡥㥦㌶㠲搲摡㔲戰ㄹㅥ摣敡㤶㈵戴搷ㄱ㡦搸昲改昴㤹㝢㕤ㅥ㐴摤㈰敤ぢ㔷摣敡㔵㔷摥㑢昳㜹敡てㅣ㠲㈳㤴㝤㝣挹㐲收㘷昸㈷㔷㌶愳晤〰㈳敥攴戵㌹㐰㈳㐰挲㜱攴ち戵挱㈸捡㈹㝣〲摦扤㝥㙡㠰㝣㜲愰㠵㑦㐴ㄱ散㌱㡡扢晡㡥㌱㡡晡㍥㤶㤵捣ㄲ㙥挹㐱昳㤷㈱晡敡㌵㘰戸攰戸㡦搴㠸昶〱㤴㔲㤶㑥ㄴ㜹㜴挴㠳〷㐲㝥㝥㔶㈹㤶收㉤挵改晦㐰㤸搵慢慤㑢㜴ㅢ㤷攸㝢㙤㑢愴㜸っ㐴攴昷戱愸挰ㅢ㡤改搹ㅢ㑡㠴㜳㑥㝢ㅢ搰㜷晤挰敦晦攳〶㜴ㅥ㉢捣㑢㝣㌴愴摡敥㐲戹敥㈲昴戴戹〸㑣摥㡢㡢㜰㤶㝤㤸挵て㕤㠴㈸〶戲〰挴昶㉥〲㜳㝢㈹㡥㘰㈲搵㥡〸㙢㜰〷㜶搰㘱㝣散㌴づ摥㥡㍥昲昹㌰㕡晥っ㈲㔲㠷摡搱㡢㠶㘷㌸㠷〵㝦捡㌳㘱捣扣㘵㥣攴㤶㉥散㜱㘴换ㅡ改戴㐵慣㈲㡥戲敦挵㔳㜶㜶㝥ㅤ㉢ㄵ㕥㘱昸㕥攵㔵敥㙤㐴㑡ㄴ昷つ㤹㕦㍤昰㈷愷晥敤改攷㈶㜹㕡㉤攲㔵敤㍥㤴扢㐹搹搳㥦㐰㔲㌷㜱㔰攴㘶㝥㤸㜳ㄶ㥦㈸搹敢ㄵ㜳摡昰挴ぢ昲㜵㈷㉥㠶㡣㤷㘰捣㤰昹㜶㠳㡢㠹㜳て愱㡢㌹摥ㄲ敥㤴て㥢㈴㐴㌸㥥㜸㜱㠹改挵㘹㐳搵搱㤰㜵改㙤㙡㝦〶㔳㜴㠳㉦搲散㈵㜲搷挹㑢愹㍦㙤戵㜵㈷㘸敢挲㡤っ搳晥戱㤶㐲晥㠱ㅣ㤲摣挸昰㐰㠰㘸愹昳㈸㘸昷〳愴㘴搶㕡㔳扣㡣〷散㈹〱戳㝥攸慦换㡦㔸㐰㐵慣㘲ㅣ㡢敦㜶㐷㑢㕦㌴㌶㑤㑣搵㡡㑦戳㠴㠲㙣㕥㠸㤸㠸戱换㈸挴㤷㜶ㅣ愵ㅤ㠷愳昸㤰㐱㈷㑣扣㠵㠲慤㌹㡣戵ㄵ㥣㐷摤ㅡ㑥㝥挰捥攴挴㘰戸晢㠹挶㠶㔴㜲㜴㘱搳㐲㠸㈲ㅣち㡢昵㑥晤㔱ㄵ㙣㤶㝢ㄸ扢㔲㈴晦昸愵㄰敢挷ㅡ㐳摦摣㕡㐳ㅢ攷昶㘱㠲晣挱晦扡㉤㐵戰昱㔴㑡っ㌴散㡥㕡攵挳攳攱ㄷ搰㠵㤳捥㈸扤㔱㤴㝢㜵〲㝦㘲挹敡挹戶搹㝦㘶慦㐵戲㉥戲㌷搳搸㑤昶晦㐹㈰戶戵晦㡡戹㌷㔹挸㡦㐷〵㜱㑥㤹㍦搹㌶㘵㐳㡡㈰戲㡤攴㡤㙣㡣㜵㈹㌲攵ㅤ㤶㤶昰昱㙡㔸㉤ㅡㅣ㜱慦摥搶愳ㄱ昵扥昴㙤晢㍢㉡㐰收㠶戴㤷愱㠲㍡昶㙦搶㕢昱敥㌶昷〹㜴㍣㜰搶㉥㜹㔵扦㙡〵愳㑢㐸晡㡥昲摢㌳ぢ㍥捦㤴晡㐶慢㔲扢ㄳ㤴ㄸ昸㈴晡㥣㕢㠰挲㍥㘷〶敦㔴㉥㤲㤹㠵㥤㘵㌲昸ㅤ搲㜰㈲扤㐴敢攰摦㘴㍤㕥㌳㉡昸㜴㜵〱戱捥㠰愸㕤㘱散挲㠸㜳敢〹つ㤲づ㘷戴㍥㠶㜸㤰㔹ㄹ㐷㜲㑣愶昰㠹㑦㤲慥慤㌴㘸㙥ㅢ捤捤㘷换敥㘲㙥〵敤㈵慣改捥㥥搲捣㌲㝣㈶扦㐸㉥攸㐵㐲ㅣ摡㥦挴摦㥤〷㘸㌹摡〸昸㍣晡愰㥢㠱戰戱ち挲㘷㍢挸㝥㕦㐲㔷㌵㐵㠰㥦㙥㐴〵㠹昸㌲捡㐷㔱㔴㉦㘰㕡ㄴ〰㤴㌳戹ㄲ㐰㘷慥㝥㝥㉢慥ㅥ㝥っ㝤㈸慦扡〹㌰搸愳戸搵㈰㔷ㄶ搴㔷搱㥥㔴ぢ㘷扦㑡ㅣ戶ㅥ戲愵㐰㔹㑦㙡㜲挵㉤㠵扣捦㤷搱愱晥㍥㤷㠱敤晣㍥㕦摣敡㝤ㄴ㥤〱㤹㙦㜲晣攱搸㤸攸づㅦ敤ㄲ㔴〹搶〱㠶攳㤶㐳㔴㤳㥣㑢㉥㑣㌵扣挶㤵挲昵㡦搱摦㌷㈷㝦昸〶慦晦㥡㔴愲ㄸ㔱搵㍣ぢ㉡㐶㤹挵攷㤲戳昰㠱敤㍣㡢摦搹㙡ㄶ挳搴㤹㐲搵ㅡち愰㙡ㄱ㝦㘴㔶ㅢ㈸㤰愰晣愹㑢〴昸㌵扤挵㌰ㄷ㕡晡㕥㐳㘱戰㐷攳挲㝣戴戳㜵愱昳ㄸ㝦ち㡢攴㐰搳㌷慦㡦攲ㅢ搶㑤㘶扢㝢昰〹扦㈶愶戰㌷晢㤱敥挶㡡摤㔱昲㥦昶㔹捣晡㙤㡣挳㐹㌷㘲㡥ㅣ昱〸㝥㜹㈴㈱挸㘶㐲㤲愷㔱㠸〹愵㜱搵㔳扥㙣ㄲ攷㤰愷㐰ㄹ挸捡㠵㤱攸㕣攸ㄲ攴㥤㈸〴扤㉢ㄴ㈳愶挴㑦㠵㍢摡戳㕣㤷挷ㅢ搴㘷㘲㉥㍣㝤㍡晥㙣㉣ㅢ㈵摣㈰〵愱㍢㑥愹㈱㈱搵㜳㜱攳敦扥搲㠸ㄷ愳〲ㄷ㐴㈵㙣㑣改㤲挶扦ㅥ㌷㍥㡥㑦搲愴㑤㠶っ挵敢捤戸㌱愵㔰ㅡ㝦㍡㙥晣㥦挷て搷ㅢ挷㐲ㄷ㡥慣㔱㈲㔲ㅣ㝤搹晡㈴㍥㑦ㅦ㐲㜳捤愲昳搰㙦㠵㘸㌲愲攴捤㉢攲㍥っ攰㈴㡣㠷て挴攷㜱戰ぢ攷㕦㘰㘱挲晦㑦挴ㄹㅣ昸㥡㌵〲〳摦㝦㙦㈰搳敥改㜲挷捥㌹㙢挱〳愲捦㍡攳㘳㐳㔹摥㔵㉣〲㕦愸㌷愴敦㌶ㄹ㠹ㄴ扦戹㐱㡦㌸㐳㤸攵〱㥡敥㉣愷㘴㤵㝡搵戳昱捡㘶㥥㙤昰㡣晥㙢㔸ㅣ搸〴㐰ㄶ昴㑦〳㠶㔹愸〳㐴っ㔳搹㠹㈶㝢㡥ㄵ㥦㈱昸つ㠰㠲愲㘶㈳ㅦ攴㍥ぢ㌰ㄴ晦㕦㍡㐶㌷㈴㔸㤴㔵搷攲㠷晤搳㜷㥦慤戳㤱晥㥢散昰㕢〰㍤㠸㕤㉢㈱ㄲ㑥㘴攸扦つ㑣昲愱㔴ㅣ昲搰摦㘵挵攷〸㝥て愰愰昱㘵㜷㑣㌵捥愹㑢戳晤晢攸慡㐸ち㡥愱㝦㍥㉡昰㐶㤱づ㔴攷捡挵っ愹㐳㘹㙤昲搹㥣㈲㙤愴挲㠹㉡㑥㑡㠵㔲愴㤷㔴㔴愲㡡㐹㈰昴㉦〲㈸搲㠳㜳搲扦挴㍢㤲㐱ㅥ昸㘵愲愲㥦㈲つ愴晢㕡换〳㐹ㄷ愹㔸㙤㜹㈰㘹㈵ㄵ㔶昲㠱㕦〳㔶挹挴㔰㘸㌶㔷㥣愰搰晢て㔰ㄸ散ㄹ攲扢㍤㠱㕦昶㥡㉡㕤㉡㕦扡昴搳愱摥搱㈳扤㑦晥昲挰㔷摥晣晢ㅦ㝦攱㐷扦㜲昲㍦摥㝡晥昹ㅦ晤晢ㄷ摥㜸敢昵㤵㤳㝦晢搲㑢㝦昳搸搷摦昸昱㝥敢挵散㉢㍦㥤㝦昱㤹㠹㉢捦㍣㘵㕤戸敦搴㌳ㅦ扦晣昸挴攲㑤㘳㍤㍤㝤㝤㜷㡦晣摤㉤昷っ㍦晢搴慢敡慦晦攵㤰慢㘴扡㜸㠰晥〲㥦ㄲ晤㠶㌹敤㘱㘲扦㑥昰㈲挱ㅦㄲ扣㐴昰㐷〴摦㈰昸㈶挱换〴㝦っ㌰搸㌷挴㤹扤慢慦㑢戲〸㐱㥦㡣〸㍡つ㐴㕥㘵㠶昹晡㐲戸㙦愱愰㝦ㅢ㘰㌰慢昸昶搲晡㐲㜳㙢昵㘲㕣戱ㅣ㔵挸㘴扦〳慣攲㍣愵捦昹愸㡡㜶戳愰㌸㜳㐱㍦ㅥ愱戹㘳㉣㈸搲㐲搰㡢ㄱ晡愰愰㐹ㅤ㐱㉦㐴攸㐳㠲晥㘶㡣㍥ㄷ愱敦ㄱ㌴㈹㈸慤捦㐶攸㝢〵㑤㥡ち㝡㍥㐲搳て㉡㘸㥣㘰捡㤹摥㠶扥愲晤搶㘵㔷㑦捤搵扥戳扦㈹㍡晤㌰㔶㙦戳扦㡥愹㙦攸昷搵㔱戲㐷扦搱㍤㍤㤶㠴慢㤲戹愳戳㥢挴㠸㐱慣㕡昳㙡挷つ愳㝤晤㥦㜳㜴㕣㑡慦㤷攴㔶㤱〵㠴ㄷ㕥㐱㠱㙢愸昴㝡㐹㙥ㄵ㤷㕢㐴晥㝢㈸㘸散扥㠳㠷㔳㉢㜴愹捡㕥㐵㔷挵㜷攰愳昴搷㜸挷㈷㜳㐴晤晢〰扣戸㘶㑡ㅡ愲愰晦㠰愸攸㔲搲〱㌷晡敢〰散挴摦㜰摣㜱㌸㙥㍢捣㙡搲㕣晦ぢ〰㜸扣晣㤳挲㉦攱㌱㉥㉥㐲㠱敤㥢〲㍤㍦攷㌱愱扦挴㠴ぢ搴㜹㑡㙦ㄴ攵㝥㠸昷愴㙦づ㍦㕣搷㈷晢晦ㄷ㌸敦敢㠲</t>
  </si>
  <si>
    <r>
      <t>BL-TiO</t>
    </r>
    <r>
      <rPr>
        <sz val="11"/>
        <color theme="1"/>
        <rFont val="Times New Roman"/>
        <family val="1"/>
      </rPr>
      <t>₂</t>
    </r>
    <r>
      <rPr>
        <sz val="11"/>
        <color theme="1"/>
        <rFont val="Calibri"/>
        <family val="2"/>
        <scheme val="minor"/>
      </rPr>
      <t xml:space="preserve"> ink</t>
    </r>
  </si>
  <si>
    <r>
      <t>MP-TiO</t>
    </r>
    <r>
      <rPr>
        <sz val="11"/>
        <color theme="1"/>
        <rFont val="Times New Roman"/>
        <family val="1"/>
      </rPr>
      <t>₂</t>
    </r>
  </si>
  <si>
    <r>
      <t>PbI</t>
    </r>
    <r>
      <rPr>
        <sz val="11"/>
        <color theme="1"/>
        <rFont val="Times New Roman"/>
        <family val="1"/>
      </rPr>
      <t>₂</t>
    </r>
  </si>
  <si>
    <r>
      <t>PbBr</t>
    </r>
    <r>
      <rPr>
        <sz val="11"/>
        <color theme="1"/>
        <rFont val="Times New Roman"/>
        <family val="1"/>
      </rPr>
      <t>₂</t>
    </r>
  </si>
  <si>
    <t>Espinosa 2011</t>
  </si>
  <si>
    <t>Landfill</t>
  </si>
  <si>
    <t>80% active area</t>
  </si>
  <si>
    <t>roll-to-roll</t>
  </si>
  <si>
    <t>Tem</t>
  </si>
  <si>
    <t>Direcet process energy</t>
  </si>
  <si>
    <t>kWh</t>
  </si>
  <si>
    <t>PL 1st-step drying</t>
  </si>
  <si>
    <t>PL 2nd-step drying</t>
  </si>
  <si>
    <t>to air</t>
  </si>
  <si>
    <t>Wastewater</t>
  </si>
  <si>
    <t>waste fluid</t>
  </si>
  <si>
    <t>Ar</t>
  </si>
  <si>
    <t>O₂</t>
  </si>
  <si>
    <t>Cu</t>
  </si>
  <si>
    <t>UV/O₃ cleaning</t>
  </si>
  <si>
    <t>Electrode sputtering</t>
  </si>
  <si>
    <t>Key input parameters</t>
  </si>
  <si>
    <t>Current value</t>
  </si>
  <si>
    <t>Notes</t>
  </si>
  <si>
    <t>Recycling level of substrate</t>
  </si>
  <si>
    <t>0%--&gt;no recycling</t>
  </si>
  <si>
    <t>Recycling level of electrode</t>
  </si>
  <si>
    <t>Consumption of ETL calcining</t>
  </si>
  <si>
    <t>100%--&gt;current practice</t>
  </si>
  <si>
    <t>Consumption of electrode sputtering</t>
  </si>
  <si>
    <r>
      <t>UV/O</t>
    </r>
    <r>
      <rPr>
        <sz val="11"/>
        <color theme="1"/>
        <rFont val="Calibri"/>
        <family val="2"/>
      </rPr>
      <t>₃</t>
    </r>
    <r>
      <rPr>
        <sz val="11"/>
        <color theme="1"/>
        <rFont val="Calibri"/>
        <family val="2"/>
        <scheme val="minor"/>
      </rPr>
      <t xml:space="preserve"> cleaning</t>
    </r>
  </si>
  <si>
    <t>Consumption of PL 2nd-step drying</t>
  </si>
  <si>
    <t>Consumption of PL 1st-step drying</t>
  </si>
  <si>
    <t>Consumption of PL annealing</t>
  </si>
  <si>
    <t>Consumption of HTL slot-die coating</t>
  </si>
  <si>
    <t>Energy consumption of ETL calcining, kWh (4.286)</t>
  </si>
  <si>
    <t>Energy consumption of electrode sputtering, kWh (7.778)</t>
  </si>
  <si>
    <t>Energy consumption of PL 2nd-step drying, kWh (6.429)</t>
  </si>
  <si>
    <t>Energy consumption of PL 1st-step drying, kWh (4.286)</t>
  </si>
  <si>
    <t>Energy consumption of PL annealing, kWh (4.286)</t>
  </si>
  <si>
    <t>Energy consumption of HTL slot-die coating, kWh (0.139)</t>
  </si>
  <si>
    <t>Recycling level of substrate (90%)</t>
  </si>
  <si>
    <t>Recycling level of electrode (95%)</t>
  </si>
  <si>
    <t>㜸〱捤㔸㕤㡣ㅢ㔷ㄵ㥥㍢昶搸ㅥ慦㥤戸㐹摡㜴搳㌶㜱㔱ㅥㅡ㌶㌸敢㈴㑢㤲つ㔱戳戶搷摥㠵㘴搷慤㥤㡤愸〰㙢散戹㕥㑦㜶㝥摣㤹昱敥扡㐸㍣昱〰ㄵ攲〱㈱愱㌴㉦挰㐳㑢ㅦ攸〳ㄲ㐵晣ぢ㄰ㄲ㐵〲昱㐰㠴〴慡愰㠲ㄷ〴㐸晣扥戵ち攷扢㘳敦摡㕥㙦㥢㠴㐵捡㈴㝢昶摥㝢敥㍤昷摣㜳捦昹捥戹㉢㌱㐹㤲敥搰㠷摦昸挲㘸㍣㕥改㝡㍥户㌲㜹挷㌴㜹挳㌷ㅣ摢换捣戹慥搶扤㘲㜸㝥㠸㈶㐴㙡〶昱㍤愵收ㄹ㉦昰㔸㙤㥤扢ㅥ㑤㔲㈴㈹ㄶ㔳㘵攲昷㝦㔲晤㠶㡡㔵㙡㤸㐸㠲㘶㐹搵㝣㙥戹㝥㠳㐴㔷㝣挷攵㈷搳㉢㠱㠰㑢搹㙣㈶㥢㌹㝢㉥晢挱捣昴挹㜴扥㘳晡ㅤ㤷㕦戲㜹挷㜷㌵昳㘴扡摣愹㥢㐶攳㈳扣㕢㜵搶戸㝤㠹搷愷捦搴戵戳攷戳㘷㘷㘶㥡ㄷ㉥㥣㑦㐴㐸㜲㌹㥦㕢攰㘶㥢攴敤㤵搴㈸㐹㕤捡攷捡㉥㙦敥㤵㑣〵搶挸ㄶ㜸挳㠰搹㌸㜷つ㝢㌵㤳捦搱晦〱慢㔰敦㕣㘶戹㔲攱戶㘷昸挶扡攱㜷㘱㌹搵㕡㙥搴㔷㌴戳挳㈳㤶㔰㈹㘶慤㘸敥㤲㘶昱愴㜵捤攳捦㙡昶㉡㐷㑦戱㑡ㅤ㐳て搳㜵㠶㑥㡣摢愸㘷愴捣㜲㍥㤷㙦㘹慥ㅦ㠸愴つ㑥㡤㥢㉤㜶捡っ愸㈲搶㠸㔱㤸㠷㑤昴ㅣ〶㝢ち㉤㘳㔰㔵㈵ㄲ㠹ㄳ㌹㌸戰㌲㉤㤶愶㑦戳昰㝦挸敤〶ㄷ㑥搰㑣戹愶挹戵扡㕣㙢挸㌵㕤慥㜱戹搶㤴㙢慢㜲慤㈵搷っ戹㜶㐳慥慤搱㥣晥ㄷ㡢㐶攵摥户昸收敦㕦晥摣㡢晦扡晣慡㝢昳㥢㍦㤸晥ㅤ㘷昰㌴攱㜲〹㙡愸㐹㈲㤱㝤㐴挶㈸㤲㘵散ㅦ愴〸㤴㤹扣昵慢㙦㝦晤搸㤳昹敦摥㝥昱搶㘷捤搹㑦㈴㔲戴㘴㠹㉣㤴㔹攲晥ㅥ戹㤳〲换摣晤㡤㐰㝤挵ち㉥戴挰扤㠶㡡摢㕥戴㜵扥ㄹ愱ㄶ㜹㐱挲捡㍢戶捦㌷晤㠲收㙢㔱慢慣戹摣昶㔵㥡㌴㈵㔶〵㉤慣㑣㡡戱晥敡㜸慦㐷ㄲ㔲愲㌹㈰㘵㐲っ〴㤲ㄸ挱㐱㈸ㅣ搰㔸㘴ㅣ㉥㉣㘸㕥换搷敡㈶㍦㍥攲㌸戰ㅢ昹敡㌵摦㌰扤っ㠹㉣戹㑥愷つ㡢敥㤵ㅣ㠴扢ち昷㡡ㅣ㈰㈲㔰っ扦㘹㠳换敡㐱晡ㄵㄷ㑣ㄵ㑣扡摣㍢攰㙣昳ㄲ㠷愹㐳㉡ㄶㅣ㑢㌳散㍤扡摣挴愳㈴昴㤹㕥㉣ㄴ㕣㙤㠳攲㝡㕢昴改捣㌴晥扤㌷戰ㄱ慥㌵㘷㥡攷㥡搹慣㍥㌳慤㥤搱ㄴ〴搲扤挶攵㈱㕡㤳戰慥ㅢ戶敥㙣㠸㐰㍤㘰㔱ㄴ㡡攰慢㜶摢㕣っ㈵㥡㔵捤㕤攵ㄴ晣敥㘲攱㔰㌳敦戸㉥㌷㌵㥦敢㘲〰㘰㝦㜸㜸搰㉢扡㡥㠵昱挷㜳㥡挷户㐱㘰慡ㄹ㙣㤴㜳㍡戶敥㍤㌶㥥㔹昱㐹昴㤱㔱摥戶㤰ㅤ换㉡〴㡣摣ㄳ㥡ㅥㅤ㕤㈶㥣㝦㙥搳〸搸㑦㡣戰〹ㅡ㥤晡敥摣愲换㥦摦攲敥搰㘸㡥㌲摥㍡〷㝦挷㈹〳㔶愰ㄷ〱㤹攳㜱㕢愸㌷㘵㤵㡤挶ㅡ㜷㉢ㅣ昹㤲敢攲愸て㠳挵㈹ㅥㅢ摣㥢㕡㠶改〹㥢昵昷つ㡥㌶攷㌷㝤㑥搱慣㤳扥㤴戳晣㙥ㄵ㤱昴挸搰㤴㘰㑦㘲㑣づつㄷ㥤㐶挷㐳搴扡㡥㌹捣㤹搳搷㌵摡㔳扦敡攸㍣ㅣ㤶㐳㔲㔸ち攳㤳㈸ㄷ㠴㈸㤴愷㐷〲㔵㈴ㅥ挸昶〶ㄱ㝥挰㜳〰昱㘷敥㙡搱戰㝢㘱摤㌸挸搸㉡㈵搸愳挳戱㤲㜹㤶慣㐷㔶㌲㌹〲㐹ㅥ㐵㤴〱㐵户扤〶㥢㡣挵搳攰㐴〳㌶㠳摦㘲昶㔳扢ㅦ㐵㠸摤昲㡣晦敦㘴㔹㍥搸㍢晤晣㍡㘱昶㠲㘶敢㈶㜷摦摤㕥搰㐸㥤〴㌹〲昲ㄸ㤱戸愴晣㠹搰㙤㔷㑢㈲ㄳ戲㑤搶㔵㌶っ摤㙦㐵㕡摣㔸㙤昹㌴㐶愵㕡㉣〶㌳扦晤昶㥤㍢㕦㈰㤸晦㌹晤晣ㄹ搵㥦晡〴挸㔱㈲昱㜸㕣ㄲ昸ㄹ㠹慢㘹敡㐷㥥㈴ㄲ㉤㜱㥢㔳㍤ㄶ㘷っ搹㐹㘴㝡攴搶㥤㐰㝢㥣㐶攳敡扢昰ㄸㄲ㌳挰㑤㝤ち攴〴挸晢㠹挴㈵㜶㥢捥㠴㜳㉤㤰㜶㕦敡㘹㜷㕢㘸㜷ㄲ戳㍥㠰㔹〳摡㥤ㄲ㝤㈹っ摣ㅦ㘷挲慤㉣〵ぢ挶慦㌸㥡㕥搴ㅡ㔴㝢㐶㝢㤵㘷㉣敦㔸㙤捡㥤㙥ち㌳昳ㄴ㌹ㄴ㤱敢㠶捥摤ㄸ〶㉡㔴收㠶愹昰昴㈲〲㜷㍣㑡㡡㈱㐹㔱㈶㘲攳昶㕡散换㍡摥扢摦挱㌲㝡㜱㠷晣扦㍥㜳晥㘹㤴挹昱戸㈸㔸愶愹愹㘶㠹㈸戸攷㝢㡥搵晤戴攸ㄱ慢搲㜲㌶ㄶ攸愲戹ㄷㄴ㜶㕥摥㌵晣挳㍢㠷㈹挹㙢搶愴ㄸ㉦戹㥣攰搹慤ㄲ㑡㠹㌳㘲挵㤱戱ㅣ戱攸㠸〸㤵〱㤰㤸㙡慥ㄸ㝣〳愹攵搸㑥ㄶ㔵愶昹㡥攷㍢愲㈶㌹扡㤳㕦㜰㤶ㅣ扦㘰㜸㙤㔳敢ㅥㅦ挳づ㌸搷㕢摣㈶㘴㜵〹㘰摦㙢㤲搳㙥㜳㝤㡣㡥ㄵ愷攳㌶昸㘲攱㐱挰㘶扡愹攰㘳〲㤶㔹㡣㐵㘴㐶摦晤挱〲㠳扢㐸㥦㍣昴㕡改慤ㄷ㍥晤㜴㠴挰㥥㔱㠰㔰㠸㈸㠰㡡晢㠱㙦〴㘶㜲愸㘸㜸ㄸ㑦㡣慢昴㉣㌳摡㈶捦㘹㉥㌹戶攳㝡慡搵㙦〶㡥㌷㔰散〷搱昲㈰ㄸ㥢㜲㘰㤰晤㌲扢愳晦㠰攲挲〷攱捣挰ぢ㜶㘸㈴㑤㠹㜳〳㍢敦昳慥㤴㕦ㄲ戲摤愳㈲挰扥攸㍡㑡晥㕡㑤㡡㐱㉤㝣㑣昹〵㠹ㅡ慢ㅦ㠰㍦㙣攳㈹㈸㔶挵搷㙣㘷挳ㄶ㥡㉢ㅥ㉡㌱〱愶搱㈸㡥㠱㈲㕡㝣㌳㝤户㤱ㄴ攴㤶愹㜱戶ち㉡收慤户敡愲㑥挹慢昷㌸㑤攰㜱㕡㜵戹㜸㠱挶㐴㠷㑣㤸戴慥㍢敥㕡摤㜱搶昰㡥搹㈷㝡㕥㡢㜳ㅦ慦挵〹㉢㜸昲愲㑤扥ㅦちつ扤〸㝢㜶〷ㄳ昵㝡㤰㡢㘶愸ㄵ㉡扡つ搱㘳㙦搰昹昱㜸㝢敥㘳㙦㑤敥㉢㕦㕢昸㘱㙡昶昳㌷㙢㝦愹戰㥦昵ㄸ㝦戸昱昲㠹扦ㄷ晦㜹昹愵㥦ㄶ㡢捦㝦敢摦扦㔱㤰摥敥慡戴挰㘳㘵㝦㜳ぢ扢慡㠶㙦昲㠹㘶攰ㅡ㘸挷㥡㠴㐶㔴昶改搱㘶戵㐵愷㉥㈴㥢㈵搷搰㑤挳收㜰ㅤ㉡愸昱戲扥挲㔷愹挴㉢㍢㜸挵㍢㜶戲㔹㜵㌵摢㐳慥戱ㅢ摤〳㐳㍤ㄱ㉤㑡㌳㘷搸ㅥ㙤㈳昰ㄲ敤晤㑤挰㌹摤㕣挷戲㑢㕡摢㝢㄰挲㠹晣愴晦〵攰㈵㌳㔹㘶㌱㌹㜶㥦ㄱ挱㈲ㄷ㐸㕥㝡㈰〲㘷搳愵㠵㔲㥡㕢㠶㠷扦㤱愴㥢㈲㕤㔳㔱㈸ぢ愰㤳㑦㘳晢〰摦㔰愹摣㝤〵〸挵ㄳ攲㑦㈷扤搲㍣㌴㉥㠷㙦㤵愸愲攲㥡愵㌵㉣つ㐲㍦敡挵㕥〳ㅤ㠶ㅡ〷㐵挷㐸ㄶ晦㄰つ愹㤷㌰〱㤵つ愰㜹㔷㝣㘶㈸㝢㠰搱散挷攴戱㐰〶㙡㑢㡣晤㠸㕡〸敥㌱挱挹㔰㈴㈱㐰㐵〸愸〸㠸㈰ㄸ扥㑦昳挷〶挳昷㝡㡣㜷㤶㐳慦搷㝦昲敢㠵搷㘳㝦晣搴㉢㤹搵㌲㐳㌵㠵㠰㤰㈲昳㐴ㅥㅡ扡㠰昹㜲慥㍡捥攲っ搵ㄷ慣慥ㄶ㠹㌰搴㕥挲㌰愵㕥〳㥤ㄴ敡ㄸ㤴㌵㤱〵㈲て攵㜳戵㈰捥晢㜰ㄱ㔹愴攱㝤㌴㍣㔰愰愷㔰昶㘰㡤晡㘱㄰攴ㅦ㈶㑣㡦摥ㄵ㈲晤㉦㠵㉢〰扥愹㔷㠹㈴㐳㈹㤸㕢㉣挴㘶㉡㐴愷㘰㝣㌱㔴挶㄰ち㑤㈶戴㐵㙦㐸ㄶ戴ㄶ戲㉡搴㐸㠶ㄸ昶㠶㙤㈳㜴㜶㈹㌹㘷㥡改㍥㝣㜹㤱㙢ㄸㅡ晥㤳搹ちつㅤ愶愷㔶挷攴戵戳㌵㤷㌷扡つ〲㠰搵捣愶改㔹散搵㥥搹晦昶摡愹摦戶扦㜸㜱改ㅢ㙦㝥收㤶昴搱㌷㑥戰慦昵ㄸ愳㝦戸㑡昵㔵㔳㜰戲㡢攳昰㜷挷扢㘶㙡昴ㄱ㌹㑦㡦挲㉥捥ㅥ愲㤲㔵ㄱ愸ㄲ㤶㘷敦㑦㔶㍦〷㈲づ㤴㔷㐸敢晦㐱づ晣㘲㌸㠵ㅤ愳ㄱ昵㌹㈲っ户㈴㍣ㅡ㔶㔷㘱㘷ㄵ㤶㘵㕦摤捤㠲㕦改㌱㐶晦㘸挷㜰㡤㌰ㅥ晢㌲捤㠰挶㘲ㄳ㡤㐶ㄴ散㌴㥡㉢㔱摡ㄷ㘱慣㤱〷搲挴〴㌲㘳攵收㜷㉥扦㜳收攳㜳っ敢戱扣㍦㌰昱㕦㙤㑤㈸㘷</t>
  </si>
  <si>
    <t>㜸〱敤㝣㜹㤸㕣㔵戵㙦敤敥慥搳戵慢扢搳㤵㠱㐰ㄲ㠶〶㠳っ㥤戴㕤摤搵摤搵㠱㤸㥥㌲㌴㘴㈲ㅤ㈶㠹㌶㌵㥣㑡㔷㔲㐳愸慡づ㘹㍥㠴㜰昵摤㈷捦㡢㈲㈲〸愲㤷㐱㔱〱ㄱ㍦慦㝡㔱㄰〱ㄵ㜸ㄷㄵ㄰㐴㄰扤㐱昹㍥〷㔴挲㜰扤㜸慦㤸昷晢慤㜳㑥搵愹愱㍢㠳昸扤晣㜱㑦㜷慤㕡㝢敤戵愷戵搷摥㝢敤戵昷㈹㡦昲㜸㍣晢昰昰㥢㑦〳㤱愳挷愶昲〵㌳摤㌱㥣㑤愵捣㔸㈱㤹捤攴㍢〶㜳戹挸搴摡㘴扥㔰て〶㘳㍣㠹昸扣㜷㍣㥦扣挴昴㡤敦㌴㜳㜹㌰㜹㍤ㅥ㥦㑦搷㈱摥㘷㝦〲㑥㐰㌳㤵㙥㈰〰㤷㐷ㅢ〴㡤〴㘴搵㥡挰て搰摣〴戰㜹㜸㘸㐳㜴ㅢちㅥ㉢㘴㜳收㤲戶㜳慣散㤷〷㠳ㅤ挱㡥㔰㕦戰户愳㜳㐹摢昰㘴慡㌰㤹㌳㤷㘷捣挹㐲㉥㤲㕡搲戶㜱㌲㥡㑡挶捥㌴愷㌶㘷户㥢㤹攵㘶戴戳㍢ㅡ〹㠵㠳愱㥥㥥㐴㝦㝦戸戹ㄹ㌹慦ㅦㅥ摡㤸㌳ㄳ昹户㉢捦ㄶ收戹㘱㜸愸㘳扤㔹㜸扢昲㥣㠵㍣㤱攵㐸㌶ㅤ㐹㘶摥愶㑣扤ㄴ㝦捦㠸ㄹ㑢戲㥦㑣㌳㤷捣㙣敤㐰戵换〴㡤㔰㕦挷㘰㍥㍦㤹摥挱㉥ㅦ㌶㔳愹㑤㘶㐲晡㈷㍤㤲㉦㙣㡣攴搲昹收㌴攵㘷收捣㑣捣捣捦㑡慦摣ㄵ㌳㔳㌶㘳摥㤷㍥㈷㤲㕢ㅦ㐹㥢つ㐴㕡搳㔶ㅦ㡥挶捤㑣㈱㔹㤸㙡㐹㥦㥤㌷㌷㐵㌲㕢㑤戲㜸搳慢㈷㤳㜱搵搰㠰㝦㑦晤㐹戵㙡㈶ㅤ㠵晡愴㠷㈷㈲戹㠲㠴搸㠵挱㕡扣㉥㜵㤱㔶㤴搵㡢㉡搵㔶㤱㡡㝤㌶㤶㑣㥦㘹收㌲㘶㡡㠵戰㈷摢㉢㤸㐴㐰㔶㍦ㄴ㈵攵㌴㠷扤愴㥡散㜱挲戶戰ㄴ愳ㄵ愰㙢㙤㜶敢晡㙣㉥つ㥤㕣㙤㘶搷㤹㤱捣昲捥㡥㘰㕦㙦㤸挱戱㐲㝣挴摣戹㍣搸搱搹戳㘴㙤㌶ㄶ愱愰㤷㜷敡〰搲改搹捣㘱づ挰㌱改㙣㝣㌲㘵戶㤹㠹㐴㌲㤶㠴愸愷摡ㅥ晡㐶㥢㑤っ改戹㘴㥥〷愰ㅡ㕥挶挸慤慣㐴摤㜸愴㙥㍣㕡㌷ㅥ慢ㅢ㡦搷㡤㥢㜵攳㠹扡昱慤㜵攳ㄳ㜵攳挹扡昱㙤㜵攳摢㤱搲㜹㝣㡤㡤㜵昶㤳㍡攱㠶㌷慥摡愳㔷摥㝢捦戰㙦昹搳换㕥㔱ㅣ慣㌲搶攷〳㌹摡㙥㤱㌴㈷搸搷搹戹挴㙥㐹㑦戸愳㕦ㅦ〹づ㝤ㄴ㠰戱〰㘰晥㘸㈶㥦㑤㐹搳捡敡扤㤰㕣㡢〰㤴㝡〹昵㘶摤㠳㜳㤲扦ㅡ㝤㌳㍤㝣摦戱㡦扤搵晣昱攸搷扣㥣ㅣ扡㙢㜵㐳㘵て慦挲捣㄰㡢攴ぢ戶昲㜱㉡㜹㝢㜵㜳晦慡戹㉡ㄷ晢晢慢㈶ち㜹㕢㔴㔳ㅦ㐳改ㅦぢ㘰ㅣ〷㌰㜷㜸㐳㔷㥢㤹㑥收㌹ㅦ戴㈵㈲㌱捣戴扡㡤㉣挷〳㈸昵ぢ扢㠳昶㙣扢晤㤴扤慢㕥ㅢ戸昱㝢慢㔶㕤昴㡤㌷㥥㔵㥣戸㐵㉢摥〱攴摤搵慡摥搵摢ㄱ敥〹昶㠷㐳晤愱扥㔰愸扦㌳ㄴ㉡㔳晢㘰搰慤昶㡢㔹攰㠹〰挶㍢〱㕡㔹㈷户愲㥦挴攸㤳〱㤴㝡搶慥捦㍢㥦昸攱扦晣户晦㠲㜵户摣晦敡昸晡慤昷㑥㈹㜶扣搴攷㔴㈰㌵敡ㄳ敡つ㜷㠴㠳扤㝤㍤挱捥敥敥㘰㕦㔷㘷摦っ昵㘹㘷㠱㑢〰㡣愵〰敦摣㤱㑢愶㈳戹愹㌶㌳㘳收戶㑥戵挵戰っ摡㜳㘳㔹㌵㍢㤸敡㕤〰㑡㍤㘱㔷戳昱搴戳㡦㝥㈶晥扤攱㙦扤㝥㑤散ㄳ㡦扣㝥愴攲㉣㉡搵っ〲㔹㕡㉤戶㥥昲㕡㤵㑤づ㕤捣扦ㅢ挰〸〱捣㑢㈵ㄳ㘶㈱㤹㌶换敡搰㐳㥥㕥〰愵ㅥ戳敢㜰㝤攱愶㈵慦㝣昸搶挱㑦㍦扢晢㜷て慣晢㜹㥢攲㈲㉢㡢㙦㤸捣晤〰挶㌲㠰㠶㤵ㅢ㠷㌶敢搳㐸㍢ㅤ㐰愹㠷敤っ摥摡㔰晦昵攸挳㑦慦昹扡敦㔷㤷㝤扥㘳敢㐶挵〵㕡ㅡ昱㙥㈰㥤搵㡤攸散攸㉢㙦㐷㔷户扢户㔷戰㠸〱〰㘳㄰攰㤸ㅤ㘶㉥挱㘹ㄲ㉢㐹㕢㡥戳㐵㔹㠳㠶挸㍣っ愰搴㝤㜶㝤昶昵㙥㝢㌵晥昸昳敢㍦扢换㝢搴㜱㕦㍢㙤慣㜹㈵愲捦戲愷攰㤱㕣攴㘲㉣㙡愵昵戲慢愳㤳㝦晢㌷ㄴ㘰㈷㈴㝡ㄲ㝤㠹㘰㌰摥搳ㄹ改㡥㜸㌹ㄹㅦ攸㡡㐴摥收挴戹挹㑣㍣㝢戱㉣㔱㐷て㐵昲㘶㘹㕡㘸户攳㠶戲㤳㤹㜸㝥㔱敤挸戱㐲愴㘰㉥慣㡣㉢㘵㔲㤵㙣っぢ戸㤹㤷昲㡥慤㑣㜶㑥㈴㌵㘹づ敥㑡㕡搱挷㔴㐴㘳昹捥㐶愷㡦㕤㤵㌳㉦㉡挶㔶搵㘸㄰愶攰㑥挹扢慡㤵㔶㤴㔵慦戶攱㠹㙣摥捣㐸昵摡搳ㅢ㤳戱敤㘶㙥捣愴㈱㘹挶愵愹㐷㌰捡戶㈱摡㌷㘴搰㔰㔸〵昱ㄳ摣搴挴捡㕤〵㌳ㄳ㌷攳愸㉦ㄴ愵㌰戵㌹ㄲ㑤㤹昳换㔸慣㌲ㄱ戱愰㡣扣㉡ㅢ㥢捣て㘷㌳㠵㕣㌶㔵ㅥ㌳ㄸ摦㐹㙤㡢慦换挶㑤㤸ㅤつ㝣㍣捡㔳㕦慦㤴攷搴㕡㡢づ昳捤㜷㐸㐷戸扡㤸㔶挸㔱攵㙡搷戱〹慤㐳㉢㔲㈶㜵戲㙥昱㝥㌲㤳㝣㤹捤㈹搳㌳扡摡㐴慢㥢摣㈷㑦捦㉤㜵㉣昶摣摦㤷戹慥㙥慥摤晡㤵㍢㘱摢慤㠹㘴攲㈹㌳㌷攳㥥㐱戱㐶㝡ㄵ㠰昷㕥㡣收㘹愵㐷㥢㐳敤㔲㔳摥㡢㤳昱挲㠴㌱㘱㈶户㑥ㄴ㐰挳扥挲攷愳㘸慢ㅥ扤〶㈴㍤㑡㜰〶㠰摦敦㌱捥㈴㤳攱搷㙢慤戰㤷㜶搵挱㕢㡤摣戹㘸戱㔲戱愵挸㝢搳㌰㌸昲昵昵戵㕡戹㈶㤲㥦㈸㔰㍤㘷㡣㙣㘲㝥敢〸搶〳㜸㘹挴敤搷㈸愵㌹搹㐰摢扢㈵㍤㘲㈶㈲搸昱挸攸㔶ㄱ㙦摡㌲愲㐷捣㝣㑣搳摡ㅥ挵㔸搹㘵〰挳攰㙦㑥㔳晢捤㕤㠵㤱㐸㈱搲㤸㠶摤㡥㕥搲㘰㙡㤷㔴ㄶ挶㤴㉤㐲㜳㔲晢敤㄰㜲〸〸敡捡愵㐹〸㔶㑥ㄸ㌸ㄸ㉦㥥㝡ㅢ捥摣〸搶ㅤ㡤㌰㉡ㄵ扤摣晥挶戶㈰扥摡捣㙣㥥摡㘱收挹敥㌳㘶ㄴ㘵攵昰㘲㘶ㅢ㘲搱戳ぢ挹㔴扥〳㌵㕤㥤换㑥敥㜸㍢昳㘱㕥㝡〳㠰昳㜸敦㠱ㄶㅦ㜸㥢戸愷㙥摣挹扥ㄹㅦ昷昸㤸ㅢ㈹㥡戶扥愶戶㈲戳㝤昸㤲㐷㡦攱换㍦㔳㥣㤷戶晦挱散㔵戸攸㌷愷㈱愱捤㌹㔳㜶㕦㍥〹㐰摡㉤改㜳戳戹敤搱㙣㜶㍢昵㘹㤶㠴昲ㄳ愶㔹㤰ㅤ㡤扤㠳㤳㥤㥡㔲昵昵㘵㍢つ搷搶㠷㝢㈱攳㕣㠰㤶挱㔴慡捤挹㌱㙦㥣〷㔲㍤昶㔶挶昹㐰㡥挴慣㡢㑤捤㜸㘸ㅣ㠶晢㔴㉣挵ㅤ攸慥㔴㍥慤㙥㐷攳戹ㄷ㜸捦㤶ㄷㄷ捣摡㜸昶㥡〷〲换㍥㜲挳昸换㘳敡㜳㜶㐴搵捥㠴摢つ搹㌱㙤〱愲㙥〳ㅢ㈷ㄵ攰攵㡦㝥ㅦ挲㝡㥣攰㐲〰㑣つ㈲㙣捣っ㔱㉢愸戸㘵攱散愰㘳〴㜱〰挵㑤㡡㙣戰㑣㈰捥愳㙥㐴晥散㜲改㌶敥㜱慡扢㉤〹慡㕦捦㄰愷戸昵㘱搷㘹㡡㑡㔳㌸㥡㠲㔱㔷㈳攳㥡〲昸愸ㅤ㔱戵㑢愲㉤㍦㠳㠵㔲戶㌱㘱㠹㘵ㄶ㑡㜳㘲㔵㌲㔵㌰㜳戲〸戵㈶昰㘵㜹〵㈴摣挲㠵㌷㠷敤㠰㠴收㈵㠶戱昶挲つ㔱㤸㉡㔹㈳㔵㙢扦戵㌴晥㡦㠵㜳搸㔹㌸㘲摦㤴㔹㌹㌳㔸㄰㔰㥡ちㅢ㘷㘶㘶㤷ㄲ㜱㜱慦㌹ㅦ㠹ㄲ㜵㈰攷㜲㈵㈳㝦攵攴㈹扥㤶㈲扦㕢〹挹摤㌹扤攵㐳㘵慦㔶㔲㈶㥡搶捡昸ㅦㅢ慤㤶㕦搷戲搱㜲㄰㥣捥ㄳ搰敥搲㤳〴㍢〱搴㤵㤸㡣㌸捤晥昸㉦晢昶㥤〴攳攸扢昸扣㈴昳攱㉥昲㑣ㄱ㕣〲攰㥡㘶㉦㐵搰㜸㍦㘹㌲㝢戴㜱㝤昷㉢㐵㈷㠴捣扡㤷〱搱㤷〳㌴敦〶㔸扦挶㑣挱搴㝦扢㝣戳摥㌶攴㌹戳㜱〲搵攱ㄲ㍣㍦㍤㌶㤵㠹㑤攴戲ㄹ㌸戳㘹㌳つ挶攰摣捣慢㠸㤱㕥㥢ㅤ㥥㉣ㄸ改㌵㐹㝣㌵愷㌷㤹㍢捣㐸㘱ㄸ㕢㌹ㄸ㘴㙢攱㝣ㄲ㜳㙢㌴扥敢晦愷㌹收愱捤㡣㕤㜲挹㈲㔳㤵〳搷㌲㡣㙣昱㜶㡣㘴攱㈸㌷挵㥤扦ㅢ㈹つ〳愶昵㘱㘸㙦㜹昴ㄵ愸摤㍦扦㝡挷㘹㈷㝥晡换晢散敦换愱㠰昲攸攳㄰㔹扤〸㝦㄰㔴晦㑣㜱敡㜸㜰ㄴㄷ㘱攳㑡㠴敡愱〶搶㐲㍣㠹慣㙢㉥挴〵㍢愲捡ㅢ戶ㄸ改挵ㄲ戹ち㠸捡㠱慤戶㈵昲㔱㐴敢慢〹㍥〶攰ㅡ㈲ㅦ户㠲敡㐴㝣换㤸戸㤶㑣㥦〰㔰昴㝥㠹㈵㜲ㅤ㄰攷㔱㐹㤴㔱戴㐴攸㌵慢ㄶ挲㡤愰晡昵っ㜱㡡㍥戵愲㄰㕣㤶挸戸摤捥㉡㔳散㝤㜶㐴㤵晢慤ㅤ㌹㠹〰㙥〳愲戶㠰慤戶〰㍥㠷㘸㝤㍢挱攷〱㕣〲昸愲ㄵ㔴㑢昰㉤〲戸㠳㑣㜷〲㈸晡搵㐴〰㜷〱㜱ㅥ㌵㠶㌲㡡〲㔸ち㜲戵〰敥〱搵慦㘷㠸㔳昴搶搵ㄲ挰攸㜴〲㔸㘳㐷㔴㌹昶攸㥣ㄳ〱摣ぢ㐴慤㥡㔶〰摦㐲戴扥㡦攰㝥〰㤷〰ㅥ戰㠲慡ㅢ摦㈲㠰敦〰搱て〲㈸㍡昵㐴〰て〱㜱ㅥ戵摣㉤㠰㄰挸搵〲昸㍥愸㝥㍤㐳㥣愲慢戰㤶〰扡愷ㄳ㐰㤷ㅤ㔱攵㔵っ㈳㈷昱㉤晦㠸㔵㜹㠲攰㐹㠲愷〸㝥っ愰㤶搸㐲㜹ㄴ㉢挷㌶㄰㑡㉢挷㌳攴昹〹挱戳〰㉥愱㍣㐷㥡慣ㅣ㑡昵〳ㄷ挱晣㡣挴ㄷ〰ㄴ㥤㤵㙤昸㜸昴捦〱愶㥤㈳攸摤慣ㄶ捥ㅥ㔰晤㝡㠶㌸㜵㍡㌸㑡挲攱ㅣ㘱捤てぢ愶ㄳ捥㔱㜶㐴㤵挷㜴〵搲㡡㜶晣ㄶ㠸㥡㙦ぢ〲㜸昹愳㕦㐶㔸晦㥥攰て〰㉥㐱扣㘲〵搵〰扥㐵〸㝢㠱攸㔷〱搴㄰㠰㘸挷㙢㐰㥣㐷戵愰㡣攲昰ㄸ〴戹㕡〰㝦〲搵慦㘷㠸㔳昴扢㤶〴㔰摡愹搴㑦㈷㠰㍡㍢愲搲㐵敢㕤㠵㥣づ挲戵搶挴ち㈷捥㐹㥡ㄷ搳㔶㤸㤵挰㤱攱昰㘴扥㤰ㄵ挷㐵㑢㘲㈴扢㍥㕢ㄸ㐹收㜷愴㈲㔳㜳ㄳ㌶㜲敥㠴㤹㠱㕢㌱〷敦㘲〵㉤扢㘳㠷ㄹ搷㠹戱散㘴㉥㘶㡥㡥ㅣづ㙥㐷戴て㕤㈷ㅥ挷㍡㠵攷搰㍣㘹㔸敥ㄵ戴〴㡦挷㑢晦㔷愵㐳挴㘵㑣㤷昶㙤搴挳搶㤲㐴㌷㈷ぢ㈹戳㈹㈱昱㠲晢ㄲ㤰㈲㝣戵昱挶挴收〹㌸ち㐶㕡ㄲ慢㜳挹㌸㌶敡㈶㍢〳㝢㐱㥥挳慥㌵户挲㉦扢㌱㥢㑦昲攸戲㈵戱㌹ㄷ挹攴㜷搰挵ㄴ㥢㥡㔳ㄶㄲ攳挸㥢ㄸ㑡㘶昲㈸㐶㝡㤱㜸㙢㘲㙣㈲㝢㌱㙥ㄶ㑣愶㌳慢㈳㍢昲㠷㐵慦㈸㜶㡢㍣搲㌵慡㑥搵搵㈹㕦㥤敦㔰晢挷搸㠷捣收攳㠴㈴㈳〷挱㙤㔰搵㐲㉥ㄹ㥤愴捣愴ㄸ㉥ㅢつ〴搲㡤ㅥ敦㈸戰ㄹ戶㐴摣ㄸ搹づ㜳㍡㠳㔹摤戲搳捥㥡㝥挹攲㡤つ㙥㠶㌴㕤㑥捤㌴ㄳ捦㔸㝤昶㘸改㤸攴㙦扡㔳攱愵换戵搲摡慣㔴扥愲㔷晡〸㌰捦戲戴㠸㌴㉡ㄵ〶㈷㤴㠱愱㑡捤昴㈷㠴㠷㑡㍡慢㠴慥㠲㘳戳㌹戱㌶ㄲ㌵㔳昰挷愶㈳㠵㔹㔶㠰摢㐳ㅣ戸攷敤戸攱㙣㍡ㅤ愱搶㔱㘳挷㘲㤱㤴改㑢っ㑥ㄶ戲敢㤲ㄹ㥤〰㄰搵戴㐹㤱㕤㈰㐵㜶〹愹㌹戱㠹攷㌴㠲㌳慦散搶㐸㉥㔹㤸㐸㈷㘳㍥〶㜸㤶㜲㔸愸㉢愶㄰戱晡㈱㔰㍥捥㜴㔲戹摢戱散㝥㜴㜷〷㜶昶ㄴㅤ扢ㅦ㑡㕤愷っ晣愹㐳㜴攳㘳昲㤱㌵㐵搷㈳㌷㉦㜶㠱㌲ㅢ㐹㐵昶㍡搷㠸昶㕥㡥㌸㤹㥦搴㕡㌲攰愳㜹戳㠸〸㍦つ敢〰㘶昴昱昲㕣搷扦㌶ㅢ㠹慦㠲㌳㉡㥢㙢戴敦〰昹搰戵㥣㙤㜲〱㝡摤㠷㜱㤰㠳〳愲㥤挹戸㤹昳㤱㌰㠶ㅤ㕣〳晤昵㠶搵㠷㤴㡤挷敢㙤昲搵㉡㙢搴挹㙢戱敤换㜴㕦㜷ㅡ慤捡晦昷㘷㠵㔷戰戵㝥㝦㍤愰昶愲ㅤ摡㘰㥢攸捦㘷㝢㉡ㄸㅡ挹攰〳昰㙥㐰㘴㘵摦㤴㍢挰攱㈶搷㘰㙡㤰摢㌳㜴捤晢攰挶ㄶ㥦扥㔷ㅡ搲攴昲挵ㅢ㤶ㅢ摥攷㕣挹㌱挶愰攵㘶摣㙦㑤戱摣扦㑡㌷搷㌵愰慢㡤㑡㉦㘱㔵戱挸㉣㍤㘶㡡㤳㕥戵愰ち㠶㐶㡤㑦攴㘰㐱晥攳㌳㕦㐴㌹ㄳ晣㔸昸㌹搷挹攳昷敢㈶愴昶昸搵ㄸ愰㈳ㄲづ㝢扦㥦晤愹㥢㈹㤲ㄶ〰戵〵㐱摡〶慥㤵㑣搱㕤换搵捣㘳捣〲换㕣敢挶挹㝥愷㑥㌵㡥ㄴ㥣㍥㜵㉢㌳扥㄰ㄸ㘷愵愲㤶捥〶㜵晦㕡ㅡ㘵ち㝣昴ㅣ㘶㘲〷㔴っ㠸搳っ㔷搷捦〵㠳㥥㐷挶㜸㙤㠶㈳挸㌰㥦っ昴㈲戳晢㡤㈳ㄱ㍡搶ㄱ敢㌴ㄷ㘴㙡挸㜳〱㤲㐱㥥㐹㔷㌹㐷㤱㘲挹㜳㈱换㔹〴攰捤㠱㌸挳㐴㡣㉤慥换戹㈷晥晡挴搹㤹㘴〱㜳㈴敢戴㉡㔹㐰㙦㌷㈷〰㠰㡡ㄷ㙥愱捣㥤慥㐴敤㐵戳散戸敡愸㌲㍢敤搸敡㜸户攱戶戸㐶戴㘵搲戹㉣戹晤㌱㠹㘹㔷愳㡥㠷㤳慤愷㉣搷㡣㙤敥愹ㄳ愷昷㘱扡攴捥戵晡㙦戰っ㡤愳愱つ捤㕢摢㜰㤵㘶愹㜹搱扢戶㥦㍢攱搱挷㔰㠷ㄴ晥㌰㍥㡦〵㑥慢㌱扦㕦㝤㜱昹㜷㘹㤵晢㘹㌹㕡戴ㄶ晢〰〱㕡㡣㠹搷㙦㠷戰慣捥戲搱つ㤳㠵戲㤸挸慥戹㜶っ捥㠷㌶㘴㘰っ挵㈲戹昸㘱戲㤲愲㙤㤶捤㈷㡢攲㈱摡攳挸㠴㡦㙢晤挳づ敢㌸㕢搶〵挴ㅣ㡣㝢扣ㄵ晣㉤ㄴ㜷搱㙢敥㘳㠸㔷敦愴ㄷ慣㥢㜷戲㌹摡㘸㘲㘷㠳敢㤵㈹㜳慥㈴㈸〶㘵搵搰㠹挱㈸㙥攲㑤ㄶ㘸㐲搹㤸㡣㝡㥤搸㘴昲㠲摥㑥ㄳㄶ㡦㡤㙤㡣ㄵ㜰ㄸ㔴捣㠰ㄷ㌵づ㥦ㅥ㠲㐴ㅡ散㕥㔲搲㑦挶っ㤳㕤㜹㈳㌸愰づ戱㔷搱㝦〹㜹晥戸㐲摤㜸〳㥦㉦慥昰㌸㠸扤晤㥡㐴昶㌳ㄸ敥㤸㜸摤㘷ㄹㅣ㐹㜳㥤㈳㌶㙢扡㤳㤹慣搹愱搱扡㙦攱㐶㉣㔷挰〱㈹㉦㌷戶㜲攸愴㘰晥ㄴ㤲㌰㘴㔳㔳戳ㄲ愳㤹㔸㙡㌲㙥㡡ㄵ散㑣攰㘲っㅦㄶ晤㈵ㄷ挸慤扥㥡㐱㉥戶㔰㐶㜱㡢摣戹摤㜲攸扢㘱摤㠶㥥ㄲ㥢ㄴ㜹昸昵〹昶戸摢〹㘱ㅦ昴挱㤱ㅦ㠹收㤴㡥㍤攵挲㌲愶戶㉡ㄲ攷㌴ㅥ〱ㄴ捦㥥㘴挴戹搸搶㘶㜱扦ㄷ扢㘹ㄷ㘹㑤搲㈲ㅤㄶ晤㠴㜶㕡ㄳ㥦㘱㘰㉦㜰㘸㈳愴晦捣搷㥦扤散挱昶㠱挲散敢㑦晢昵㘷㐶〶㥣搱挲㌵〶慢㡣攲挹㄰㉤㍡㘵扣〳㝤㌲㜷昵㥡搵㤵㜷㑥戹㌰㜹戸て慥㉢㙤㠶ㄵ捦㤲挴愲㕢㡣㐸挵㐳㈵换愲昳㘸慥㙥晡㥤〰晢户攸㉥㘵戹昸攸㤳㤸㠹ㅤ㔰㍣㜲㜲㉣㍡愰愸愷ㄸ昳㈷㠳㐱㥦㐲挶换㙢㌳㥣㑡㠶㜶〰敦ㄵ㘰愸㥣㝣愶㍤㘰㘱收摥㌴㙤㜲㕦㥡㝢ㄳっ㕤〳户㜳㜰㠰〴㝢搸㘸昲敤㐶扣㕥㠲㙣㝦昰昸攳换㠱㝢ㄴ㑦㌰㥣ち㜲㈱戰㉤扤愵㉣扦〳㐰㕤〵㘲愵攵晣㔱搰㉣换昹㕤㘰㌹〸扦㠳扡ㅡ㈹㐵搴㥤捣晢㘳〸㤵ㄹ捦㕤愰敥㕦搴ㅦ㐷㌲㌰攲㤲㉡㌳戱〳敡㕡㈰㑥㑢㕣挶㜳〸っ扡㠷㡣㥦愸捤搰㑢㠶㍥㌲㕣〷〶㌱㥥挳〸ㅤ改ㄸ捦㤵户㠴㙢㔸捤换挰て慢㤹〷㈱㑥つ㕣扢㤰搳㔸挰改㉣攰㌶㌰㔴捡㤲㈷ㄵ㤶㉣㤷㠳攵㘰㘴㜹㍢㔲㡡㉣摦捤扣㜹捥㔱㈶换〱㔰昷㉦换㉦㈲ㄹㄸ㍤㝡㤰㤹搸〱㜵〷㄰愷㈵㉥㔹づ㠱㐱て㤳昱捥摡っ㈳㘴㔸㐹㠶扢挰㈰戲㕣㠵㔰㠷㈳换〳扣攱㕣㐳挴㙢㤰つ㐴㝣㡦慢㕣搷挶㘴㤴攵㥥挱㜲㜹㉣㔲㈹㘲㥥㠵㔸㈲㍥ㄳ㉣〷㈳攲晢㤰㔲㐴扣㤶㜹摦㡦㔰㤹㠸搷㠳扡㝦ㄱ㍦㠰㘴㘰挴㡤㉥㘶㘲〷搴㜷㠰㌸㈲愶㜳挵㥥ㄹ㌶㠲㐱㥦㐵挶〷㙢㌳㙣㈲挳ㄸㄹㅥ〲㠳㠸㜸㌳㐲㐷㍢㈲慥㜹㕤扢㠶㐰捦㐱㈲〸昴晢慥㔲㕣㍡㝢㉥㑢㌹㡦愵晣〸っ摣敤ㄹ攷㈳搴㌰㘵㐶㜲ㅥ晤ㅥ愶戵㉤晣ぢ㠰㜳敥㝤〲㈴㕡昹捥㔳㙥㥢㙥戱戹㥥㐴㌴敤㔳捡挱㤹扤愷戳㜵搴㔳攰愳扤攳搱敦〵㝢㘹挱ㅤ户㌳晢㌱愲戸攸戶昸㍡ㅥ戹攰摢摦㕣㌱搹晣挶戲㠷㘷㍦戹挲挹㤸ㄵ㘳搵㥥〱㡦昴扦㥣挲㐸搹㤵㑢挰㑦挰㈲ㅤㅤ㐱摥㡡愷㐳㔶㐷攳㈴㠶㐵挷〰昶摦搱㍣㐵〲㈳㙥㜶㌱ㄳ㍢愰㜸㡣攴㜴㌴㔰愷愳㑤㌰攸〴ㄹ㕦愸捤戰㤵っㄳ㘴攰愱搳ㄵ昸攸㈴㐲挵㤹㝢㡦㉢ㄹ㡦㙡散㤹㝢ㅢ㤳㙤㘷戲摦㠲㔸㌹ㄴ㕥〶捤ㅡち㈹戰ㅣ捣㔰昸㍤㔲㡡㠴搲捣晢て〸㤵つ㠵㉣愸晢㤷搰㉢㐸〶㐶㡦摥挱㑣散㠰摡ぢ挴㤱㤰㙢戶戹〸っ㍡㐷㐶㥥㍦搵㘰挸㤳㠱捥㘹昵ㅡㄸ㘴㈸㑣㈲㔴昴㈶攱㜶挷っ㌷晥㙢㡣㠹㡢㤱ㅡ㘳攲㑦慥攲ㄶ㤰㘲㜹㍦㜶戱戸㈹ㄶ挷慡㤳㔵㕦㘲㈳戲敥搲㍦㔹改㜶慢㜲㠹捡㔰㑦搰㌹㍡㔶㤸㑡挱㈱㑤㤴㙥㌸ぢ攳愲㡤ㅤ㉥㘸㜰づ㘶㜳つ搸搳㔷㕥㉢㉡愶㕤㠹ㅡ㌴捤慢戸ㄸ㉥挹ㄸ㐳愷㥣昷㝦晤戵晡昲㜳㌱㍤㕢㔰扡㈵捡㌴㝣㡣㑢㐱㥦户㉥ㄹ换㘵昳搹㐴愱㙤っ攷㉤㙤扣㘸㥦㠰㜵㍢攸晤〰㜲慣㔹㈶ㅢ搶㤰攱慢㜶㍢㜹昱搴扦㍤㤳扤㌸㈳戵昱收昹扥〱㑢搳㡤㡤㉣挶㡦㡦㍣敦㠰ㄴ〳㘸愳㌸㉥昴㘵㐰㕡敡〳㜴㜴㔲ぢっ晡㜴㑦ㅣㅥㅡ摥㌴摥搷ㄳ敡改敦敦㡦㤹㍤摤㍤愱慥㐴㔷挴っ㜵昷㈵捣㐸戸㈷ㅡ敢改敡ぢㅡ扢㡢慣戱㔸㔷㈲搴㙦〶挱ㄵづ昵挶㠲晤㠹㔰㈸搱搹ㄷつ㜷㠷愲昱㘰㘷㍣㐰ㄷ㉡戳搷㔷〰搱晦〰㄰愰攷㔴㐸ㅦ㈰改㠳㈴搱㡦㉡㈴㌲〸慢㤷慥挶〳㜵㙦㔲ㄸ㉡慡㘲㉡慥捣㠶挶挶㉡㕦㑣㤵㕢㤴㠷ㄳ㜲ㄵ搹㌰㕡㤰搶㍢〵㌱㔷㍡㜰㙡㈷㐲慤㕣扤挸挴㉣㕣㝦㠸昵扥ㄲ挰ㅦ愰ㄷ㤴㌴攳晦〰㤹㌳㍣㌴㡥㉢戲捥愵㔹㙡㥥昱㘱搰㥢㐱㤷㉤挵㈶扣㠲㘰晣ㄳ㈸戳㐰㜱㥤〳ㄹ㔷㠱㌶ㅢ戴昲搷㉣〳㜴慦㑡㠹攷戳㔸㑥㐴搶摢㠵ㅦ〳㕤㠹㡢㤴愴㙢ㄸ〲挲㠱愲攸㈲攵㘰㔱㘹戴㤲㉡ち愲挷戸ㄶ㤴㘹昵㑥㙤〷ㅢ㜵慦㕣㜷收㈰㡤ㄴ㝥ㅤ㄰攸づ㍤愵愲㍢搷〳戱㜴㈷ㄸ敢て昶㠶㑤㌳㘸㠶ㄳ愱㘰愴㍦ㄲ㡦㠷扡㝡㠲㤱㕥戳㈷㥣攸敤敦㌳㍥㔹㘴㡤㐶㍡扢挳㕤挱㜸㈲ㄶ㌳㐳攱摥㥥㠸搹ㄳ〳㈷摥搴改㡤㐵㈳㕤㕤㠱㜹㜶昶晡〶㈰晡㐶㠰〰㕤慦愲㈸㥦㈲改㈶㤲攸㠸ㄵㄲㄹ㠴㔵㉤〰㐶晤㔱ㄱ㌴㠱㝤㑢㌹攸㥢ㄹ㝦ぢ㠰㍦戰㄰㔰晡攸㔶㈰戵晡攸㌶搰换晢攸戳愰㔴昷㠷昱㌹㤰㉢扡㉥㐰㤷㙤愹㡦㘸㌷改㉦㠰㈴敦㔱㝡改慥慢㔴㌵搷㤹㥡换㔷㐸㥦㝡挰攵挰ㄵ愵㥤㥤㌸㙢㌲㤲挲ぢ户ㅢ攰㌸㈸㤰㜴㌸㙣㌷ㅢ㉣昷捤㝥挷慢㌴攱㠲昷㜲搸㔴捡愰㝣戸搹㙤㤳㌱㝡㘸㥢㔷扦昷ㅣ㜴晣㠱㤵㠲㉥愹ㄸ搴㔴ㄸ扦扥ㄳㄱ戴㘸攸㔶㈵㡦扥㡢搰㝥ㄴㅤ㠰㔵㔴㙦ㅢ㐸〷敥ㄹ㘱晡戹㤸戶敤昷昰㜹〴搹㥥㠲㤳攸〰㑥㝣扦挴攲㑦㈰㐰ㅥ攵㌵㕢散㔰扦散㈰㘰㔱摣㔸换㍣戰ㄱ㠲㈹捥〳㕦〱㜵晡㜹㘰㍤㔸慢攷〱敥戹㐵挱扦ち〴昳挰挹昸攲ㄳ攰ㅥ㕢㄰㙥愸〵㘹户㤱搶㈵㐰㌸㥢ㄸ㔶挴摢〷〳㑢㤱戳っ㜰㑥愳㥡戳慢收攴ㄹ攰㝥㕡攸挷愰㌰㜹㌷㔶摦ぢ㤲㤲扤㌰㐹摦㘴〸〸㤹㔴ㄷ戹㐹㔸改㤲㡥收敡捣㠵㔸つ搷ㄴ㐴㌷愲㐵㄰摦〶〲㐱㠴昰㈵ㄳ攲〳㐰慣〹㌱㥡攸㡢㠴ㄳ挱捥㔰㘷㈴ㄲ㡡昵昴㐶㠳搱㜰ㄴ㙢㘳㑦て㐰搰㡣ㅡ摦㈹戲〶㐳扤愱扥摥㘸愲㌷㠲㥦㌵㠸挴㘲搱㜰㑦愸户户㍦摡摢ㄵ㌷㝢攲昱摥〰昷搵㌲搵㍤〸㐴㍦〴㄰攰㜶㕡㐸て㤳昴㕤㤲戸戹ㄶㄲㄹ㌴㔹搵㌲〰㤹㄰晢搱っ㑥㠸㔲改㐷ㄹ晦ㄸ㠰㍦挰㑤戳搰戸㘸㔹㌲ㄴ㘹㡡㈰㑦㜷㈲㘵捤㌹ㄱ〲搱㡢〹㥥〴㕤挹㙥㤸愱愷ㄸ〲㈲搲ㅣ〰㈶搲㕣㕡㔳㥡敤㌵愵㌹㠸㐴㔲㠹㥦〰㠱㌴㠷昰挵㠶ㄸ捦〲戱愴ㄹち昷㥢摤㕤愶㘹㐶戱㘶㘰戹㠸昶㐲㤲晤㜸ㅢ戹扢ぢ摢㤰㜸搰昸㘹㤱ㄵ㌶㐹愲㍦ㄶ敥敥敡〹㠷㐲㔸㘴晡扢扢捤扥敥㥥㐸㑦慣㌳搸ㄹ敢つ〶㠶敤散昵㜳㐰昴昳〰㠱ㄱ㠷昴㌳㤲㕥㈰㘹愵㐳㉡㜲愹㌵㈰㠹㌴㡦㜷㑢㜳て㤳扣〸攰て㡣〲㑥㉢捤㌳㥣㐸㤱收ㄲ㡡慥㥤攰户愰慢戵〴っ晤捥㐶㐴㥡摣昸㡡㌴㡦愸㈹捤戹㌵愵挹敤慦㔴攲㡦㐰㈰㑤㙥㜵㐵㥡慦〰戱愴㘹昶㜶㐶捤㘰㑦戸㉦〲㤳慦扢扦慦扦搳㡣昴昴㥡晤戱㕥摣㐷〹昷〷㡤扤㐵搶㘰扣㌳ㅡ㠶㔹㠸㤸慥㔰㝦㙦㑦戴㉦㡣㤵扥㍦ㄴづ㐷攲戱㔰㕦㜷攰㉣㍢㝢晤㉡㄰晤ㅡ㐰㘰㤳㐳㝡㥤愴㌷㐸ㅡ㜳㐸㘴㄰㔶㜵づ㌰㤱愶㜶㑢昳㑤挶晦ㄹ挰ㅦ㌸ㄷ㜰㕡㘹㥥攷㐴㡡㌴扢㈹㍡㙥㌶戵㐲㔳搵㝢㄰挹昵搶慦晥晡搶扥㝤㕣て㈸㑥扦慥㐷㈴攷昵ぢ㄰㠷晦㡡搹㜳㑢㑤㉡昷挴㙤昸㘸㙥扢ㄴ昷挴昸慦㐸ㄹ㜱愸㡤攴㐱㜴㌳㍥㌰㑢敤摥㝢ㄳ㤵㜰收㕤捤㜹㔷㘶㤶㍦㠱㕡㍤挵挶ㄱ㉤㡤㙥㐲㔶攸㍤㌱攸㤱㈰挰㍤㉣㥦〰㌷慣㠲㑣搸㐸㙢ㄲ挸摦㘷㡡摤㠶㥣㈹㍡㕤㌱挵㙥㜷攸㘱㐶昶ㄳ捣㘶搳搳愰攳ㅦ攷敤戶㈰㐴㡤戳攴㘶捣ㅦ摣㠲愰㈱㉡㠲㜸戹愶㈰戸㜵ㄵ㐱捣户〴㜱ㄱ挲挰㜰攴づ㘸愹㜱㔷㜷㌰ㄲ㠵㈹ㄹ敢敤敡ぢ〵挳㐱晣ㅣ㑣ㅣ㐳㍦㤴〸㐷㍢㐳攱㔸慦㜱㔴㤱㌵ㅡ㡡㜵挵㈲㘶愲㈷搸搵㡦㕦㡥㠹㐲昱愱挰摤㤱慥㐴㜷搴挴㌸〸攴散散昵〲愴搱ぢ〱〲㜹㠷戴㠸愴愳㐹㉡㌸㈴㌲〸慢扡ㄸ㈴㔱攳ㄷ搱㡣攲ㄴ摢挶昸攳〱晣㠱㕤㘰㤰㠶摣ち㐴摦㐶昰㔹〲㕡㤰㠱㈹〰㠹ㄴ㌵ㅥ㐰晢昴挹㑣扡〲㔸攰ㄲ㈷昲㔴㤰㕡敡扤摣戹㥤㌶晤㜱戳㙢ㄷ搱㡥㠳㤸戲昷慣㔷攲扤改㈹攴攲愹挷㌵ㅡ敢昲㐹㐳摤戲㐳换㡢挶ㅣㄵ㥣ㅦ敦㌳㘸昵摦㤰て㕡攴戲挰㤸攳㜱昸攸㈵愸慡昷ち㐴搶㍣攸愹晣搱㄰昷捦挲搰捣㌸㈲㍤㥡挷晥ち㉦㥤㙣捥づㄶ㝦㥢㘶戶戳敦㙡㜷㕥晦㍤戱㐴㜱捥㔱㥤㘴ㅢ㜲挵㜴㜸㥤ㄶㅢ㙤㐴戴昳㘵攱㈳㑡㈱搷攵㥤㐵㈵㉡㡥捦㜱愸㘷挶㥤ㅣ昳㜰ㄱ㌴搴搵㔷扤扤㈱戶扦晤㉢㌴扣慤挳摣昰㙡晢㘸㥣搷㌸ㄶ搵戸扡㌴㤴㉣挸搵扦㈶挴㉢捤㕤扢搱㐱㌱㉤㕦扣㜲㜱挸晢㈴晡愱昲晣㘲摡㈲捡愵捥〲慤昹戱ㄳ昹愹㝦㐰㉣㐵慦昴㙥㤶搱㘵㤵㌱扣㌸愴㝥㠰㌲㔸づ㈸㤸㑣㐳㘴晥〰㔸ㅣ㤲晡愰ㅤ㘰㘶慤ㅦ㐲挰ぢ愴挲敥摢㑢捤收㌳㈰搰㜳戴晤摤㌶搰㝡㘵㘵㡡捡ㅢ攰㝦㌵晦昳愵挸㉤摦㕦〱摦ㅣ㥥扤㉢搴挷㤰愲搶㠵收㐷㔱挹㥡㙦㝣㍣㘲㐷㔴扥㝢ㅡ戸〶㌹挹㌸㕣㠶㔶戵搴慢敢㄰收㜰㔳摦㐳ち敡戸愸攵改㙣昲つ㈰㕢昲戹ㅥ㤸昱㙥搰愴て扡搴㠳攰愳㌰㉣㘱づ㤰昹挶㈲昳㈷挹㍣㘴㌱て㉦敥㔲昷摢捣愰㐰㤸㈳㘴晥ㄴ㔸㡡挲扣挹づ㠸㌰㙦㐶攰〰㠴改戳㠵ㄹㄸ㘸扤挵㐹昱㕥㜵晣㌵㠳摥㍤㤷㔷ち㔳挴㝦昵㡤〳摤㝣昲敢〶搴ㄷ㤰愲㤶㌰晦ㄵㄵ慤㈹捣㙦搸ㄱ㤵敦戱慡㍢㤱ㄳ晥㜱㔴㠰㔶戱晥晣〴敥㈲〹㡦晡㤲ㄳ敤㔰㈸㠲〰户㉣搲〳㙢ㄱ㐴て㝣ㄵ㘱改㠱慦愲㤸㘲て慣愷㥣敥㐵㔴愹愶㔷㈲戵㜵㤱晦敥改㙡晡㈵㍢愲昲㐵㥦挰㌷㥤㐲㌷㕢㠵㝥摢㈹昴㑥㜷愱攷戰搰〷ㄱ㘵㜵㍢㙤㝣攳㍣搰愴摢挳敡昳攰㉤㜵晢㝢挸㑣ぢ摣㘲晥づ㤹户㔸捣挳㡢挳敡㌶㥢ㄹㄴ㜴晢晢挸晣㌰㔸㡡摤晥㕤㍢㈰摤晥㈸〲〷搰敤慥㌱昴㔸㘵㡡捡㙥㍦晦扦摥晦攵㐵捦㉦ㅢ㜸昸㍦㑥摥昲搱㠷㕥㕤愱㥥㐴㡡㤲㌰捦㉢ち昳㌳戶捣慡㕥ㅡ晡戴ㅤ㔱昹搲㔰攰㈹攴㈴㍤ㄸ㐷慢搰㠳戴收愵〷㍦㠵ㄴ挵ㅥ㑣戰挹捦㈱捡㤲て㑤㝣㘳〲㌴〸㜳㜸㜱㥦扡扥㑣㍥摢挸晣㝣㤱昹愷㘴㑥㔹捣㉢挱晣㜱㥢㤹挲昲敢っ㤹㘹挰ㄷ㠵㐹㐳摥改㤹搶㍤〸ㅣ㥣㌰㕦慣㑣㔱㈹捣㈵㡤ㅦ㑡捥㕥昷晥㤲㌰㘹换搷ㄲ收㐷㙣㤹㔵〹昳㉡㍢愲昲〵愴〰昷〱㈲捣〲㕡〵㘱搲㤸ㄷ㘱㝥ㄸ㈹㡡挲摣挹㈶扦㡡㈸㑢㤸戴昰㡤㕤㡥㝣㝡搵晦㉥㤳捦㈵㘴愶晤㙤㌱搳挶㌷㉥戵㤸㠷ㄷ昷慡て搸捣愰㐰㤸㤷㤱㤹昶㝢㔱㤸戴攳㡢挲㝣ㄳ㠱㠳ㄳ收㥦㉢㔳㔴ちㄳ挵攲㤹㘷摦㌶㜸㙤〵㙥㌲搷ㄶ收㘵戶捣慡㠴昹㝥㍢愲敡㘵㈶摡晤㈸ㅥ㑥㘷㈰捥㠴愴挴愰㈷搵㤹㠷挸ㄲ愰〹㉦㠲晦㐷㈰㄰㍣敤㜰ㄱ晣ㄴ㜲㉦ち晥㐳愰㉡㥡扣愵摥㉥捤㐳㠵改㉡㤸户㈳㉡㕦㈸ち搰㕣㤶㐲㍦〲〴㠵搲收㤵㐲㉦㜲ㄷ㝡㌵愸㡡昶愹搵㠱㌴㠴㡤㙢〰㘴ㅥ敡㔶㘹昰㍡ㅤ攴搷搷㤲㤹㘶慡挵㑣㔳搸戸捥㘲ㅥ㕥摣慤㤲㌶㌳㈸攸敤㑦攲㑢搱捣㉤昶㌶捤㕤㈷戳㔶㕡戳〷搷摢㌴㝤换㔲搴敥敤摦慣戸㝢昵㡢㤷捣扢晢昵ㄵ㡡㘶㙦㐹㤸愵㜹㈸㙥换慣慡户㘳㜶㐴搵换㐹戴㤶昷昷㜲㤲敢愷㤶㕡㈱〱㙦㠲ㅥ晡愶㠴㐵愶㠱㉢昷ㅦ㔳挳㍣ㅤ㙡挶㡢〴㌹晣搸搱㕡扣㌲㠳搷〷昰晢㠲戶㙦ㅥ慦搲昰づ㠸㜳㔵㕤㑢㠸㠹㡤挴㠶ㅣ敥慥㌷㈶㐶昳戸攱ㄷ昷攱挷㕡ち昸㘹㠶捣攱攰戲挵㔱㔷〳〴㠴挷㝡扦愰收㈹搳㑡㐴搷戴㈶攵ㄲ㜱㐷㐹ㅥ捥㉤慦㍡扥㝦㜰㘸づ㕢攳㌳愸㡥敢㠸㌴敥㝡愹愶㐱㐵搰换搶㉥㜹户㘷㥦㔴摢㔳〷㤷㍥㤲ㄸ户〰搴攳㤰㐵㠶㌶㠰㕦摦ち㡡昵ㄲ〳㑦ㅤ㍤㕥㙥㈳㉡摢挷愳扦㔵愰㝢㉡㝥㡣愸愹㠹㡤㜶㥥〶㥡挲㌳㔹攱㥣㐵ㅡ搳攳ㄱ晥㝣慡㉦㍤㥥㌲㌳㕢ぢㄳ挵㥦㑣㠵ぢㅦ慦㕦敢捦㈲ㄳㄶ挵㡦愲扤捣㕣昵攷〰㐸攱㐷搱摥愴挲ㅡ户〳㌸㤷攳换㐵㜰㝥㑤ㄱ㝣〱晣㥡㈲㈸㌵晦づ㤲搸㜲〱ㅥ㐵㜳㤵㈲㜰ㅥ㌵㠰㠰㔴攱㉥㈰㡣攰㐷㡤㌸搴㉦戹愸㠱㌳㄰㤰㈹改㙥㈰晡换〴昷〰昸搵㕡㐰愹昱㔷㠰戴㘲㑢㈴㍦搸搸戶㤳扢愴㝣㥤㕡敦搴昶挷㕦搹㕤敡戰慦㌲㍤㘷㐸㑥敡慣戲㕦㝦㡤㈴㔷㙤㘹摡戱戶㘳㌷㝣㜳攰慤敥昷づ㉡摡㘴㔲搰㌷㠰㑣慢㈰㙢㥣昲㍣㙥〵戹ㄷ㐹㉡愴昳㉤㤲㕣攵搱慡㉢㤳づ㉤㌷㤱捥晤㐰昰㙦㐹㠷㈶㥡㔰扦敤愶挶ㄱ㤰扡㍤〰㘴摡扡つ搴慣摢㠳㐸㈲㙦㘷㤷㝡敥㘱㤲㕣㜵愳㤱㔴㔶户㙤㈰㐸㉤扥〷〴晦㔶摤㘸昱〸昵晢㙥㉡㉤〶愹摢㈳㐰愶慤㕢戸㘶摤ㅥ㐳㤲ち戹晤ㅢ㐹慥扡搱收㈸慢ㅢ敤ち愹挵て㠰攰摦慡ㅢつ〸愱晥搰㐵つ㝣㄰〱搱慡ㅦ〱搱㑦㄰㍣〹攰㔷晦〸挸㑡㙢㙡㔵㥤㕡敡搴慥㑣㡢㥥㈶㐳戹ㄶ晤㠴㈴㔷敤戸㌰㤷㘹搱㐷㐰㄰㘹晣ㄴ挸戴搲㌸挹㈹慦㑣㡢㥥㘷收攵㘳散〵㤲㕣攵㕤㡤㜰㤹㌴慥〵㐱摡晤ぢ㈰昸户愴挱〵㔶愸晦敥愲㝡㙦㐶攰㠰愷㔹㕡㈷㠷㜸㘴戴〷攵㈸㑥㡥㘲〴扤㘸㈳っ戴㜲㡡㈲攲㤳つ〷愷愶㘲㐸㜱㡡㘱ㄵ昵㉦㐹扥挳㡥搳扦戲ㄱ㐹㝦㤷ㅤ戰搲㜳〶㈹愵扦ㅢ㈱戱㘲㡥㠶㜴㘹㍡㥤捥㠲敡っ挵搹㐴㈲ㄶ搹ㄱ扣㈴改挳晢ㄱ昷㌸ㄱぢ敤〸㝡ぢ昴慦㤹㉢㘷㄰愹捣㙦ㄸ攲攴挱㠲昴㙦㠱㘸㈲昸㈸㡥㝡攱昹ㅤ愳㌹攰㠵攷㘵ㅢ㤱ち㜳㜰ㄷ慢搸捡㐱㕤っ㈹㡥㑣㐹晦㝢㤲㌹㈸㈵晤ㅦ㙣㐴搲㜳〰ㄶ㔳戴㜲攰ㄵ㐳㡡愳㐷搲晦㤱㘴づㅣ㐹晦㡡㡤㐸㝡づ㤲㘲㡡㔶づ㡥㘲㐸㜱㔰㠸㕣〲ㄵ〲㝢挲㠹㘸慤㄰ㄸ〷㡦愴㤸攵ㄶ搸敢捣㤵㠳㐵㉡昳〶㐳ㅣ㈷㔲㤹晦〰㔲ㄴㄸㄵ㕣㜸晥挴㘸敡戶昰晣愷㡤㌰搰㑡㍤㉥㔶戱㤵晡㕢っ愹㍤㑥ち挷㠴㐶〲㑦㠰ち㈶㠳晣捦㐰㘰捤㡡晡㈰㐲晦ㄷ挲捥ㄳ愰ㅡ〹搷㝦ぢ㔷㉢㝢㤹㍦愱㔵户㑢挵㉥㡣㕦㜸攱㥢慤つ㙤ぢㅢ捥ㅢ㘸扥㘱捦晦晤攵㌵㑦㙦㔹晥敢扦摣㜴搳搳㉦㕤昳昸㕦敥㡢㉥㝦攴搶㕢扦㝢挶㍦㍦晥换㌹㠹㥢敢扥晥收摡㥢㉦つ㙥扦昴愲挴搹愷慥扥昴晣㙤㘷〵㌷捥㙥慦慦㙦㙣㍣㘹敥愳㐷㥤ㅣ搸㝤搱扦慡〷㥦㍢㌲愳㐴㜱㔰㠰晥ぢ㑡挲扦昸捣〳㔴愰〰愹㙦〱搱㝦㈵愰㠳㑢㜳㥦愰ㄵ㐱ㅤ〱㕥㌸挴扢㡥〴晣搱敤㤶㐶㈵㉡挶㜴㘵㑤愷慡㐹愳ㅡ挹㔵慦㐴㤱慡戸愸㔰挲挵摦㑦〷㤷愸㑢ㄵㄷ搵㐶戸㥡㠴慢㤵扤晡㜷ㄵ㤰㈸ち慢搱㡣〲㔱㤸㠷攷昵〱㉡㡣〸愸〵㔴㍤㡢愰㤵㈰㐰㌰㥢㘰づ挱㕣㠲㜹〴㐷〰㐰㐰愲㔲捣慤慣搷愹㕡搲愸㈳挹㔵慦愸㈲愲挰扦挱捦㐸㜰㡥ㄸ㐲ㄲㅦ敥㉢㌹愹ㄴ搵㐳㌸㝥㕤挱挱㙥㤴慣ㄶ戲搴㐵捣慦㑥戱ㄷ㠵晢愵㜲㙥挵㥥㤵㠸㕦搹ㄱ搲愶㘳㤱㑡戱扦㈵敡㐵㍢ち㐴㉣㐹搴〰㈱敦戱挹㜲晤て扦㤸㘷㤳晦摤㈶捦ㄷ㙥㙡㠹㜰晦挲㈶ㅦ㈹㘴敡㡤㤰㝦㙥㤳㑦ㄶ㌲㌵㐹挸㉦搸攴㔳㠴㑣摤ㄲ昲捦㙣㌲㡦〵晣㡡捡㈴攴攷㙤昲㄰挸㄰㤲愲晥㐸挴㜳ㄵㄱ㔴ㄹ㠹昸㘹㜹㐴㠰㕤㉢㐲㍢〵㠸㍥ㄵ〰㐲㘳捦ち昷㌳攵摣㡡扤㉤ㄱ㑦摢ㄱ㈲戴愵愰㉡敡㠰㐴㍤㘵㐷㈱㡣慡㔲㉢㠴晣愴㑤戶㠴㐶㍤ㄱ昲ㄳ㌶搹ㄲㅡ㌵㐷挸㍦戲挹㤶搰愸㑢㐲晥愱㑤戶㠴㐶敤ㄲ昲て㙣戲㈵㌴敡㥢㤰ㅦ户挹㤶搰愸㘰㐲晥㌷㥢㙣ぢ捤㑢㜵㤹攱愷ㄵ㑡㥢ㅢㅦ㕡愴搳㝣㘵㡡摢ㅣ㝦㝡㘵㘶搲晡㈹㑥㈳捤昷摢㌳戳敤搷㕤摡㡢㍣㜳㡡㤴㈲敦慣㈲㐹搲㉣戰摥㑥收敦㡡㤲愵扤㤴改ㄱ㤵㌱挲㡦扥㘲㜷㜹㑥㤸晥慣挶愹㈰㑦㑦㝣敡㠰ㄹ㝤搶㉦㠳昵㐲ㅡ㝣㤴㉥㘲ㄲ㔴ㅣ㔰㌲戲晡㠰㤰㐹改㈲㈶㐱挵挱㈳慢㐷ㄸ㠸愲㐲〹㝦㍦㘳㠵扦㠸㐹㔰㔱摢㠴㘳ㄹ㄰㌲㈹㕤挴㈴愸愸㔹㤲攳㘹㐰扣慣搰〱㌴㠷换搱㈱ㅡ㐶愷愳〴挵㔶戱㈸扤㥣㈱㘹ぢ㜲㉣捥敢㍣挰㔰㙣㠹昰慣㈰て㙢㉤愱〱㠶㔸㔷搶愱㤸㐲㙣ㄱ挹㥡搴㈱㐴㍢㡦㤲㈲㐸ㅤ戶ㄳ㌱愱㤲㑣㐹㉤攳㤵捣㐹㕤改攲つ㌸㉣〱收㈰㈳㜹ㄵ㄰㥣ㄴ㤳㑢挲慢㈵散㈵㜹〶㌵户㕥㌷愴敥昰攸戸㈵㙤扤㘷㉥攷㔸昸㔹㕣愱㤷㜴搳㔶昸㌹㈴户㤷戱晡㉤ㄲ㘱慢㠵ㄶ㌵扦挹㡥攲㔰㌹㔸戵㙦㐴㑢昸挱挶昸搸㤹㌵摦搲晡〳攳戲㔵㝥つ㈴攳挷㥣て晤㉢愱ㄲ㔶㤴ㅤ〵攷㡡㜰愱挲搳捡㌴散㌶晢㘴㙢敦㡡愶晦〷〰㍣㍢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</si>
</sst>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E+00"/>
    <numFmt numFmtId="165" formatCode="0.000%"/>
    <numFmt numFmtId="166" formatCode="0.000"/>
  </numFmts>
  <fonts count="15">
    <font>
      <sz val="11"/>
      <color theme="1"/>
      <name val="Calibri"/>
      <family val="2"/>
      <scheme val="minor"/>
    </font>
    <font>
      <sz val="11"/>
      <color theme="1"/>
      <name val="Calibri"/>
      <family val="2"/>
      <charset val="134"/>
      <scheme val="minor"/>
    </font>
    <font>
      <sz val="11"/>
      <color theme="1"/>
      <name val="Calibri"/>
      <family val="2"/>
      <charset val="134"/>
      <scheme val="minor"/>
    </font>
    <font>
      <b/>
      <sz val="11"/>
      <color theme="0"/>
      <name val="Calibri"/>
      <family val="2"/>
      <scheme val="minor"/>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theme="1"/>
      <name val="Calibri"/>
      <family val="2"/>
      <scheme val="minor"/>
    </font>
    <font>
      <sz val="11"/>
      <color theme="1"/>
      <name val="Times New Roman"/>
      <family val="1"/>
    </font>
    <font>
      <sz val="11"/>
      <color theme="0"/>
      <name val="Calibri"/>
      <family val="2"/>
      <scheme val="minor"/>
    </font>
    <font>
      <sz val="11"/>
      <color rgb="FF3F3F76"/>
      <name val="Calibri"/>
      <family val="2"/>
      <charset val="134"/>
      <scheme val="minor"/>
    </font>
    <font>
      <b/>
      <sz val="14"/>
      <color rgb="FF000000"/>
      <name val="Calibri"/>
      <family val="2"/>
    </font>
    <font>
      <sz val="11"/>
      <color theme="0"/>
      <name val="Calibri"/>
      <family val="2"/>
      <charset val="134"/>
      <scheme val="minor"/>
    </font>
    <font>
      <sz val="11"/>
      <color theme="1"/>
      <name val="Calibri"/>
      <family val="2"/>
    </font>
  </fonts>
  <fills count="13">
    <fill>
      <patternFill patternType="none"/>
    </fill>
    <fill>
      <patternFill patternType="gray125"/>
    </fill>
    <fill>
      <patternFill patternType="solid">
        <fgColor rgb="FFA5A5A5"/>
      </patternFill>
    </fill>
    <fill>
      <patternFill patternType="solid">
        <fgColor rgb="FF00FF00"/>
        <bgColor indexed="64"/>
      </patternFill>
    </fill>
    <fill>
      <patternFill patternType="solid">
        <fgColor rgb="FF00FFFF"/>
        <bgColor indexed="64"/>
      </patternFill>
    </fill>
    <fill>
      <patternFill patternType="solid">
        <fgColor theme="4"/>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theme="7" tint="0.59999389629810485"/>
        <bgColor indexed="65"/>
      </patternFill>
    </fill>
    <fill>
      <patternFill patternType="solid">
        <fgColor theme="9" tint="0.79998168889431442"/>
        <bgColor indexed="65"/>
      </patternFill>
    </fill>
    <fill>
      <patternFill patternType="solid">
        <fgColor theme="5"/>
      </patternFill>
    </fill>
  </fills>
  <borders count="22">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
    <xf numFmtId="0" fontId="0" fillId="0" borderId="0"/>
    <xf numFmtId="0" fontId="3" fillId="2" borderId="1" applyNumberFormat="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1" fillId="9" borderId="11" applyNumberFormat="0" applyAlignment="0" applyProtection="0"/>
    <xf numFmtId="0" fontId="2" fillId="10" borderId="0" applyNumberFormat="0" applyBorder="0" applyAlignment="0" applyProtection="0"/>
    <xf numFmtId="0" fontId="2" fillId="11" borderId="0" applyNumberFormat="0" applyBorder="0" applyAlignment="0" applyProtection="0"/>
    <xf numFmtId="0" fontId="13" fillId="12" borderId="0" applyNumberFormat="0" applyBorder="0" applyAlignment="0" applyProtection="0"/>
  </cellStyleXfs>
  <cellXfs count="120">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164" fontId="0" fillId="0" borderId="0" xfId="0" applyNumberFormat="1" applyAlignment="1">
      <alignment horizontal="center"/>
    </xf>
    <xf numFmtId="164" fontId="0" fillId="0" borderId="0" xfId="0" applyNumberFormat="1"/>
    <xf numFmtId="164" fontId="7" fillId="0" borderId="0" xfId="0" applyNumberFormat="1" applyFont="1" applyAlignment="1">
      <alignment horizontal="center" vertical="center"/>
    </xf>
    <xf numFmtId="0" fontId="7" fillId="0" borderId="0" xfId="0" applyFont="1" applyAlignment="1">
      <alignment horizontal="center"/>
    </xf>
    <xf numFmtId="0" fontId="4" fillId="0" borderId="0" xfId="0" applyFont="1"/>
    <xf numFmtId="0" fontId="0" fillId="0" borderId="0" xfId="0" quotePrefix="1"/>
    <xf numFmtId="0" fontId="0" fillId="3" borderId="0" xfId="0" applyFill="1"/>
    <xf numFmtId="9" fontId="0" fillId="3" borderId="0" xfId="0" applyNumberFormat="1" applyFill="1"/>
    <xf numFmtId="10" fontId="0" fillId="3" borderId="0" xfId="0" applyNumberFormat="1" applyFill="1"/>
    <xf numFmtId="0" fontId="0" fillId="4" borderId="0" xfId="0" applyFill="1"/>
    <xf numFmtId="0" fontId="5" fillId="0" borderId="0" xfId="0" applyFont="1"/>
    <xf numFmtId="10" fontId="0" fillId="0" borderId="0" xfId="0" applyNumberFormat="1"/>
    <xf numFmtId="0" fontId="8" fillId="0" borderId="0" xfId="0" applyFont="1"/>
    <xf numFmtId="165" fontId="0" fillId="0" borderId="0" xfId="0" applyNumberFormat="1"/>
    <xf numFmtId="0" fontId="3" fillId="2" borderId="1" xfId="1"/>
    <xf numFmtId="0" fontId="4" fillId="0" borderId="0" xfId="0" applyFont="1" applyAlignment="1">
      <alignment horizontal="center"/>
    </xf>
    <xf numFmtId="0" fontId="0" fillId="0" borderId="0" xfId="0" applyAlignment="1">
      <alignment horizontal="left" vertical="center"/>
    </xf>
    <xf numFmtId="0" fontId="0" fillId="0" borderId="0" xfId="0"/>
    <xf numFmtId="0" fontId="0" fillId="0" borderId="0" xfId="0" applyAlignment="1">
      <alignment horizontal="center" vertical="center"/>
    </xf>
    <xf numFmtId="0" fontId="0" fillId="0" borderId="0" xfId="0" applyAlignment="1">
      <alignment horizontal="center"/>
    </xf>
    <xf numFmtId="164" fontId="0" fillId="0" borderId="0" xfId="0" applyNumberFormat="1" applyAlignment="1">
      <alignment horizontal="center" vertical="center"/>
    </xf>
    <xf numFmtId="164" fontId="0" fillId="0" borderId="0" xfId="0" applyNumberFormat="1"/>
    <xf numFmtId="1" fontId="0" fillId="0" borderId="0" xfId="0" applyNumberFormat="1" applyAlignment="1">
      <alignment horizontal="center" vertical="center"/>
    </xf>
    <xf numFmtId="0" fontId="4" fillId="0" borderId="0" xfId="0" applyFont="1" applyAlignment="1">
      <alignment horizontal="center" vertical="center"/>
    </xf>
    <xf numFmtId="0" fontId="10" fillId="5" borderId="0" xfId="2" applyAlignment="1">
      <alignment vertical="center"/>
    </xf>
    <xf numFmtId="164" fontId="10" fillId="5" borderId="0" xfId="2" applyNumberFormat="1" applyAlignment="1">
      <alignment vertical="center"/>
    </xf>
    <xf numFmtId="164" fontId="10" fillId="5" borderId="0" xfId="2" applyNumberFormat="1" applyAlignment="1">
      <alignment horizontal="center" vertical="center"/>
    </xf>
    <xf numFmtId="0" fontId="10" fillId="5" borderId="0" xfId="2" applyAlignment="1">
      <alignment horizontal="center" vertical="center"/>
    </xf>
    <xf numFmtId="0" fontId="10" fillId="7" borderId="0" xfId="4" applyAlignment="1">
      <alignment vertical="center"/>
    </xf>
    <xf numFmtId="0" fontId="10" fillId="7" borderId="0" xfId="4" applyAlignment="1">
      <alignment horizontal="center" vertical="center"/>
    </xf>
    <xf numFmtId="0" fontId="10" fillId="8" borderId="0" xfId="5" applyAlignment="1">
      <alignment horizontal="center" vertical="center"/>
    </xf>
    <xf numFmtId="164" fontId="0" fillId="0" borderId="0" xfId="0" applyNumberFormat="1" applyAlignment="1">
      <alignment horizontal="center" vertical="center"/>
    </xf>
    <xf numFmtId="164" fontId="10" fillId="7" borderId="0" xfId="4" applyNumberFormat="1" applyAlignment="1">
      <alignment horizontal="center" vertical="center"/>
    </xf>
    <xf numFmtId="164" fontId="10" fillId="8" borderId="0" xfId="5" applyNumberFormat="1" applyAlignment="1">
      <alignment horizontal="center" vertical="center"/>
    </xf>
    <xf numFmtId="1" fontId="10" fillId="7" borderId="0" xfId="4" applyNumberFormat="1" applyAlignment="1">
      <alignment horizontal="center" vertical="center"/>
    </xf>
    <xf numFmtId="1" fontId="10" fillId="8" borderId="0" xfId="5" applyNumberFormat="1" applyAlignment="1">
      <alignment horizontal="center" vertical="center"/>
    </xf>
    <xf numFmtId="1" fontId="0" fillId="0" borderId="0" xfId="0" applyNumberFormat="1"/>
    <xf numFmtId="166" fontId="0" fillId="0" borderId="0" xfId="0" applyNumberFormat="1" applyAlignment="1">
      <alignment horizontal="center"/>
    </xf>
    <xf numFmtId="166" fontId="0" fillId="0" borderId="0" xfId="0" applyNumberFormat="1" applyAlignment="1">
      <alignment horizontal="center" vertical="center"/>
    </xf>
    <xf numFmtId="0" fontId="5" fillId="0" borderId="0" xfId="0" applyFont="1" applyAlignment="1">
      <alignment horizontal="center" vertical="center"/>
    </xf>
    <xf numFmtId="164" fontId="0" fillId="0" borderId="3" xfId="0" applyNumberFormat="1" applyBorder="1" applyAlignment="1">
      <alignment horizontal="left" vertical="center"/>
    </xf>
    <xf numFmtId="164" fontId="5" fillId="0" borderId="6" xfId="0" applyNumberFormat="1" applyFont="1" applyBorder="1" applyAlignment="1">
      <alignment horizontal="left" vertical="center"/>
    </xf>
    <xf numFmtId="164" fontId="10" fillId="7" borderId="9" xfId="4" applyNumberFormat="1" applyBorder="1" applyAlignment="1">
      <alignment horizontal="left" vertical="center"/>
    </xf>
    <xf numFmtId="164" fontId="5" fillId="0" borderId="9" xfId="0" applyNumberFormat="1" applyFont="1" applyBorder="1" applyAlignment="1">
      <alignment horizontal="left" vertical="center"/>
    </xf>
    <xf numFmtId="164" fontId="10" fillId="7" borderId="6" xfId="4" applyNumberFormat="1" applyBorder="1" applyAlignment="1">
      <alignment horizontal="left" vertical="center"/>
    </xf>
    <xf numFmtId="164" fontId="6" fillId="0" borderId="3" xfId="0" applyNumberFormat="1" applyFont="1" applyBorder="1" applyAlignment="1">
      <alignment horizontal="left" vertical="center"/>
    </xf>
    <xf numFmtId="164" fontId="0" fillId="0" borderId="4" xfId="0" applyNumberFormat="1" applyBorder="1" applyAlignment="1">
      <alignment horizontal="right" vertical="center"/>
    </xf>
    <xf numFmtId="3" fontId="0" fillId="0" borderId="4" xfId="0" applyNumberFormat="1" applyBorder="1" applyAlignment="1">
      <alignment horizontal="right" vertical="center"/>
    </xf>
    <xf numFmtId="0" fontId="0" fillId="0" borderId="5" xfId="0" applyBorder="1" applyAlignment="1">
      <alignment horizontal="right"/>
    </xf>
    <xf numFmtId="164" fontId="0" fillId="0" borderId="7" xfId="0" applyNumberFormat="1" applyBorder="1" applyAlignment="1">
      <alignment horizontal="right" vertical="center"/>
    </xf>
    <xf numFmtId="3" fontId="0" fillId="0" borderId="7" xfId="0" applyNumberFormat="1" applyBorder="1" applyAlignment="1">
      <alignment horizontal="right" vertical="center"/>
    </xf>
    <xf numFmtId="166" fontId="0" fillId="0" borderId="8" xfId="0" applyNumberFormat="1" applyBorder="1" applyAlignment="1">
      <alignment horizontal="right"/>
    </xf>
    <xf numFmtId="166" fontId="0" fillId="0" borderId="5" xfId="0" applyNumberFormat="1" applyBorder="1" applyAlignment="1">
      <alignment horizontal="right"/>
    </xf>
    <xf numFmtId="164" fontId="10" fillId="7" borderId="0" xfId="4" applyNumberFormat="1" applyBorder="1" applyAlignment="1">
      <alignment horizontal="right"/>
    </xf>
    <xf numFmtId="3" fontId="10" fillId="7" borderId="0" xfId="4" applyNumberFormat="1" applyBorder="1" applyAlignment="1">
      <alignment horizontal="right" vertical="center"/>
    </xf>
    <xf numFmtId="164" fontId="10" fillId="7" borderId="0" xfId="4" applyNumberFormat="1" applyBorder="1" applyAlignment="1">
      <alignment horizontal="right" vertical="center"/>
    </xf>
    <xf numFmtId="166" fontId="10" fillId="7" borderId="10" xfId="4" applyNumberFormat="1" applyBorder="1" applyAlignment="1">
      <alignment horizontal="right"/>
    </xf>
    <xf numFmtId="164" fontId="0" fillId="0" borderId="7" xfId="0" applyNumberFormat="1" applyBorder="1" applyAlignment="1">
      <alignment horizontal="right"/>
    </xf>
    <xf numFmtId="164" fontId="0" fillId="0" borderId="4" xfId="0" applyNumberFormat="1" applyBorder="1" applyAlignment="1">
      <alignment horizontal="right"/>
    </xf>
    <xf numFmtId="164" fontId="0" fillId="0" borderId="0" xfId="0" applyNumberFormat="1" applyBorder="1" applyAlignment="1">
      <alignment horizontal="right"/>
    </xf>
    <xf numFmtId="3" fontId="0" fillId="0" borderId="0" xfId="0" applyNumberFormat="1" applyBorder="1" applyAlignment="1">
      <alignment horizontal="right" vertical="center"/>
    </xf>
    <xf numFmtId="164" fontId="0" fillId="0" borderId="0" xfId="0" applyNumberFormat="1" applyBorder="1" applyAlignment="1">
      <alignment horizontal="right" vertical="center"/>
    </xf>
    <xf numFmtId="166" fontId="0" fillId="0" borderId="10" xfId="0" applyNumberFormat="1" applyBorder="1" applyAlignment="1">
      <alignment horizontal="right"/>
    </xf>
    <xf numFmtId="164" fontId="10" fillId="7" borderId="7" xfId="4" applyNumberFormat="1" applyBorder="1" applyAlignment="1">
      <alignment horizontal="right"/>
    </xf>
    <xf numFmtId="3" fontId="10" fillId="7" borderId="7" xfId="4" applyNumberFormat="1" applyBorder="1" applyAlignment="1">
      <alignment horizontal="right" vertical="center"/>
    </xf>
    <xf numFmtId="164" fontId="10" fillId="7" borderId="7" xfId="4" applyNumberFormat="1" applyBorder="1" applyAlignment="1">
      <alignment horizontal="right" vertical="center"/>
    </xf>
    <xf numFmtId="166" fontId="10" fillId="7" borderId="8" xfId="4" applyNumberFormat="1" applyBorder="1" applyAlignment="1">
      <alignment horizontal="right"/>
    </xf>
    <xf numFmtId="0" fontId="0" fillId="0" borderId="0" xfId="0" applyAlignment="1">
      <alignment horizontal="right"/>
    </xf>
    <xf numFmtId="0" fontId="0" fillId="0" borderId="0" xfId="0" applyAlignment="1">
      <alignment horizontal="left"/>
    </xf>
    <xf numFmtId="164" fontId="4" fillId="0" borderId="0" xfId="0" applyNumberFormat="1" applyFont="1" applyAlignment="1">
      <alignment horizontal="center" vertical="center"/>
    </xf>
    <xf numFmtId="166" fontId="4" fillId="0" borderId="0" xfId="0" applyNumberFormat="1" applyFont="1" applyAlignment="1">
      <alignment horizontal="center" vertical="center"/>
    </xf>
    <xf numFmtId="164" fontId="0" fillId="0" borderId="0" xfId="0" applyNumberFormat="1" applyAlignment="1">
      <alignment horizontal="left" vertical="center"/>
    </xf>
    <xf numFmtId="166" fontId="0" fillId="0" borderId="0" xfId="0" applyNumberFormat="1" applyAlignment="1">
      <alignment horizontal="left" vertical="center"/>
    </xf>
    <xf numFmtId="0" fontId="5" fillId="0" borderId="0" xfId="0" applyFont="1" applyAlignment="1">
      <alignment horizontal="left" vertical="center"/>
    </xf>
    <xf numFmtId="0" fontId="10" fillId="5" borderId="0" xfId="2"/>
    <xf numFmtId="0" fontId="10" fillId="7" borderId="0" xfId="4"/>
    <xf numFmtId="0" fontId="10" fillId="8" borderId="0" xfId="5"/>
    <xf numFmtId="0" fontId="10" fillId="6" borderId="0" xfId="3"/>
    <xf numFmtId="1" fontId="0" fillId="0" borderId="0" xfId="0" applyNumberFormat="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2" fillId="11" borderId="15" xfId="8" applyBorder="1" applyAlignment="1">
      <alignment horizontal="center" vertical="center"/>
    </xf>
    <xf numFmtId="9" fontId="11" fillId="9" borderId="16" xfId="6" applyNumberFormat="1" applyBorder="1" applyAlignment="1">
      <alignment horizontal="center" vertical="center"/>
    </xf>
    <xf numFmtId="0" fontId="2" fillId="11" borderId="17" xfId="8" applyBorder="1" applyAlignment="1">
      <alignment horizontal="center" vertical="center"/>
    </xf>
    <xf numFmtId="0" fontId="2" fillId="11" borderId="18" xfId="8" applyBorder="1" applyAlignment="1">
      <alignment horizontal="center" vertical="center"/>
    </xf>
    <xf numFmtId="9" fontId="11" fillId="9" borderId="2" xfId="6" applyNumberFormat="1" applyBorder="1" applyAlignment="1">
      <alignment horizontal="center" vertical="center"/>
    </xf>
    <xf numFmtId="0" fontId="2" fillId="11" borderId="19" xfId="8" applyBorder="1" applyAlignment="1">
      <alignment horizontal="center" vertical="center"/>
    </xf>
    <xf numFmtId="0" fontId="2" fillId="10" borderId="18" xfId="7" applyBorder="1" applyAlignment="1">
      <alignment horizontal="center" vertical="center"/>
    </xf>
    <xf numFmtId="0" fontId="2" fillId="10" borderId="19" xfId="7" applyBorder="1" applyAlignment="1">
      <alignment horizontal="center" vertical="center"/>
    </xf>
    <xf numFmtId="0" fontId="1" fillId="10" borderId="18" xfId="7" applyFont="1" applyBorder="1" applyAlignment="1">
      <alignment horizontal="center" vertical="center"/>
    </xf>
    <xf numFmtId="0" fontId="13" fillId="12" borderId="0" xfId="9"/>
    <xf numFmtId="166" fontId="10" fillId="8" borderId="2" xfId="5" applyNumberFormat="1" applyBorder="1"/>
    <xf numFmtId="9" fontId="10" fillId="8" borderId="2" xfId="5" applyNumberFormat="1" applyBorder="1"/>
    <xf numFmtId="0" fontId="10" fillId="6" borderId="2" xfId="3" applyBorder="1"/>
    <xf numFmtId="166" fontId="10" fillId="6" borderId="2" xfId="3" applyNumberFormat="1" applyBorder="1"/>
    <xf numFmtId="9" fontId="10" fillId="6" borderId="2" xfId="3" applyNumberFormat="1" applyBorder="1"/>
    <xf numFmtId="166" fontId="13" fillId="12" borderId="2" xfId="9" applyNumberFormat="1" applyBorder="1"/>
    <xf numFmtId="9" fontId="13" fillId="12" borderId="2" xfId="9" applyNumberFormat="1" applyBorder="1"/>
    <xf numFmtId="0" fontId="10" fillId="7" borderId="20" xfId="4" applyBorder="1"/>
    <xf numFmtId="0" fontId="10" fillId="7" borderId="21" xfId="4" applyBorder="1"/>
    <xf numFmtId="0" fontId="10" fillId="7" borderId="0" xfId="4" applyAlignment="1">
      <alignment horizontal="center" vertical="center"/>
    </xf>
    <xf numFmtId="164" fontId="10" fillId="7" borderId="0" xfId="4" applyNumberFormat="1" applyAlignment="1">
      <alignment horizontal="center" vertical="center"/>
    </xf>
    <xf numFmtId="1" fontId="0" fillId="0" borderId="0" xfId="0" applyNumberFormat="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0" fontId="7" fillId="0" borderId="0" xfId="0" applyFont="1" applyAlignment="1">
      <alignment horizontal="center" vertical="center"/>
    </xf>
    <xf numFmtId="164" fontId="7" fillId="0" borderId="0" xfId="0" applyNumberFormat="1" applyFont="1" applyAlignment="1">
      <alignment horizontal="center" vertical="center"/>
    </xf>
    <xf numFmtId="0" fontId="7" fillId="0" borderId="0" xfId="0" applyFont="1" applyAlignment="1">
      <alignment horizontal="center"/>
    </xf>
    <xf numFmtId="0" fontId="4" fillId="0" borderId="0" xfId="0" applyFont="1" applyAlignment="1">
      <alignment horizontal="center"/>
    </xf>
    <xf numFmtId="9" fontId="0" fillId="0" borderId="0" xfId="0" applyNumberFormat="1" applyAlignment="1">
      <alignment horizontal="center"/>
    </xf>
    <xf numFmtId="0" fontId="0" fillId="0" borderId="0" xfId="0" applyAlignment="1">
      <alignment horizontal="center"/>
    </xf>
  </cellXfs>
  <cellStyles count="10">
    <cellStyle name="20% - Accent6" xfId="8" builtinId="50"/>
    <cellStyle name="40% - Accent4" xfId="7" builtinId="43"/>
    <cellStyle name="Accent1" xfId="2" builtinId="29"/>
    <cellStyle name="Accent2" xfId="9" builtinId="33"/>
    <cellStyle name="Accent4" xfId="3" builtinId="41"/>
    <cellStyle name="Accent5" xfId="4" builtinId="45"/>
    <cellStyle name="Accent6" xfId="5" builtinId="49"/>
    <cellStyle name="Check Cell" xfId="1" builtinId="23"/>
    <cellStyle name="Input" xfId="6"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2A060249-A5EC-4EA7-B5FD-4D8EBD45F28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7B-487D-B16F-ECBE040EDC01}"/>
                </c:ext>
              </c:extLst>
            </c:dLbl>
            <c:dLbl>
              <c:idx val="1"/>
              <c:tx>
                <c:rich>
                  <a:bodyPr/>
                  <a:lstStyle/>
                  <a:p>
                    <a:fld id="{3F760BB1-093B-4041-9D2E-30431BCE1B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97B-487D-B16F-ECBE040EDC01}"/>
                </c:ext>
              </c:extLst>
            </c:dLbl>
            <c:dLbl>
              <c:idx val="2"/>
              <c:tx>
                <c:rich>
                  <a:bodyPr/>
                  <a:lstStyle/>
                  <a:p>
                    <a:fld id="{BDB6D9BA-5AD5-4C90-8539-B47A6AC1F54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97B-487D-B16F-ECBE040EDC01}"/>
                </c:ext>
              </c:extLst>
            </c:dLbl>
            <c:dLbl>
              <c:idx val="3"/>
              <c:tx>
                <c:rich>
                  <a:bodyPr/>
                  <a:lstStyle/>
                  <a:p>
                    <a:fld id="{6C5594BF-3652-43C7-BD2D-F34CBC9B483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97B-487D-B16F-ECBE040EDC01}"/>
                </c:ext>
              </c:extLst>
            </c:dLbl>
            <c:dLbl>
              <c:idx val="4"/>
              <c:tx>
                <c:rich>
                  <a:bodyPr/>
                  <a:lstStyle/>
                  <a:p>
                    <a:fld id="{0B7BBAD8-EB19-4C44-83AD-9A839F845F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97B-487D-B16F-ECBE040EDC01}"/>
                </c:ext>
              </c:extLst>
            </c:dLbl>
            <c:dLbl>
              <c:idx val="5"/>
              <c:tx>
                <c:rich>
                  <a:bodyPr/>
                  <a:lstStyle/>
                  <a:p>
                    <a:fld id="{35D5B5B5-0FD0-4ACA-B167-AA931224548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97B-487D-B16F-ECBE040EDC01}"/>
                </c:ext>
              </c:extLst>
            </c:dLbl>
            <c:dLbl>
              <c:idx val="6"/>
              <c:tx>
                <c:rich>
                  <a:bodyPr/>
                  <a:lstStyle/>
                  <a:p>
                    <a:fld id="{AFF71857-4D28-466F-BB42-CC2117B70E0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97B-487D-B16F-ECBE040EDC01}"/>
                </c:ext>
              </c:extLst>
            </c:dLbl>
            <c:dLbl>
              <c:idx val="7"/>
              <c:tx>
                <c:rich>
                  <a:bodyPr/>
                  <a:lstStyle/>
                  <a:p>
                    <a:fld id="{DCA7EDDE-C80B-49CB-B404-02114C9DDF6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97B-487D-B16F-ECBE040EDC0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sensitivity!$A$5:$A$12</c:f>
              <c:strCache>
                <c:ptCount val="8"/>
                <c:pt idx="0">
                  <c:v>Recycling level of electrode (95%)</c:v>
                </c:pt>
                <c:pt idx="1">
                  <c:v>Energy consumption of HTL slot-die coating, kWh (0.139)</c:v>
                </c:pt>
                <c:pt idx="2">
                  <c:v>Energy consumption of ETL calcining, kWh (4.286)</c:v>
                </c:pt>
                <c:pt idx="3">
                  <c:v>Energy consumption of PL 1st-step drying, kWh (4.286)</c:v>
                </c:pt>
                <c:pt idx="4">
                  <c:v>Energy consumption of PL annealing, kWh (4.286)</c:v>
                </c:pt>
                <c:pt idx="5">
                  <c:v>Energy consumption of PL 2nd-step drying, kWh (6.429)</c:v>
                </c:pt>
                <c:pt idx="6">
                  <c:v>Energy consumption of electrode sputtering, kWh (7.778)</c:v>
                </c:pt>
                <c:pt idx="7">
                  <c:v>Recycling level of substrate (90%)</c:v>
                </c:pt>
              </c:strCache>
            </c:strRef>
          </c:cat>
          <c:val>
            <c:numRef>
              <c:f>sensitivity!$C$5:$C$12</c:f>
              <c:numCache>
                <c:formatCode>General</c:formatCode>
                <c:ptCount val="8"/>
                <c:pt idx="0">
                  <c:v>26.852165684985042</c:v>
                </c:pt>
                <c:pt idx="1">
                  <c:v>26.832264947433266</c:v>
                </c:pt>
                <c:pt idx="2">
                  <c:v>26.243482089819384</c:v>
                </c:pt>
                <c:pt idx="3">
                  <c:v>26.243482089819384</c:v>
                </c:pt>
                <c:pt idx="4">
                  <c:v>26.243482089819384</c:v>
                </c:pt>
                <c:pt idx="5">
                  <c:v>25.939230661004554</c:v>
                </c:pt>
                <c:pt idx="6">
                  <c:v>25.747664946565589</c:v>
                </c:pt>
                <c:pt idx="7">
                  <c:v>30.245479594979315</c:v>
                </c:pt>
              </c:numCache>
            </c:numRef>
          </c:val>
          <c:extLst>
            <c:ext xmlns:c15="http://schemas.microsoft.com/office/drawing/2012/chart" uri="{02D57815-91ED-43cb-92C2-25804820EDAC}">
              <c15:datalabelsRange>
                <c15:f>sensitivity!$B$5:$B$12</c15:f>
                <c15:dlblRangeCache>
                  <c:ptCount val="8"/>
                  <c:pt idx="0">
                    <c:v>90%</c:v>
                  </c:pt>
                  <c:pt idx="1">
                    <c:v>0.111</c:v>
                  </c:pt>
                  <c:pt idx="2">
                    <c:v>3.429</c:v>
                  </c:pt>
                  <c:pt idx="3">
                    <c:v>3.429</c:v>
                  </c:pt>
                  <c:pt idx="4">
                    <c:v>3.429</c:v>
                  </c:pt>
                  <c:pt idx="5">
                    <c:v>5.143</c:v>
                  </c:pt>
                  <c:pt idx="6">
                    <c:v>6.222</c:v>
                  </c:pt>
                  <c:pt idx="7">
                    <c:v>80%</c:v>
                  </c:pt>
                </c15:dlblRangeCache>
              </c15:datalabelsRange>
            </c:ext>
            <c:ext xmlns:c16="http://schemas.microsoft.com/office/drawing/2014/chart" uri="{C3380CC4-5D6E-409C-BE32-E72D297353CC}">
              <c16:uniqueId val="{00000000-697B-487D-B16F-ECBE040EDC01}"/>
            </c:ext>
          </c:extLst>
        </c:ser>
        <c:ser>
          <c:idx val="1"/>
          <c:order val="1"/>
          <c:spPr>
            <a:solidFill>
              <a:schemeClr val="accent2"/>
            </a:solidFill>
            <a:ln>
              <a:noFill/>
            </a:ln>
            <a:effectLst/>
          </c:spPr>
          <c:invertIfNegative val="0"/>
          <c:dLbls>
            <c:dLbl>
              <c:idx val="0"/>
              <c:tx>
                <c:rich>
                  <a:bodyPr/>
                  <a:lstStyle/>
                  <a:p>
                    <a:fld id="{00CBA084-DB0B-4924-A74A-F673284B4E8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97B-487D-B16F-ECBE040EDC01}"/>
                </c:ext>
              </c:extLst>
            </c:dLbl>
            <c:dLbl>
              <c:idx val="1"/>
              <c:tx>
                <c:rich>
                  <a:bodyPr/>
                  <a:lstStyle/>
                  <a:p>
                    <a:fld id="{F4B12973-C099-45DF-80E3-24A1859E98D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97B-487D-B16F-ECBE040EDC01}"/>
                </c:ext>
              </c:extLst>
            </c:dLbl>
            <c:dLbl>
              <c:idx val="2"/>
              <c:tx>
                <c:rich>
                  <a:bodyPr/>
                  <a:lstStyle/>
                  <a:p>
                    <a:fld id="{DBBBFA10-423E-45A2-B308-19A99A3B497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97B-487D-B16F-ECBE040EDC01}"/>
                </c:ext>
              </c:extLst>
            </c:dLbl>
            <c:dLbl>
              <c:idx val="3"/>
              <c:tx>
                <c:rich>
                  <a:bodyPr/>
                  <a:lstStyle/>
                  <a:p>
                    <a:fld id="{C9F5A69C-2C91-45AB-ADA5-8B151C03506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97B-487D-B16F-ECBE040EDC01}"/>
                </c:ext>
              </c:extLst>
            </c:dLbl>
            <c:dLbl>
              <c:idx val="4"/>
              <c:tx>
                <c:rich>
                  <a:bodyPr/>
                  <a:lstStyle/>
                  <a:p>
                    <a:fld id="{74EBE994-3783-426A-A82B-14F934C67A5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97B-487D-B16F-ECBE040EDC01}"/>
                </c:ext>
              </c:extLst>
            </c:dLbl>
            <c:dLbl>
              <c:idx val="5"/>
              <c:tx>
                <c:rich>
                  <a:bodyPr/>
                  <a:lstStyle/>
                  <a:p>
                    <a:fld id="{204FFFC1-64A0-49FC-8C37-80F49DA2665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97B-487D-B16F-ECBE040EDC01}"/>
                </c:ext>
              </c:extLst>
            </c:dLbl>
            <c:dLbl>
              <c:idx val="6"/>
              <c:tx>
                <c:rich>
                  <a:bodyPr/>
                  <a:lstStyle/>
                  <a:p>
                    <a:fld id="{47DAB12C-280A-40A5-A381-7C9D201118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97B-487D-B16F-ECBE040EDC01}"/>
                </c:ext>
              </c:extLst>
            </c:dLbl>
            <c:dLbl>
              <c:idx val="7"/>
              <c:tx>
                <c:rich>
                  <a:bodyPr/>
                  <a:lstStyle/>
                  <a:p>
                    <a:fld id="{61075947-04A1-4912-B120-893FEF8A3B2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97B-487D-B16F-ECBE040EDC0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sensitivity!$A$5:$A$12</c:f>
              <c:strCache>
                <c:ptCount val="8"/>
                <c:pt idx="0">
                  <c:v>Recycling level of electrode (95%)</c:v>
                </c:pt>
                <c:pt idx="1">
                  <c:v>Energy consumption of HTL slot-die coating, kWh (0.139)</c:v>
                </c:pt>
                <c:pt idx="2">
                  <c:v>Energy consumption of ETL calcining, kWh (4.286)</c:v>
                </c:pt>
                <c:pt idx="3">
                  <c:v>Energy consumption of PL 1st-step drying, kWh (4.286)</c:v>
                </c:pt>
                <c:pt idx="4">
                  <c:v>Energy consumption of PL annealing, kWh (4.286)</c:v>
                </c:pt>
                <c:pt idx="5">
                  <c:v>Energy consumption of PL 2nd-step drying, kWh (6.429)</c:v>
                </c:pt>
                <c:pt idx="6">
                  <c:v>Energy consumption of electrode sputtering, kWh (7.778)</c:v>
                </c:pt>
                <c:pt idx="7">
                  <c:v>Recycling level of substrate (90%)</c:v>
                </c:pt>
              </c:strCache>
            </c:strRef>
          </c:cat>
          <c:val>
            <c:numRef>
              <c:f>sensitivity!$G$5:$G$12</c:f>
              <c:numCache>
                <c:formatCode>General</c:formatCode>
                <c:ptCount val="8"/>
                <c:pt idx="0">
                  <c:v>26.851804209913045</c:v>
                </c:pt>
                <c:pt idx="1">
                  <c:v>26.871704947464821</c:v>
                </c:pt>
                <c:pt idx="2">
                  <c:v>27.460487805078703</c:v>
                </c:pt>
                <c:pt idx="3">
                  <c:v>27.460487805078703</c:v>
                </c:pt>
                <c:pt idx="4">
                  <c:v>27.460487805078703</c:v>
                </c:pt>
                <c:pt idx="5">
                  <c:v>27.764739233893533</c:v>
                </c:pt>
                <c:pt idx="6">
                  <c:v>27.956304948332502</c:v>
                </c:pt>
                <c:pt idx="7">
                  <c:v>23.458490299918772</c:v>
                </c:pt>
              </c:numCache>
            </c:numRef>
          </c:val>
          <c:extLst>
            <c:ext xmlns:c15="http://schemas.microsoft.com/office/drawing/2012/chart" uri="{02D57815-91ED-43cb-92C2-25804820EDAC}">
              <c15:datalabelsRange>
                <c15:f>sensitivity!$F$5:$F$12</c15:f>
                <c15:dlblRangeCache>
                  <c:ptCount val="8"/>
                  <c:pt idx="0">
                    <c:v>100%</c:v>
                  </c:pt>
                  <c:pt idx="1">
                    <c:v>0.167</c:v>
                  </c:pt>
                  <c:pt idx="2">
                    <c:v>5.143</c:v>
                  </c:pt>
                  <c:pt idx="3">
                    <c:v>5.143</c:v>
                  </c:pt>
                  <c:pt idx="4">
                    <c:v>5.143</c:v>
                  </c:pt>
                  <c:pt idx="5">
                    <c:v>7.715</c:v>
                  </c:pt>
                  <c:pt idx="6">
                    <c:v>9.334</c:v>
                  </c:pt>
                  <c:pt idx="7">
                    <c:v>100%</c:v>
                  </c:pt>
                </c15:dlblRangeCache>
              </c15:datalabelsRange>
            </c:ext>
            <c:ext xmlns:c16="http://schemas.microsoft.com/office/drawing/2014/chart" uri="{C3380CC4-5D6E-409C-BE32-E72D297353CC}">
              <c16:uniqueId val="{00000002-697B-487D-B16F-ECBE040EDC01}"/>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26.851984950000006"/>
        <c:auto val="1"/>
        <c:lblAlgn val="ctr"/>
        <c:lblOffset val="100"/>
        <c:noMultiLvlLbl val="0"/>
      </c:catAx>
      <c:valAx>
        <c:axId val="338742815"/>
        <c:scaling>
          <c:orientation val="minMax"/>
          <c:min val="23"/>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F7A6E071-9DC8-4C3F-92F4-2A4DB18C2D2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F04-4BEE-9A14-B87959E5429D}"/>
                </c:ext>
              </c:extLst>
            </c:dLbl>
            <c:dLbl>
              <c:idx val="1"/>
              <c:tx>
                <c:rich>
                  <a:bodyPr/>
                  <a:lstStyle/>
                  <a:p>
                    <a:fld id="{99696ECF-F6EF-4F5E-9360-D4BFBC1E340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F04-4BEE-9A14-B87959E5429D}"/>
                </c:ext>
              </c:extLst>
            </c:dLbl>
            <c:dLbl>
              <c:idx val="2"/>
              <c:tx>
                <c:rich>
                  <a:bodyPr/>
                  <a:lstStyle/>
                  <a:p>
                    <a:fld id="{FA6010D0-007A-4AC1-9CCE-41F7A0112E8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F04-4BEE-9A14-B87959E5429D}"/>
                </c:ext>
              </c:extLst>
            </c:dLbl>
            <c:dLbl>
              <c:idx val="3"/>
              <c:tx>
                <c:rich>
                  <a:bodyPr/>
                  <a:lstStyle/>
                  <a:p>
                    <a:fld id="{2F2187D3-E557-44A7-B186-7DFD658EB9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F04-4BEE-9A14-B87959E5429D}"/>
                </c:ext>
              </c:extLst>
            </c:dLbl>
            <c:dLbl>
              <c:idx val="4"/>
              <c:tx>
                <c:rich>
                  <a:bodyPr/>
                  <a:lstStyle/>
                  <a:p>
                    <a:fld id="{C7A532F6-7315-462F-981F-BB73E809CF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F04-4BEE-9A14-B87959E5429D}"/>
                </c:ext>
              </c:extLst>
            </c:dLbl>
            <c:dLbl>
              <c:idx val="5"/>
              <c:tx>
                <c:rich>
                  <a:bodyPr/>
                  <a:lstStyle/>
                  <a:p>
                    <a:fld id="{97C0EF22-A50C-4D1A-A078-B1526F3A464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F04-4BEE-9A14-B87959E5429D}"/>
                </c:ext>
              </c:extLst>
            </c:dLbl>
            <c:dLbl>
              <c:idx val="6"/>
              <c:tx>
                <c:rich>
                  <a:bodyPr/>
                  <a:lstStyle/>
                  <a:p>
                    <a:fld id="{72C40588-80DE-4187-9D2C-71FDBEC7338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F04-4BEE-9A14-B87959E5429D}"/>
                </c:ext>
              </c:extLst>
            </c:dLbl>
            <c:dLbl>
              <c:idx val="7"/>
              <c:tx>
                <c:rich>
                  <a:bodyPr/>
                  <a:lstStyle/>
                  <a:p>
                    <a:fld id="{01EFA605-E862-4EAF-A696-C3E2735BE02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F04-4BEE-9A14-B87959E5429D}"/>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sensitivity!$A$16:$A$23</c:f>
              <c:strCache>
                <c:ptCount val="8"/>
                <c:pt idx="0">
                  <c:v>Recycling level of electrode (95%)</c:v>
                </c:pt>
                <c:pt idx="1">
                  <c:v>Energy consumption of HTL slot-die coating, kWh (0.139)</c:v>
                </c:pt>
                <c:pt idx="2">
                  <c:v>Energy consumption of ETL calcining, kWh (4.286)</c:v>
                </c:pt>
                <c:pt idx="3">
                  <c:v>Energy consumption of PL 1st-step drying, kWh (4.286)</c:v>
                </c:pt>
                <c:pt idx="4">
                  <c:v>Energy consumption of PL annealing, kWh (4.286)</c:v>
                </c:pt>
                <c:pt idx="5">
                  <c:v>Energy consumption of PL 2nd-step drying, kWh (6.429)</c:v>
                </c:pt>
                <c:pt idx="6">
                  <c:v>Energy consumption of electrode sputtering, kWh (7.778)</c:v>
                </c:pt>
                <c:pt idx="7">
                  <c:v>Recycling level of substrate (90%)</c:v>
                </c:pt>
              </c:strCache>
            </c:strRef>
          </c:cat>
          <c:val>
            <c:numRef>
              <c:f>sensitivity!$C$16:$C$23</c:f>
              <c:numCache>
                <c:formatCode>General</c:formatCode>
                <c:ptCount val="8"/>
                <c:pt idx="0">
                  <c:v>468.81935003662909</c:v>
                </c:pt>
                <c:pt idx="1">
                  <c:v>468.46976206833335</c:v>
                </c:pt>
                <c:pt idx="2">
                  <c:v>458.10966297529217</c:v>
                </c:pt>
                <c:pt idx="3">
                  <c:v>458.10966297529217</c:v>
                </c:pt>
                <c:pt idx="4">
                  <c:v>458.10966297529211</c:v>
                </c:pt>
                <c:pt idx="5">
                  <c:v>452.7561189463521</c:v>
                </c:pt>
                <c:pt idx="6">
                  <c:v>449.3853690022047</c:v>
                </c:pt>
                <c:pt idx="7">
                  <c:v>530.93563038153286</c:v>
                </c:pt>
              </c:numCache>
            </c:numRef>
          </c:val>
          <c:extLst>
            <c:ext xmlns:c15="http://schemas.microsoft.com/office/drawing/2012/chart" uri="{02D57815-91ED-43cb-92C2-25804820EDAC}">
              <c15:datalabelsRange>
                <c15:f>sensitivity!$B$5:$B$12</c15:f>
                <c15:dlblRangeCache>
                  <c:ptCount val="8"/>
                  <c:pt idx="0">
                    <c:v>90%</c:v>
                  </c:pt>
                  <c:pt idx="1">
                    <c:v>0.111</c:v>
                  </c:pt>
                  <c:pt idx="2">
                    <c:v>3.429</c:v>
                  </c:pt>
                  <c:pt idx="3">
                    <c:v>3.429</c:v>
                  </c:pt>
                  <c:pt idx="4">
                    <c:v>3.429</c:v>
                  </c:pt>
                  <c:pt idx="5">
                    <c:v>5.143</c:v>
                  </c:pt>
                  <c:pt idx="6">
                    <c:v>6.222</c:v>
                  </c:pt>
                  <c:pt idx="7">
                    <c:v>80%</c:v>
                  </c:pt>
                </c15:dlblRangeCache>
              </c15:datalabelsRange>
            </c:ext>
            <c:ext xmlns:c16="http://schemas.microsoft.com/office/drawing/2014/chart" uri="{C3380CC4-5D6E-409C-BE32-E72D297353CC}">
              <c16:uniqueId val="{00000000-2F04-4BEE-9A14-B87959E5429D}"/>
            </c:ext>
          </c:extLst>
        </c:ser>
        <c:ser>
          <c:idx val="1"/>
          <c:order val="1"/>
          <c:spPr>
            <a:solidFill>
              <a:schemeClr val="accent2"/>
            </a:solidFill>
            <a:ln>
              <a:noFill/>
            </a:ln>
            <a:effectLst/>
          </c:spPr>
          <c:invertIfNegative val="0"/>
          <c:dLbls>
            <c:dLbl>
              <c:idx val="0"/>
              <c:tx>
                <c:rich>
                  <a:bodyPr/>
                  <a:lstStyle/>
                  <a:p>
                    <a:fld id="{83F77279-7F83-4F9C-982F-DFCD3B6C3B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F04-4BEE-9A14-B87959E5429D}"/>
                </c:ext>
              </c:extLst>
            </c:dLbl>
            <c:dLbl>
              <c:idx val="1"/>
              <c:tx>
                <c:rich>
                  <a:bodyPr/>
                  <a:lstStyle/>
                  <a:p>
                    <a:fld id="{5DA85B2F-5DE8-44C5-BBF7-B5ACEBFC30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F04-4BEE-9A14-B87959E5429D}"/>
                </c:ext>
              </c:extLst>
            </c:dLbl>
            <c:dLbl>
              <c:idx val="2"/>
              <c:tx>
                <c:rich>
                  <a:bodyPr/>
                  <a:lstStyle/>
                  <a:p>
                    <a:fld id="{BF1D0444-B435-4CEA-A1D4-5624605950A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F04-4BEE-9A14-B87959E5429D}"/>
                </c:ext>
              </c:extLst>
            </c:dLbl>
            <c:dLbl>
              <c:idx val="3"/>
              <c:tx>
                <c:rich>
                  <a:bodyPr/>
                  <a:lstStyle/>
                  <a:p>
                    <a:fld id="{745A4A08-997A-4EA2-BA0D-1B60AC00894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F04-4BEE-9A14-B87959E5429D}"/>
                </c:ext>
              </c:extLst>
            </c:dLbl>
            <c:dLbl>
              <c:idx val="4"/>
              <c:tx>
                <c:rich>
                  <a:bodyPr/>
                  <a:lstStyle/>
                  <a:p>
                    <a:fld id="{1ACACB9E-CDDE-4C7E-885B-2A4AA3C2D9F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F04-4BEE-9A14-B87959E5429D}"/>
                </c:ext>
              </c:extLst>
            </c:dLbl>
            <c:dLbl>
              <c:idx val="5"/>
              <c:tx>
                <c:rich>
                  <a:bodyPr/>
                  <a:lstStyle/>
                  <a:p>
                    <a:fld id="{8C33C879-E2C6-499B-BD41-0BC11745B45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F04-4BEE-9A14-B87959E5429D}"/>
                </c:ext>
              </c:extLst>
            </c:dLbl>
            <c:dLbl>
              <c:idx val="6"/>
              <c:tx>
                <c:rich>
                  <a:bodyPr/>
                  <a:lstStyle/>
                  <a:p>
                    <a:fld id="{BCE4BB04-4E3C-4C07-A8C8-83C55A8B364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F04-4BEE-9A14-B87959E5429D}"/>
                </c:ext>
              </c:extLst>
            </c:dLbl>
            <c:dLbl>
              <c:idx val="7"/>
              <c:tx>
                <c:rich>
                  <a:bodyPr/>
                  <a:lstStyle/>
                  <a:p>
                    <a:fld id="{5372D4DC-9499-432A-87C7-3F4FBCA4255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F04-4BEE-9A14-B87959E5429D}"/>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sensitivity!$A$16:$A$23</c:f>
              <c:strCache>
                <c:ptCount val="8"/>
                <c:pt idx="0">
                  <c:v>Recycling level of electrode (95%)</c:v>
                </c:pt>
                <c:pt idx="1">
                  <c:v>Energy consumption of HTL slot-die coating, kWh (0.139)</c:v>
                </c:pt>
                <c:pt idx="2">
                  <c:v>Energy consumption of ETL calcining, kWh (4.286)</c:v>
                </c:pt>
                <c:pt idx="3">
                  <c:v>Energy consumption of PL 1st-step drying, kWh (4.286)</c:v>
                </c:pt>
                <c:pt idx="4">
                  <c:v>Energy consumption of PL annealing, kWh (4.286)</c:v>
                </c:pt>
                <c:pt idx="5">
                  <c:v>Energy consumption of PL 2nd-step drying, kWh (6.429)</c:v>
                </c:pt>
                <c:pt idx="6">
                  <c:v>Energy consumption of electrode sputtering, kWh (7.778)</c:v>
                </c:pt>
                <c:pt idx="7">
                  <c:v>Recycling level of substrate (90%)</c:v>
                </c:pt>
              </c:strCache>
            </c:strRef>
          </c:cat>
          <c:val>
            <c:numRef>
              <c:f>sensitivity!$G$16:$G$23</c:f>
              <c:numCache>
                <c:formatCode>General</c:formatCode>
                <c:ptCount val="8"/>
                <c:pt idx="0">
                  <c:v>468.81415202971493</c:v>
                </c:pt>
                <c:pt idx="1">
                  <c:v>469.16373999801078</c:v>
                </c:pt>
                <c:pt idx="2">
                  <c:v>479.52383909105197</c:v>
                </c:pt>
                <c:pt idx="3">
                  <c:v>479.52383909105197</c:v>
                </c:pt>
                <c:pt idx="4">
                  <c:v>479.52383909105197</c:v>
                </c:pt>
                <c:pt idx="5">
                  <c:v>484.87738311999203</c:v>
                </c:pt>
                <c:pt idx="6">
                  <c:v>488.24813306413938</c:v>
                </c:pt>
                <c:pt idx="7">
                  <c:v>406.69787168481139</c:v>
                </c:pt>
              </c:numCache>
            </c:numRef>
          </c:val>
          <c:extLst>
            <c:ext xmlns:c15="http://schemas.microsoft.com/office/drawing/2012/chart" uri="{02D57815-91ED-43cb-92C2-25804820EDAC}">
              <c15:datalabelsRange>
                <c15:f>sensitivity!$F$5:$F$12</c15:f>
                <c15:dlblRangeCache>
                  <c:ptCount val="8"/>
                  <c:pt idx="0">
                    <c:v>100%</c:v>
                  </c:pt>
                  <c:pt idx="1">
                    <c:v>0.167</c:v>
                  </c:pt>
                  <c:pt idx="2">
                    <c:v>5.143</c:v>
                  </c:pt>
                  <c:pt idx="3">
                    <c:v>5.143</c:v>
                  </c:pt>
                  <c:pt idx="4">
                    <c:v>5.143</c:v>
                  </c:pt>
                  <c:pt idx="5">
                    <c:v>7.715</c:v>
                  </c:pt>
                  <c:pt idx="6">
                    <c:v>9.334</c:v>
                  </c:pt>
                  <c:pt idx="7">
                    <c:v>100%</c:v>
                  </c:pt>
                </c15:dlblRangeCache>
              </c15:datalabelsRange>
            </c:ext>
            <c:ext xmlns:c16="http://schemas.microsoft.com/office/drawing/2014/chart" uri="{C3380CC4-5D6E-409C-BE32-E72D297353CC}">
              <c16:uniqueId val="{00000002-2F04-4BEE-9A14-B87959E5429D}"/>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468.81675099999995"/>
        <c:auto val="1"/>
        <c:lblAlgn val="ctr"/>
        <c:lblOffset val="100"/>
        <c:noMultiLvlLbl val="0"/>
      </c:catAx>
      <c:valAx>
        <c:axId val="338742815"/>
        <c:scaling>
          <c:orientation val="minMax"/>
          <c:min val="390"/>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results!$A$2</c:f>
              <c:strCache>
                <c:ptCount val="1"/>
                <c:pt idx="0">
                  <c:v>FTO glass</c:v>
                </c:pt>
              </c:strCache>
            </c:strRef>
          </c:tx>
          <c:spPr>
            <a:solidFill>
              <a:schemeClr val="accent2"/>
            </a:solidFill>
            <a:ln>
              <a:noFill/>
            </a:ln>
            <a:effectLst/>
          </c:spPr>
          <c:invertIfNegative val="0"/>
          <c:cat>
            <c:strRef>
              <c:f>results!$D$1:$X$1</c:f>
              <c:strCache>
                <c:ptCount val="5"/>
                <c:pt idx="3">
                  <c:v>Carbon footprint</c:v>
                </c:pt>
                <c:pt idx="4">
                  <c:v>Primary energy consumption</c:v>
                </c:pt>
              </c:strCache>
            </c:strRef>
          </c:cat>
          <c:val>
            <c:numRef>
              <c:f>results!$D$2:$X$2</c:f>
              <c:numCache>
                <c:formatCode>General</c:formatCode>
                <c:ptCount val="21"/>
                <c:pt idx="3">
                  <c:v>0.34780676817599987</c:v>
                </c:pt>
                <c:pt idx="4">
                  <c:v>8.5029036949120105</c:v>
                </c:pt>
              </c:numCache>
            </c:numRef>
          </c:val>
          <c:extLst>
            <c:ext xmlns:c16="http://schemas.microsoft.com/office/drawing/2014/chart" uri="{C3380CC4-5D6E-409C-BE32-E72D297353CC}">
              <c16:uniqueId val="{00000000-40D9-485F-B86B-D9356F9DBE16}"/>
            </c:ext>
          </c:extLst>
        </c:ser>
        <c:ser>
          <c:idx val="1"/>
          <c:order val="1"/>
          <c:tx>
            <c:strRef>
              <c:f>results!$A$3</c:f>
              <c:strCache>
                <c:ptCount val="1"/>
                <c:pt idx="0">
                  <c:v>BL-TiO₂ ink</c:v>
                </c:pt>
              </c:strCache>
            </c:strRef>
          </c:tx>
          <c:spPr>
            <a:solidFill>
              <a:schemeClr val="accent4"/>
            </a:solidFill>
            <a:ln>
              <a:noFill/>
            </a:ln>
            <a:effectLst/>
          </c:spPr>
          <c:invertIfNegative val="0"/>
          <c:cat>
            <c:strRef>
              <c:f>results!$D$1:$X$1</c:f>
              <c:strCache>
                <c:ptCount val="5"/>
                <c:pt idx="3">
                  <c:v>Carbon footprint</c:v>
                </c:pt>
                <c:pt idx="4">
                  <c:v>Primary energy consumption</c:v>
                </c:pt>
              </c:strCache>
            </c:strRef>
          </c:cat>
          <c:val>
            <c:numRef>
              <c:f>results!$D$3:$X$3</c:f>
              <c:numCache>
                <c:formatCode>General</c:formatCode>
                <c:ptCount val="21"/>
                <c:pt idx="3">
                  <c:v>2.2765392121238096E-3</c:v>
                </c:pt>
                <c:pt idx="4">
                  <c:v>6.1700956254785687E-2</c:v>
                </c:pt>
              </c:numCache>
            </c:numRef>
          </c:val>
          <c:extLst>
            <c:ext xmlns:c16="http://schemas.microsoft.com/office/drawing/2014/chart" uri="{C3380CC4-5D6E-409C-BE32-E72D297353CC}">
              <c16:uniqueId val="{00000001-40D9-485F-B86B-D9356F9DBE16}"/>
            </c:ext>
          </c:extLst>
        </c:ser>
        <c:ser>
          <c:idx val="2"/>
          <c:order val="2"/>
          <c:tx>
            <c:strRef>
              <c:f>results!$A$4</c:f>
              <c:strCache>
                <c:ptCount val="1"/>
                <c:pt idx="0">
                  <c:v>MP-TiO₂</c:v>
                </c:pt>
              </c:strCache>
            </c:strRef>
          </c:tx>
          <c:spPr>
            <a:solidFill>
              <a:schemeClr val="accent6"/>
            </a:solidFill>
            <a:ln>
              <a:noFill/>
            </a:ln>
            <a:effectLst/>
          </c:spPr>
          <c:invertIfNegative val="0"/>
          <c:cat>
            <c:strRef>
              <c:f>results!$D$1:$X$1</c:f>
              <c:strCache>
                <c:ptCount val="5"/>
                <c:pt idx="3">
                  <c:v>Carbon footprint</c:v>
                </c:pt>
                <c:pt idx="4">
                  <c:v>Primary energy consumption</c:v>
                </c:pt>
              </c:strCache>
            </c:strRef>
          </c:cat>
          <c:val>
            <c:numRef>
              <c:f>results!$D$4:$X$4</c:f>
              <c:numCache>
                <c:formatCode>General</c:formatCode>
                <c:ptCount val="21"/>
                <c:pt idx="3">
                  <c:v>4.364040239999999E-4</c:v>
                </c:pt>
                <c:pt idx="4">
                  <c:v>4.6809738838835997E-3</c:v>
                </c:pt>
              </c:numCache>
            </c:numRef>
          </c:val>
          <c:extLst>
            <c:ext xmlns:c16="http://schemas.microsoft.com/office/drawing/2014/chart" uri="{C3380CC4-5D6E-409C-BE32-E72D297353CC}">
              <c16:uniqueId val="{00000002-40D9-485F-B86B-D9356F9DBE16}"/>
            </c:ext>
          </c:extLst>
        </c:ser>
        <c:ser>
          <c:idx val="3"/>
          <c:order val="3"/>
          <c:tx>
            <c:strRef>
              <c:f>results!$A$5</c:f>
              <c:strCache>
                <c:ptCount val="1"/>
                <c:pt idx="0">
                  <c:v>2-methoxyethanol</c:v>
                </c:pt>
              </c:strCache>
            </c:strRef>
          </c:tx>
          <c:spPr>
            <a:solidFill>
              <a:schemeClr val="accent2">
                <a:lumMod val="60000"/>
              </a:schemeClr>
            </a:solidFill>
            <a:ln>
              <a:noFill/>
            </a:ln>
            <a:effectLst/>
          </c:spPr>
          <c:invertIfNegative val="0"/>
          <c:cat>
            <c:strRef>
              <c:f>results!$D$1:$X$1</c:f>
              <c:strCache>
                <c:ptCount val="5"/>
                <c:pt idx="3">
                  <c:v>Carbon footprint</c:v>
                </c:pt>
                <c:pt idx="4">
                  <c:v>Primary energy consumption</c:v>
                </c:pt>
              </c:strCache>
            </c:strRef>
          </c:cat>
          <c:val>
            <c:numRef>
              <c:f>results!$D$5:$X$5</c:f>
              <c:numCache>
                <c:formatCode>General</c:formatCode>
                <c:ptCount val="21"/>
                <c:pt idx="3">
                  <c:v>5.7271391279999984E-4</c:v>
                </c:pt>
                <c:pt idx="4">
                  <c:v>1.6125322627587774E-2</c:v>
                </c:pt>
              </c:numCache>
            </c:numRef>
          </c:val>
          <c:extLst>
            <c:ext xmlns:c16="http://schemas.microsoft.com/office/drawing/2014/chart" uri="{C3380CC4-5D6E-409C-BE32-E72D297353CC}">
              <c16:uniqueId val="{00000003-40D9-485F-B86B-D9356F9DBE16}"/>
            </c:ext>
          </c:extLst>
        </c:ser>
        <c:ser>
          <c:idx val="4"/>
          <c:order val="4"/>
          <c:tx>
            <c:strRef>
              <c:f>results!$A$6</c:f>
              <c:strCache>
                <c:ptCount val="1"/>
                <c:pt idx="0">
                  <c:v>PbI₂</c:v>
                </c:pt>
              </c:strCache>
            </c:strRef>
          </c:tx>
          <c:spPr>
            <a:solidFill>
              <a:schemeClr val="accent4">
                <a:lumMod val="60000"/>
              </a:schemeClr>
            </a:solidFill>
            <a:ln>
              <a:noFill/>
            </a:ln>
            <a:effectLst/>
          </c:spPr>
          <c:invertIfNegative val="0"/>
          <c:cat>
            <c:strRef>
              <c:f>results!$D$1:$X$1</c:f>
              <c:strCache>
                <c:ptCount val="5"/>
                <c:pt idx="3">
                  <c:v>Carbon footprint</c:v>
                </c:pt>
                <c:pt idx="4">
                  <c:v>Primary energy consumption</c:v>
                </c:pt>
              </c:strCache>
            </c:strRef>
          </c:cat>
          <c:val>
            <c:numRef>
              <c:f>results!$D$6:$X$6</c:f>
              <c:numCache>
                <c:formatCode>General</c:formatCode>
                <c:ptCount val="21"/>
                <c:pt idx="3">
                  <c:v>3.5016340047384839E-3</c:v>
                </c:pt>
                <c:pt idx="4">
                  <c:v>4.1638537323627607E-2</c:v>
                </c:pt>
              </c:numCache>
            </c:numRef>
          </c:val>
          <c:extLst>
            <c:ext xmlns:c16="http://schemas.microsoft.com/office/drawing/2014/chart" uri="{C3380CC4-5D6E-409C-BE32-E72D297353CC}">
              <c16:uniqueId val="{00000000-6813-4582-852E-CA920C39DEDC}"/>
            </c:ext>
          </c:extLst>
        </c:ser>
        <c:ser>
          <c:idx val="5"/>
          <c:order val="5"/>
          <c:tx>
            <c:strRef>
              <c:f>results!$A$7</c:f>
              <c:strCache>
                <c:ptCount val="1"/>
                <c:pt idx="0">
                  <c:v>PbBr₂</c:v>
                </c:pt>
              </c:strCache>
            </c:strRef>
          </c:tx>
          <c:spPr>
            <a:solidFill>
              <a:schemeClr val="accent6">
                <a:lumMod val="60000"/>
              </a:schemeClr>
            </a:solidFill>
            <a:ln>
              <a:noFill/>
            </a:ln>
            <a:effectLst/>
          </c:spPr>
          <c:invertIfNegative val="0"/>
          <c:cat>
            <c:strRef>
              <c:f>results!$D$1:$X$1</c:f>
              <c:strCache>
                <c:ptCount val="5"/>
                <c:pt idx="3">
                  <c:v>Carbon footprint</c:v>
                </c:pt>
                <c:pt idx="4">
                  <c:v>Primary energy consumption</c:v>
                </c:pt>
              </c:strCache>
            </c:strRef>
          </c:cat>
          <c:val>
            <c:numRef>
              <c:f>results!$D$7:$X$7</c:f>
              <c:numCache>
                <c:formatCode>General</c:formatCode>
                <c:ptCount val="21"/>
                <c:pt idx="3">
                  <c:v>6.0294176243999574E-5</c:v>
                </c:pt>
                <c:pt idx="4">
                  <c:v>7.9057775962192297E-4</c:v>
                </c:pt>
              </c:numCache>
            </c:numRef>
          </c:val>
          <c:extLst>
            <c:ext xmlns:c16="http://schemas.microsoft.com/office/drawing/2014/chart" uri="{C3380CC4-5D6E-409C-BE32-E72D297353CC}">
              <c16:uniqueId val="{00000001-6813-4582-852E-CA920C39DEDC}"/>
            </c:ext>
          </c:extLst>
        </c:ser>
        <c:ser>
          <c:idx val="6"/>
          <c:order val="6"/>
          <c:tx>
            <c:strRef>
              <c:f>results!$A$8</c:f>
              <c:strCache>
                <c:ptCount val="1"/>
                <c:pt idx="0">
                  <c:v>FAI</c:v>
                </c:pt>
              </c:strCache>
            </c:strRef>
          </c:tx>
          <c:spPr>
            <a:solidFill>
              <a:schemeClr val="accent2">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results!$D$8:$X$8</c:f>
              <c:numCache>
                <c:formatCode>General</c:formatCode>
                <c:ptCount val="21"/>
                <c:pt idx="3">
                  <c:v>2.0114480946874777E-2</c:v>
                </c:pt>
                <c:pt idx="4">
                  <c:v>0.35631319119228022</c:v>
                </c:pt>
              </c:numCache>
            </c:numRef>
          </c:val>
          <c:extLst>
            <c:ext xmlns:c16="http://schemas.microsoft.com/office/drawing/2014/chart" uri="{C3380CC4-5D6E-409C-BE32-E72D297353CC}">
              <c16:uniqueId val="{00000002-6813-4582-852E-CA920C39DEDC}"/>
            </c:ext>
          </c:extLst>
        </c:ser>
        <c:ser>
          <c:idx val="7"/>
          <c:order val="7"/>
          <c:tx>
            <c:strRef>
              <c:f>results!$A$9</c:f>
              <c:strCache>
                <c:ptCount val="1"/>
                <c:pt idx="0">
                  <c:v>MABr</c:v>
                </c:pt>
              </c:strCache>
            </c:strRef>
          </c:tx>
          <c:spPr>
            <a:solidFill>
              <a:schemeClr val="accent4">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results!$D$9:$X$9</c:f>
              <c:numCache>
                <c:formatCode>General</c:formatCode>
                <c:ptCount val="21"/>
                <c:pt idx="3">
                  <c:v>0.1114344024570799</c:v>
                </c:pt>
                <c:pt idx="4">
                  <c:v>1.9630136677403471</c:v>
                </c:pt>
              </c:numCache>
            </c:numRef>
          </c:val>
          <c:extLst>
            <c:ext xmlns:c16="http://schemas.microsoft.com/office/drawing/2014/chart" uri="{C3380CC4-5D6E-409C-BE32-E72D297353CC}">
              <c16:uniqueId val="{00000003-6813-4582-852E-CA920C39DEDC}"/>
            </c:ext>
          </c:extLst>
        </c:ser>
        <c:ser>
          <c:idx val="8"/>
          <c:order val="8"/>
          <c:tx>
            <c:strRef>
              <c:f>results!$A$10</c:f>
              <c:strCache>
                <c:ptCount val="1"/>
                <c:pt idx="0">
                  <c:v>DMF</c:v>
                </c:pt>
              </c:strCache>
            </c:strRef>
          </c:tx>
          <c:spPr>
            <a:solidFill>
              <a:schemeClr val="accent6">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results!$D$10:$X$10</c:f>
              <c:numCache>
                <c:formatCode>General</c:formatCode>
                <c:ptCount val="21"/>
                <c:pt idx="3">
                  <c:v>2.7778789137676346E-3</c:v>
                </c:pt>
                <c:pt idx="4">
                  <c:v>7.5556306550594685E-2</c:v>
                </c:pt>
              </c:numCache>
            </c:numRef>
          </c:val>
          <c:extLst>
            <c:ext xmlns:c16="http://schemas.microsoft.com/office/drawing/2014/chart" uri="{C3380CC4-5D6E-409C-BE32-E72D297353CC}">
              <c16:uniqueId val="{00000004-6813-4582-852E-CA920C39DEDC}"/>
            </c:ext>
          </c:extLst>
        </c:ser>
        <c:ser>
          <c:idx val="9"/>
          <c:order val="9"/>
          <c:tx>
            <c:strRef>
              <c:f>results!$A$11</c:f>
              <c:strCache>
                <c:ptCount val="1"/>
                <c:pt idx="0">
                  <c:v>DMSO</c:v>
                </c:pt>
              </c:strCache>
            </c:strRef>
          </c:tx>
          <c:spPr>
            <a:solidFill>
              <a:schemeClr val="accent2">
                <a:lumMod val="80000"/>
              </a:schemeClr>
            </a:solidFill>
            <a:ln>
              <a:noFill/>
            </a:ln>
            <a:effectLst/>
          </c:spPr>
          <c:invertIfNegative val="0"/>
          <c:cat>
            <c:strRef>
              <c:f>results!$D$1:$X$1</c:f>
              <c:strCache>
                <c:ptCount val="5"/>
                <c:pt idx="3">
                  <c:v>Carbon footprint</c:v>
                </c:pt>
                <c:pt idx="4">
                  <c:v>Primary energy consumption</c:v>
                </c:pt>
              </c:strCache>
            </c:strRef>
          </c:cat>
          <c:val>
            <c:numRef>
              <c:f>results!$D$11:$X$11</c:f>
              <c:numCache>
                <c:formatCode>General</c:formatCode>
                <c:ptCount val="21"/>
                <c:pt idx="3">
                  <c:v>3.5756612254426892E-4</c:v>
                </c:pt>
                <c:pt idx="4">
                  <c:v>1.6499999309507574E-2</c:v>
                </c:pt>
              </c:numCache>
            </c:numRef>
          </c:val>
          <c:extLst>
            <c:ext xmlns:c16="http://schemas.microsoft.com/office/drawing/2014/chart" uri="{C3380CC4-5D6E-409C-BE32-E72D297353CC}">
              <c16:uniqueId val="{00000005-6813-4582-852E-CA920C39DEDC}"/>
            </c:ext>
          </c:extLst>
        </c:ser>
        <c:ser>
          <c:idx val="10"/>
          <c:order val="10"/>
          <c:tx>
            <c:strRef>
              <c:f>results!$A$12</c:f>
              <c:strCache>
                <c:ptCount val="1"/>
                <c:pt idx="0">
                  <c:v>Isopropanol</c:v>
                </c:pt>
              </c:strCache>
            </c:strRef>
          </c:tx>
          <c:spPr>
            <a:solidFill>
              <a:schemeClr val="accent4">
                <a:lumMod val="80000"/>
              </a:schemeClr>
            </a:solidFill>
            <a:ln>
              <a:noFill/>
            </a:ln>
            <a:effectLst/>
          </c:spPr>
          <c:invertIfNegative val="0"/>
          <c:cat>
            <c:strRef>
              <c:f>results!$D$1:$X$1</c:f>
              <c:strCache>
                <c:ptCount val="5"/>
                <c:pt idx="3">
                  <c:v>Carbon footprint</c:v>
                </c:pt>
                <c:pt idx="4">
                  <c:v>Primary energy consumption</c:v>
                </c:pt>
              </c:strCache>
            </c:strRef>
          </c:cat>
          <c:val>
            <c:numRef>
              <c:f>results!$D$12:$X$12</c:f>
              <c:numCache>
                <c:formatCode>General</c:formatCode>
                <c:ptCount val="21"/>
                <c:pt idx="3">
                  <c:v>9.8536232918946171E-2</c:v>
                </c:pt>
                <c:pt idx="4">
                  <c:v>3.2570821583550118</c:v>
                </c:pt>
              </c:numCache>
            </c:numRef>
          </c:val>
          <c:extLst>
            <c:ext xmlns:c16="http://schemas.microsoft.com/office/drawing/2014/chart" uri="{C3380CC4-5D6E-409C-BE32-E72D297353CC}">
              <c16:uniqueId val="{00000006-6813-4582-852E-CA920C39DEDC}"/>
            </c:ext>
          </c:extLst>
        </c:ser>
        <c:ser>
          <c:idx val="11"/>
          <c:order val="11"/>
          <c:tx>
            <c:strRef>
              <c:f>results!$A$13</c:f>
              <c:strCache>
                <c:ptCount val="1"/>
                <c:pt idx="0">
                  <c:v>PTAA solution</c:v>
                </c:pt>
              </c:strCache>
            </c:strRef>
          </c:tx>
          <c:spPr>
            <a:solidFill>
              <a:schemeClr val="accent6">
                <a:lumMod val="80000"/>
              </a:schemeClr>
            </a:solidFill>
            <a:ln>
              <a:noFill/>
            </a:ln>
            <a:effectLst/>
          </c:spPr>
          <c:invertIfNegative val="0"/>
          <c:cat>
            <c:strRef>
              <c:f>results!$D$1:$X$1</c:f>
              <c:strCache>
                <c:ptCount val="5"/>
                <c:pt idx="3">
                  <c:v>Carbon footprint</c:v>
                </c:pt>
                <c:pt idx="4">
                  <c:v>Primary energy consumption</c:v>
                </c:pt>
              </c:strCache>
            </c:strRef>
          </c:cat>
          <c:val>
            <c:numRef>
              <c:f>results!$D$13:$X$13</c:f>
              <c:numCache>
                <c:formatCode>General</c:formatCode>
                <c:ptCount val="21"/>
                <c:pt idx="3">
                  <c:v>4.2266595161539466E-2</c:v>
                </c:pt>
                <c:pt idx="4">
                  <c:v>0.78923824670233655</c:v>
                </c:pt>
              </c:numCache>
            </c:numRef>
          </c:val>
          <c:extLst>
            <c:ext xmlns:c16="http://schemas.microsoft.com/office/drawing/2014/chart" uri="{C3380CC4-5D6E-409C-BE32-E72D297353CC}">
              <c16:uniqueId val="{00000007-6813-4582-852E-CA920C39DEDC}"/>
            </c:ext>
          </c:extLst>
        </c:ser>
        <c:ser>
          <c:idx val="12"/>
          <c:order val="12"/>
          <c:tx>
            <c:strRef>
              <c:f>results!$A$14</c:f>
              <c:strCache>
                <c:ptCount val="1"/>
                <c:pt idx="0">
                  <c:v>Cu</c:v>
                </c:pt>
              </c:strCache>
            </c:strRef>
          </c:tx>
          <c:spPr>
            <a:solidFill>
              <a:schemeClr val="accent2">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results!$D$14:$X$14</c:f>
              <c:numCache>
                <c:formatCode>General</c:formatCode>
                <c:ptCount val="21"/>
                <c:pt idx="3">
                  <c:v>3.7954882559999999E-3</c:v>
                </c:pt>
                <c:pt idx="4">
                  <c:v>5.4579072598579199E-2</c:v>
                </c:pt>
              </c:numCache>
            </c:numRef>
          </c:val>
          <c:extLst>
            <c:ext xmlns:c16="http://schemas.microsoft.com/office/drawing/2014/chart" uri="{C3380CC4-5D6E-409C-BE32-E72D297353CC}">
              <c16:uniqueId val="{00000008-6813-4582-852E-CA920C39DEDC}"/>
            </c:ext>
          </c:extLst>
        </c:ser>
        <c:ser>
          <c:idx val="13"/>
          <c:order val="13"/>
          <c:tx>
            <c:strRef>
              <c:f>results!$A$15</c:f>
              <c:strCache>
                <c:ptCount val="1"/>
                <c:pt idx="0">
                  <c:v>Ar</c:v>
                </c:pt>
              </c:strCache>
            </c:strRef>
          </c:tx>
          <c:spPr>
            <a:solidFill>
              <a:schemeClr val="accent4">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results!$D$15:$X$15</c:f>
              <c:numCache>
                <c:formatCode>General</c:formatCode>
                <c:ptCount val="21"/>
                <c:pt idx="3">
                  <c:v>0.29058656969696967</c:v>
                </c:pt>
                <c:pt idx="4">
                  <c:v>4.3659558183030303</c:v>
                </c:pt>
              </c:numCache>
            </c:numRef>
          </c:val>
          <c:extLst>
            <c:ext xmlns:c16="http://schemas.microsoft.com/office/drawing/2014/chart" uri="{C3380CC4-5D6E-409C-BE32-E72D297353CC}">
              <c16:uniqueId val="{00000009-6813-4582-852E-CA920C39DEDC}"/>
            </c:ext>
          </c:extLst>
        </c:ser>
        <c:ser>
          <c:idx val="14"/>
          <c:order val="14"/>
          <c:tx>
            <c:strRef>
              <c:f>results!$A$16</c:f>
              <c:strCache>
                <c:ptCount val="1"/>
                <c:pt idx="0">
                  <c:v>O₂</c:v>
                </c:pt>
              </c:strCache>
            </c:strRef>
          </c:tx>
          <c:spPr>
            <a:solidFill>
              <a:schemeClr val="accent6">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results!$D$16:$X$16</c:f>
              <c:numCache>
                <c:formatCode>General</c:formatCode>
                <c:ptCount val="21"/>
                <c:pt idx="3">
                  <c:v>1.2806957575757575E-4</c:v>
                </c:pt>
                <c:pt idx="4">
                  <c:v>1.7448388645818179E-3</c:v>
                </c:pt>
              </c:numCache>
            </c:numRef>
          </c:val>
          <c:extLst>
            <c:ext xmlns:c16="http://schemas.microsoft.com/office/drawing/2014/chart" uri="{C3380CC4-5D6E-409C-BE32-E72D297353CC}">
              <c16:uniqueId val="{0000000A-6813-4582-852E-CA920C39DEDC}"/>
            </c:ext>
          </c:extLst>
        </c:ser>
        <c:ser>
          <c:idx val="15"/>
          <c:order val="15"/>
          <c:tx>
            <c:strRef>
              <c:f>results!$A$17</c:f>
              <c:strCache>
                <c:ptCount val="1"/>
                <c:pt idx="0">
                  <c:v>Adhesive</c:v>
                </c:pt>
              </c:strCache>
            </c:strRef>
          </c:tx>
          <c:spPr>
            <a:solidFill>
              <a:schemeClr val="accent2">
                <a:lumMod val="50000"/>
              </a:schemeClr>
            </a:solidFill>
            <a:ln>
              <a:noFill/>
            </a:ln>
            <a:effectLst/>
          </c:spPr>
          <c:invertIfNegative val="0"/>
          <c:cat>
            <c:strRef>
              <c:f>results!$D$1:$X$1</c:f>
              <c:strCache>
                <c:ptCount val="5"/>
                <c:pt idx="3">
                  <c:v>Carbon footprint</c:v>
                </c:pt>
                <c:pt idx="4">
                  <c:v>Primary energy consumption</c:v>
                </c:pt>
              </c:strCache>
            </c:strRef>
          </c:cat>
          <c:val>
            <c:numRef>
              <c:f>results!$D$17:$X$17</c:f>
              <c:numCache>
                <c:formatCode>General</c:formatCode>
                <c:ptCount val="21"/>
                <c:pt idx="3">
                  <c:v>5.8513339999999997E-2</c:v>
                </c:pt>
                <c:pt idx="4">
                  <c:v>1.121768096012</c:v>
                </c:pt>
              </c:numCache>
            </c:numRef>
          </c:val>
          <c:extLst>
            <c:ext xmlns:c16="http://schemas.microsoft.com/office/drawing/2014/chart" uri="{C3380CC4-5D6E-409C-BE32-E72D297353CC}">
              <c16:uniqueId val="{0000000B-6813-4582-852E-CA920C39DEDC}"/>
            </c:ext>
          </c:extLst>
        </c:ser>
        <c:ser>
          <c:idx val="16"/>
          <c:order val="16"/>
          <c:tx>
            <c:strRef>
              <c:f>results!$A$18</c:f>
              <c:strCache>
                <c:ptCount val="1"/>
                <c:pt idx="0">
                  <c:v>PET</c:v>
                </c:pt>
              </c:strCache>
            </c:strRef>
          </c:tx>
          <c:spPr>
            <a:solidFill>
              <a:schemeClr val="accent4">
                <a:lumMod val="50000"/>
              </a:schemeClr>
            </a:solidFill>
            <a:ln>
              <a:noFill/>
            </a:ln>
            <a:effectLst/>
          </c:spPr>
          <c:invertIfNegative val="0"/>
          <c:cat>
            <c:strRef>
              <c:f>results!$D$1:$X$1</c:f>
              <c:strCache>
                <c:ptCount val="5"/>
                <c:pt idx="3">
                  <c:v>Carbon footprint</c:v>
                </c:pt>
                <c:pt idx="4">
                  <c:v>Primary energy consumption</c:v>
                </c:pt>
              </c:strCache>
            </c:strRef>
          </c:cat>
          <c:val>
            <c:numRef>
              <c:f>results!$D$18:$X$18</c:f>
              <c:numCache>
                <c:formatCode>General</c:formatCode>
                <c:ptCount val="21"/>
                <c:pt idx="3">
                  <c:v>0.19433649</c:v>
                </c:pt>
                <c:pt idx="4">
                  <c:v>4.876431431436</c:v>
                </c:pt>
              </c:numCache>
            </c:numRef>
          </c:val>
          <c:extLst>
            <c:ext xmlns:c16="http://schemas.microsoft.com/office/drawing/2014/chart" uri="{C3380CC4-5D6E-409C-BE32-E72D297353CC}">
              <c16:uniqueId val="{0000000C-6813-4582-852E-CA920C39DEDC}"/>
            </c:ext>
          </c:extLst>
        </c:ser>
        <c:ser>
          <c:idx val="17"/>
          <c:order val="17"/>
          <c:tx>
            <c:strRef>
              <c:f>results!$A$20</c:f>
              <c:strCache>
                <c:ptCount val="1"/>
                <c:pt idx="0">
                  <c:v>Spray pyrolysis</c:v>
                </c:pt>
              </c:strCache>
            </c:strRef>
          </c:tx>
          <c:spPr>
            <a:solidFill>
              <a:schemeClr val="accent6">
                <a:lumMod val="50000"/>
              </a:schemeClr>
            </a:solidFill>
            <a:ln>
              <a:noFill/>
            </a:ln>
            <a:effectLst/>
          </c:spPr>
          <c:invertIfNegative val="0"/>
          <c:cat>
            <c:strRef>
              <c:f>results!$D$1:$X$1</c:f>
              <c:strCache>
                <c:ptCount val="5"/>
                <c:pt idx="3">
                  <c:v>Carbon footprint</c:v>
                </c:pt>
                <c:pt idx="4">
                  <c:v>Primary energy consumption</c:v>
                </c:pt>
              </c:strCache>
            </c:strRef>
          </c:cat>
          <c:val>
            <c:numRef>
              <c:f>results!$D$20:$X$20</c:f>
              <c:numCache>
                <c:formatCode>General</c:formatCode>
                <c:ptCount val="21"/>
                <c:pt idx="3">
                  <c:v>4.1750057176257169E-5</c:v>
                </c:pt>
                <c:pt idx="4">
                  <c:v>7.3462520841565228E-4</c:v>
                </c:pt>
              </c:numCache>
            </c:numRef>
          </c:val>
          <c:extLst>
            <c:ext xmlns:c16="http://schemas.microsoft.com/office/drawing/2014/chart" uri="{C3380CC4-5D6E-409C-BE32-E72D297353CC}">
              <c16:uniqueId val="{0000000D-6813-4582-852E-CA920C39DEDC}"/>
            </c:ext>
          </c:extLst>
        </c:ser>
        <c:ser>
          <c:idx val="18"/>
          <c:order val="18"/>
          <c:tx>
            <c:strRef>
              <c:f>results!$A$21</c:f>
              <c:strCache>
                <c:ptCount val="1"/>
                <c:pt idx="0">
                  <c:v>ETL slot-die coating</c:v>
                </c:pt>
              </c:strCache>
            </c:strRef>
          </c:tx>
          <c:spPr>
            <a:solidFill>
              <a:schemeClr val="accent2">
                <a:lumMod val="70000"/>
                <a:lumOff val="30000"/>
              </a:schemeClr>
            </a:solidFill>
            <a:ln>
              <a:noFill/>
            </a:ln>
            <a:effectLst/>
          </c:spPr>
          <c:invertIfNegative val="0"/>
          <c:cat>
            <c:strRef>
              <c:f>results!$D$1:$X$1</c:f>
              <c:strCache>
                <c:ptCount val="5"/>
                <c:pt idx="3">
                  <c:v>Carbon footprint</c:v>
                </c:pt>
                <c:pt idx="4">
                  <c:v>Primary energy consumption</c:v>
                </c:pt>
              </c:strCache>
            </c:strRef>
          </c:cat>
          <c:val>
            <c:numRef>
              <c:f>results!$D$21:$X$21</c:f>
              <c:numCache>
                <c:formatCode>General</c:formatCode>
                <c:ptCount val="21"/>
                <c:pt idx="3">
                  <c:v>1.4790000011831994E-3</c:v>
                </c:pt>
                <c:pt idx="4">
                  <c:v>2.6024172362902664E-2</c:v>
                </c:pt>
              </c:numCache>
            </c:numRef>
          </c:val>
          <c:extLst>
            <c:ext xmlns:c16="http://schemas.microsoft.com/office/drawing/2014/chart" uri="{C3380CC4-5D6E-409C-BE32-E72D297353CC}">
              <c16:uniqueId val="{0000000E-6813-4582-852E-CA920C39DEDC}"/>
            </c:ext>
          </c:extLst>
        </c:ser>
        <c:ser>
          <c:idx val="19"/>
          <c:order val="19"/>
          <c:tx>
            <c:strRef>
              <c:f>results!$A$22</c:f>
              <c:strCache>
                <c:ptCount val="1"/>
                <c:pt idx="0">
                  <c:v>ETL calcining</c:v>
                </c:pt>
              </c:strCache>
            </c:strRef>
          </c:tx>
          <c:spPr>
            <a:solidFill>
              <a:schemeClr val="accent4">
                <a:lumMod val="70000"/>
                <a:lumOff val="30000"/>
              </a:schemeClr>
            </a:solidFill>
            <a:ln>
              <a:noFill/>
            </a:ln>
            <a:effectLst/>
          </c:spPr>
          <c:invertIfNegative val="0"/>
          <c:cat>
            <c:strRef>
              <c:f>results!$D$1:$X$1</c:f>
              <c:strCache>
                <c:ptCount val="5"/>
                <c:pt idx="3">
                  <c:v>Carbon footprint</c:v>
                </c:pt>
                <c:pt idx="4">
                  <c:v>Primary energy consumption</c:v>
                </c:pt>
              </c:strCache>
            </c:strRef>
          </c:cat>
          <c:val>
            <c:numRef>
              <c:f>results!$D$22:$X$22</c:f>
              <c:numCache>
                <c:formatCode>General</c:formatCode>
                <c:ptCount val="21"/>
                <c:pt idx="3">
                  <c:v>3.0425142881482956</c:v>
                </c:pt>
                <c:pt idx="4">
                  <c:v>53.535440289399759</c:v>
                </c:pt>
              </c:numCache>
            </c:numRef>
          </c:val>
          <c:extLst>
            <c:ext xmlns:c16="http://schemas.microsoft.com/office/drawing/2014/chart" uri="{C3380CC4-5D6E-409C-BE32-E72D297353CC}">
              <c16:uniqueId val="{0000000F-6813-4582-852E-CA920C39DEDC}"/>
            </c:ext>
          </c:extLst>
        </c:ser>
        <c:ser>
          <c:idx val="20"/>
          <c:order val="20"/>
          <c:tx>
            <c:strRef>
              <c:f>results!$A$23</c:f>
              <c:strCache>
                <c:ptCount val="1"/>
                <c:pt idx="0">
                  <c:v>PL 1st-step slot-die coating</c:v>
                </c:pt>
              </c:strCache>
            </c:strRef>
          </c:tx>
          <c:spPr>
            <a:solidFill>
              <a:schemeClr val="accent6">
                <a:lumMod val="70000"/>
                <a:lumOff val="30000"/>
              </a:schemeClr>
            </a:solidFill>
            <a:ln>
              <a:noFill/>
            </a:ln>
            <a:effectLst/>
          </c:spPr>
          <c:invertIfNegative val="0"/>
          <c:cat>
            <c:strRef>
              <c:f>results!$D$1:$X$1</c:f>
              <c:strCache>
                <c:ptCount val="5"/>
                <c:pt idx="3">
                  <c:v>Carbon footprint</c:v>
                </c:pt>
                <c:pt idx="4">
                  <c:v>Primary energy consumption</c:v>
                </c:pt>
              </c:strCache>
            </c:strRef>
          </c:cat>
          <c:val>
            <c:numRef>
              <c:f>results!$D$23:$X$23</c:f>
              <c:numCache>
                <c:formatCode>General</c:formatCode>
                <c:ptCount val="21"/>
                <c:pt idx="3">
                  <c:v>2.1128571445474281E-2</c:v>
                </c:pt>
                <c:pt idx="4">
                  <c:v>0.37177389089860957</c:v>
                </c:pt>
              </c:numCache>
            </c:numRef>
          </c:val>
          <c:extLst>
            <c:ext xmlns:c16="http://schemas.microsoft.com/office/drawing/2014/chart" uri="{C3380CC4-5D6E-409C-BE32-E72D297353CC}">
              <c16:uniqueId val="{00000010-6813-4582-852E-CA920C39DEDC}"/>
            </c:ext>
          </c:extLst>
        </c:ser>
        <c:ser>
          <c:idx val="21"/>
          <c:order val="21"/>
          <c:tx>
            <c:strRef>
              <c:f>results!$A$24</c:f>
              <c:strCache>
                <c:ptCount val="1"/>
                <c:pt idx="0">
                  <c:v>PL 2nd-step slot-die coating</c:v>
                </c:pt>
              </c:strCache>
            </c:strRef>
          </c:tx>
          <c:spPr>
            <a:solidFill>
              <a:schemeClr val="accent2">
                <a:lumMod val="70000"/>
              </a:schemeClr>
            </a:solidFill>
            <a:ln>
              <a:noFill/>
            </a:ln>
            <a:effectLst/>
          </c:spPr>
          <c:invertIfNegative val="0"/>
          <c:cat>
            <c:strRef>
              <c:f>results!$D$1:$X$1</c:f>
              <c:strCache>
                <c:ptCount val="5"/>
                <c:pt idx="3">
                  <c:v>Carbon footprint</c:v>
                </c:pt>
                <c:pt idx="4">
                  <c:v>Primary energy consumption</c:v>
                </c:pt>
              </c:strCache>
            </c:strRef>
          </c:cat>
          <c:val>
            <c:numRef>
              <c:f>results!$D$24:$X$24</c:f>
              <c:numCache>
                <c:formatCode>General</c:formatCode>
                <c:ptCount val="21"/>
                <c:pt idx="3">
                  <c:v>2.1128571445474281E-2</c:v>
                </c:pt>
                <c:pt idx="4">
                  <c:v>0.37177389089860957</c:v>
                </c:pt>
              </c:numCache>
            </c:numRef>
          </c:val>
          <c:extLst>
            <c:ext xmlns:c16="http://schemas.microsoft.com/office/drawing/2014/chart" uri="{C3380CC4-5D6E-409C-BE32-E72D297353CC}">
              <c16:uniqueId val="{00000011-6813-4582-852E-CA920C39DEDC}"/>
            </c:ext>
          </c:extLst>
        </c:ser>
        <c:ser>
          <c:idx val="22"/>
          <c:order val="22"/>
          <c:tx>
            <c:strRef>
              <c:f>results!$A$25</c:f>
              <c:strCache>
                <c:ptCount val="1"/>
                <c:pt idx="0">
                  <c:v>PL 1st-step drying</c:v>
                </c:pt>
              </c:strCache>
            </c:strRef>
          </c:tx>
          <c:spPr>
            <a:solidFill>
              <a:schemeClr val="accent4">
                <a:lumMod val="70000"/>
              </a:schemeClr>
            </a:solidFill>
            <a:ln>
              <a:noFill/>
            </a:ln>
            <a:effectLst/>
          </c:spPr>
          <c:invertIfNegative val="0"/>
          <c:cat>
            <c:strRef>
              <c:f>results!$D$1:$X$1</c:f>
              <c:strCache>
                <c:ptCount val="5"/>
                <c:pt idx="3">
                  <c:v>Carbon footprint</c:v>
                </c:pt>
                <c:pt idx="4">
                  <c:v>Primary energy consumption</c:v>
                </c:pt>
              </c:strCache>
            </c:strRef>
          </c:cat>
          <c:val>
            <c:numRef>
              <c:f>results!$D$25:$X$25</c:f>
              <c:numCache>
                <c:formatCode>General</c:formatCode>
                <c:ptCount val="21"/>
                <c:pt idx="3">
                  <c:v>3.0425142881482961</c:v>
                </c:pt>
                <c:pt idx="4">
                  <c:v>53.535440289399773</c:v>
                </c:pt>
              </c:numCache>
            </c:numRef>
          </c:val>
          <c:extLst>
            <c:ext xmlns:c16="http://schemas.microsoft.com/office/drawing/2014/chart" uri="{C3380CC4-5D6E-409C-BE32-E72D297353CC}">
              <c16:uniqueId val="{00000012-6813-4582-852E-CA920C39DEDC}"/>
            </c:ext>
          </c:extLst>
        </c:ser>
        <c:ser>
          <c:idx val="23"/>
          <c:order val="23"/>
          <c:tx>
            <c:strRef>
              <c:f>results!$A$26</c:f>
              <c:strCache>
                <c:ptCount val="1"/>
                <c:pt idx="0">
                  <c:v>PL 2nd-step drying</c:v>
                </c:pt>
              </c:strCache>
            </c:strRef>
          </c:tx>
          <c:spPr>
            <a:solidFill>
              <a:schemeClr val="accent6">
                <a:lumMod val="70000"/>
              </a:schemeClr>
            </a:solidFill>
            <a:ln>
              <a:noFill/>
            </a:ln>
            <a:effectLst/>
          </c:spPr>
          <c:invertIfNegative val="0"/>
          <c:cat>
            <c:strRef>
              <c:f>results!$D$1:$X$1</c:f>
              <c:strCache>
                <c:ptCount val="5"/>
                <c:pt idx="3">
                  <c:v>Carbon footprint</c:v>
                </c:pt>
                <c:pt idx="4">
                  <c:v>Primary energy consumption</c:v>
                </c:pt>
              </c:strCache>
            </c:strRef>
          </c:cat>
          <c:val>
            <c:numRef>
              <c:f>results!$D$26:$X$26</c:f>
              <c:numCache>
                <c:formatCode>General</c:formatCode>
                <c:ptCount val="21"/>
                <c:pt idx="3">
                  <c:v>4.5637714322224454</c:v>
                </c:pt>
                <c:pt idx="4">
                  <c:v>80.303160434099667</c:v>
                </c:pt>
              </c:numCache>
            </c:numRef>
          </c:val>
          <c:extLst>
            <c:ext xmlns:c16="http://schemas.microsoft.com/office/drawing/2014/chart" uri="{C3380CC4-5D6E-409C-BE32-E72D297353CC}">
              <c16:uniqueId val="{00000013-6813-4582-852E-CA920C39DEDC}"/>
            </c:ext>
          </c:extLst>
        </c:ser>
        <c:ser>
          <c:idx val="24"/>
          <c:order val="24"/>
          <c:tx>
            <c:strRef>
              <c:f>results!$A$27</c:f>
              <c:strCache>
                <c:ptCount val="1"/>
                <c:pt idx="0">
                  <c:v>PL annealing</c:v>
                </c:pt>
              </c:strCache>
            </c:strRef>
          </c:tx>
          <c:spPr>
            <a:solidFill>
              <a:schemeClr val="accent2">
                <a:lumMod val="50000"/>
                <a:lumOff val="50000"/>
              </a:schemeClr>
            </a:solidFill>
            <a:ln>
              <a:noFill/>
            </a:ln>
            <a:effectLst/>
          </c:spPr>
          <c:invertIfNegative val="0"/>
          <c:cat>
            <c:strRef>
              <c:f>results!$D$1:$X$1</c:f>
              <c:strCache>
                <c:ptCount val="5"/>
                <c:pt idx="3">
                  <c:v>Carbon footprint</c:v>
                </c:pt>
                <c:pt idx="4">
                  <c:v>Primary energy consumption</c:v>
                </c:pt>
              </c:strCache>
            </c:strRef>
          </c:cat>
          <c:val>
            <c:numRef>
              <c:f>results!$D$27:$X$27</c:f>
              <c:numCache>
                <c:formatCode>General</c:formatCode>
                <c:ptCount val="21"/>
                <c:pt idx="3">
                  <c:v>3.0425142881482961</c:v>
                </c:pt>
                <c:pt idx="4">
                  <c:v>53.535440289399773</c:v>
                </c:pt>
              </c:numCache>
            </c:numRef>
          </c:val>
          <c:extLst>
            <c:ext xmlns:c16="http://schemas.microsoft.com/office/drawing/2014/chart" uri="{C3380CC4-5D6E-409C-BE32-E72D297353CC}">
              <c16:uniqueId val="{00000014-6813-4582-852E-CA920C39DEDC}"/>
            </c:ext>
          </c:extLst>
        </c:ser>
        <c:ser>
          <c:idx val="25"/>
          <c:order val="25"/>
          <c:tx>
            <c:strRef>
              <c:f>results!$A$28</c:f>
              <c:strCache>
                <c:ptCount val="1"/>
                <c:pt idx="0">
                  <c:v>HTL slot-die coating</c:v>
                </c:pt>
              </c:strCache>
            </c:strRef>
          </c:tx>
          <c:spPr>
            <a:solidFill>
              <a:schemeClr val="accent4">
                <a:lumMod val="50000"/>
                <a:lumOff val="50000"/>
              </a:schemeClr>
            </a:solidFill>
            <a:ln>
              <a:noFill/>
            </a:ln>
            <a:effectLst/>
          </c:spPr>
          <c:invertIfNegative val="0"/>
          <c:cat>
            <c:strRef>
              <c:f>results!$D$1:$X$1</c:f>
              <c:strCache>
                <c:ptCount val="5"/>
                <c:pt idx="3">
                  <c:v>Carbon footprint</c:v>
                </c:pt>
                <c:pt idx="4">
                  <c:v>Primary energy consumption</c:v>
                </c:pt>
              </c:strCache>
            </c:strRef>
          </c:cat>
          <c:val>
            <c:numRef>
              <c:f>results!$D$28:$X$28</c:f>
              <c:numCache>
                <c:formatCode>General</c:formatCode>
                <c:ptCount val="21"/>
                <c:pt idx="3">
                  <c:v>9.8600000078879993E-2</c:v>
                </c:pt>
                <c:pt idx="4">
                  <c:v>1.7349448241935115</c:v>
                </c:pt>
              </c:numCache>
            </c:numRef>
          </c:val>
          <c:extLst>
            <c:ext xmlns:c16="http://schemas.microsoft.com/office/drawing/2014/chart" uri="{C3380CC4-5D6E-409C-BE32-E72D297353CC}">
              <c16:uniqueId val="{00000015-6813-4582-852E-CA920C39DEDC}"/>
            </c:ext>
          </c:extLst>
        </c:ser>
        <c:ser>
          <c:idx val="26"/>
          <c:order val="26"/>
          <c:tx>
            <c:strRef>
              <c:f>results!$A$29</c:f>
              <c:strCache>
                <c:ptCount val="1"/>
                <c:pt idx="0">
                  <c:v>Electrode sputtering</c:v>
                </c:pt>
              </c:strCache>
            </c:strRef>
          </c:tx>
          <c:spPr>
            <a:solidFill>
              <a:schemeClr val="accent6">
                <a:lumMod val="50000"/>
                <a:lumOff val="50000"/>
              </a:schemeClr>
            </a:solidFill>
            <a:ln>
              <a:noFill/>
            </a:ln>
            <a:effectLst/>
          </c:spPr>
          <c:invertIfNegative val="0"/>
          <c:cat>
            <c:strRef>
              <c:f>results!$D$1:$X$1</c:f>
              <c:strCache>
                <c:ptCount val="5"/>
                <c:pt idx="3">
                  <c:v>Carbon footprint</c:v>
                </c:pt>
                <c:pt idx="4">
                  <c:v>Primary energy consumption</c:v>
                </c:pt>
              </c:strCache>
            </c:strRef>
          </c:cat>
          <c:val>
            <c:numRef>
              <c:f>results!$D$29:$X$29</c:f>
              <c:numCache>
                <c:formatCode>General</c:formatCode>
                <c:ptCount val="21"/>
                <c:pt idx="3">
                  <c:v>5.5216000044172793</c:v>
                </c:pt>
                <c:pt idx="4">
                  <c:v>97.156910154836652</c:v>
                </c:pt>
              </c:numCache>
            </c:numRef>
          </c:val>
          <c:extLst>
            <c:ext xmlns:c16="http://schemas.microsoft.com/office/drawing/2014/chart" uri="{C3380CC4-5D6E-409C-BE32-E72D297353CC}">
              <c16:uniqueId val="{00000016-6813-4582-852E-CA920C39DEDC}"/>
            </c:ext>
          </c:extLst>
        </c:ser>
        <c:ser>
          <c:idx val="27"/>
          <c:order val="27"/>
          <c:tx>
            <c:strRef>
              <c:f>results!$A$30</c:f>
              <c:strCache>
                <c:ptCount val="1"/>
                <c:pt idx="0">
                  <c:v>Lamination</c:v>
                </c:pt>
              </c:strCache>
            </c:strRef>
          </c:tx>
          <c:spPr>
            <a:solidFill>
              <a:schemeClr val="accent2"/>
            </a:solidFill>
            <a:ln>
              <a:noFill/>
            </a:ln>
            <a:effectLst/>
          </c:spPr>
          <c:invertIfNegative val="0"/>
          <c:cat>
            <c:strRef>
              <c:f>results!$D$1:$X$1</c:f>
              <c:strCache>
                <c:ptCount val="5"/>
                <c:pt idx="3">
                  <c:v>Carbon footprint</c:v>
                </c:pt>
                <c:pt idx="4">
                  <c:v>Primary energy consumption</c:v>
                </c:pt>
              </c:strCache>
            </c:strRef>
          </c:cat>
          <c:val>
            <c:numRef>
              <c:f>results!$D$30:$X$30</c:f>
              <c:numCache>
                <c:formatCode>General</c:formatCode>
                <c:ptCount val="21"/>
                <c:pt idx="3">
                  <c:v>8.8740000070991979E-3</c:v>
                </c:pt>
                <c:pt idx="4">
                  <c:v>0.15614503417741601</c:v>
                </c:pt>
              </c:numCache>
            </c:numRef>
          </c:val>
          <c:extLst>
            <c:ext xmlns:c16="http://schemas.microsoft.com/office/drawing/2014/chart" uri="{C3380CC4-5D6E-409C-BE32-E72D297353CC}">
              <c16:uniqueId val="{00000017-6813-4582-852E-CA920C39DEDC}"/>
            </c:ext>
          </c:extLst>
        </c:ser>
        <c:ser>
          <c:idx val="28"/>
          <c:order val="28"/>
          <c:tx>
            <c:strRef>
              <c:f>results!$A$31</c:f>
              <c:strCache>
                <c:ptCount val="1"/>
                <c:pt idx="0">
                  <c:v>Direct emissions</c:v>
                </c:pt>
              </c:strCache>
            </c:strRef>
          </c:tx>
          <c:spPr>
            <a:solidFill>
              <a:schemeClr val="accent4"/>
            </a:solidFill>
            <a:ln>
              <a:noFill/>
            </a:ln>
            <a:effectLst/>
          </c:spPr>
          <c:invertIfNegative val="0"/>
          <c:cat>
            <c:strRef>
              <c:f>results!$D$1:$X$1</c:f>
              <c:strCache>
                <c:ptCount val="5"/>
                <c:pt idx="3">
                  <c:v>Carbon footprint</c:v>
                </c:pt>
                <c:pt idx="4">
                  <c:v>Primary energy consumption</c:v>
                </c:pt>
              </c:strCache>
            </c:strRef>
          </c:cat>
          <c:val>
            <c:numRef>
              <c:f>results!$D$31:$X$31</c:f>
              <c:numCache>
                <c:formatCode>General</c:formatCode>
                <c:ptCount val="21"/>
                <c:pt idx="3">
                  <c:v>0</c:v>
                </c:pt>
                <c:pt idx="4">
                  <c:v>0</c:v>
                </c:pt>
              </c:numCache>
            </c:numRef>
          </c:val>
          <c:extLst>
            <c:ext xmlns:c16="http://schemas.microsoft.com/office/drawing/2014/chart" uri="{C3380CC4-5D6E-409C-BE32-E72D297353CC}">
              <c16:uniqueId val="{00000018-6813-4582-852E-CA920C39DEDC}"/>
            </c:ext>
          </c:extLst>
        </c:ser>
        <c:ser>
          <c:idx val="29"/>
          <c:order val="29"/>
          <c:tx>
            <c:strRef>
              <c:f>results!$A$32</c:f>
              <c:strCache>
                <c:ptCount val="1"/>
                <c:pt idx="0">
                  <c:v>Treatment</c:v>
                </c:pt>
              </c:strCache>
            </c:strRef>
          </c:tx>
          <c:spPr>
            <a:solidFill>
              <a:schemeClr val="accent6"/>
            </a:solidFill>
            <a:ln>
              <a:noFill/>
            </a:ln>
            <a:effectLst/>
          </c:spPr>
          <c:invertIfNegative val="0"/>
          <c:cat>
            <c:strRef>
              <c:f>results!$D$1:$X$1</c:f>
              <c:strCache>
                <c:ptCount val="5"/>
                <c:pt idx="3">
                  <c:v>Carbon footprint</c:v>
                </c:pt>
                <c:pt idx="4">
                  <c:v>Primary energy consumption</c:v>
                </c:pt>
              </c:strCache>
            </c:strRef>
          </c:cat>
          <c:val>
            <c:numRef>
              <c:f>results!$D$32:$X$32</c:f>
              <c:numCache>
                <c:formatCode>General</c:formatCode>
                <c:ptCount val="21"/>
                <c:pt idx="3">
                  <c:v>1.2757696199999999E-4</c:v>
                </c:pt>
                <c:pt idx="4">
                  <c:v>1.0661210680980003E-3</c:v>
                </c:pt>
              </c:numCache>
            </c:numRef>
          </c:val>
          <c:extLst>
            <c:ext xmlns:c16="http://schemas.microsoft.com/office/drawing/2014/chart" uri="{C3380CC4-5D6E-409C-BE32-E72D297353CC}">
              <c16:uniqueId val="{00000019-6813-4582-852E-CA920C39DEDC}"/>
            </c:ext>
          </c:extLst>
        </c:ser>
        <c:ser>
          <c:idx val="30"/>
          <c:order val="30"/>
          <c:tx>
            <c:strRef>
              <c:f>results!$A$33</c:f>
              <c:strCache>
                <c:ptCount val="1"/>
                <c:pt idx="0">
                  <c:v>End of life</c:v>
                </c:pt>
              </c:strCache>
            </c:strRef>
          </c:tx>
          <c:spPr>
            <a:solidFill>
              <a:schemeClr val="accent2">
                <a:lumMod val="60000"/>
              </a:schemeClr>
            </a:solidFill>
            <a:ln>
              <a:noFill/>
            </a:ln>
            <a:effectLst/>
          </c:spPr>
          <c:invertIfNegative val="0"/>
          <c:cat>
            <c:strRef>
              <c:f>results!$D$1:$X$1</c:f>
              <c:strCache>
                <c:ptCount val="5"/>
                <c:pt idx="3">
                  <c:v>Carbon footprint</c:v>
                </c:pt>
                <c:pt idx="4">
                  <c:v>Primary energy consumption</c:v>
                </c:pt>
              </c:strCache>
            </c:strRef>
          </c:cat>
          <c:val>
            <c:numRef>
              <c:f>results!$D$33:$X$33</c:f>
              <c:numCache>
                <c:formatCode>General</c:formatCode>
                <c:ptCount val="21"/>
                <c:pt idx="3">
                  <c:v>6.2954943647999988</c:v>
                </c:pt>
                <c:pt idx="4">
                  <c:v>102.3232979508053</c:v>
                </c:pt>
              </c:numCache>
            </c:numRef>
          </c:val>
          <c:extLst>
            <c:ext xmlns:c16="http://schemas.microsoft.com/office/drawing/2014/chart" uri="{C3380CC4-5D6E-409C-BE32-E72D297353CC}">
              <c16:uniqueId val="{0000001A-6813-4582-852E-CA920C39DEDC}"/>
            </c:ext>
          </c:extLst>
        </c:ser>
        <c:dLbls>
          <c:showLegendKey val="0"/>
          <c:showVal val="0"/>
          <c:showCatName val="0"/>
          <c:showSerName val="0"/>
          <c:showPercent val="0"/>
          <c:showBubbleSize val="0"/>
        </c:dLbls>
        <c:gapWidth val="150"/>
        <c:overlap val="100"/>
        <c:axId val="1595515343"/>
        <c:axId val="1555299615"/>
      </c:barChart>
      <c:catAx>
        <c:axId val="159551534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299615"/>
        <c:crosses val="autoZero"/>
        <c:auto val="1"/>
        <c:lblAlgn val="ctr"/>
        <c:lblOffset val="100"/>
        <c:noMultiLvlLbl val="0"/>
      </c:catAx>
      <c:valAx>
        <c:axId val="1555299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515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529418197725279"/>
          <c:y val="0"/>
          <c:w val="0.53888888888888886"/>
          <c:h val="0.8981481481481481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42C-414D-8CB6-40513DD76F1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42C-414D-8CB6-40513DD76F1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42C-414D-8CB6-40513DD76F1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42C-414D-8CB6-40513DD76F1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42C-414D-8CB6-40513DD76F1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42C-414D-8CB6-40513DD76F1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42C-414D-8CB6-40513DD76F1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42C-414D-8CB6-40513DD76F1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42C-414D-8CB6-40513DD76F1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42C-414D-8CB6-40513DD76F1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42C-414D-8CB6-40513DD76F1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42C-414D-8CB6-40513DD76F1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42C-414D-8CB6-40513DD76F1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42C-414D-8CB6-40513DD76F1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42C-414D-8CB6-40513DD76F1E}"/>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EAF-4D73-97EC-89FDB28A94AF}"/>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EAF-4D73-97EC-89FDB28A94AF}"/>
              </c:ext>
            </c:extLst>
          </c:dPt>
          <c:cat>
            <c:strRef>
              <c:f>results!$A$2:$A$18</c:f>
              <c:strCache>
                <c:ptCount val="17"/>
                <c:pt idx="0">
                  <c:v>FTO glass</c:v>
                </c:pt>
                <c:pt idx="1">
                  <c:v>BL-TiO₂ ink</c:v>
                </c:pt>
                <c:pt idx="2">
                  <c:v>MP-TiO₂</c:v>
                </c:pt>
                <c:pt idx="3">
                  <c:v>2-methoxyethanol</c:v>
                </c:pt>
                <c:pt idx="4">
                  <c:v>PbI₂</c:v>
                </c:pt>
                <c:pt idx="5">
                  <c:v>PbBr₂</c:v>
                </c:pt>
                <c:pt idx="6">
                  <c:v>FAI</c:v>
                </c:pt>
                <c:pt idx="7">
                  <c:v>MABr</c:v>
                </c:pt>
                <c:pt idx="8">
                  <c:v>DMF</c:v>
                </c:pt>
                <c:pt idx="9">
                  <c:v>DMSO</c:v>
                </c:pt>
                <c:pt idx="10">
                  <c:v>Isopropanol</c:v>
                </c:pt>
                <c:pt idx="11">
                  <c:v>PTAA solution</c:v>
                </c:pt>
                <c:pt idx="12">
                  <c:v>Cu</c:v>
                </c:pt>
                <c:pt idx="13">
                  <c:v>Ar</c:v>
                </c:pt>
                <c:pt idx="14">
                  <c:v>O₂</c:v>
                </c:pt>
                <c:pt idx="15">
                  <c:v>Adhesive</c:v>
                </c:pt>
                <c:pt idx="16">
                  <c:v>PET</c:v>
                </c:pt>
              </c:strCache>
            </c:strRef>
          </c:cat>
          <c:val>
            <c:numRef>
              <c:f>results!$C$2:$C$18</c:f>
              <c:numCache>
                <c:formatCode>General</c:formatCode>
                <c:ptCount val="17"/>
                <c:pt idx="0">
                  <c:v>8.5029036949120105</c:v>
                </c:pt>
                <c:pt idx="1">
                  <c:v>6.1700956254785687E-2</c:v>
                </c:pt>
                <c:pt idx="2">
                  <c:v>4.6809738838835997E-3</c:v>
                </c:pt>
                <c:pt idx="3">
                  <c:v>1.6125322627587774E-2</c:v>
                </c:pt>
                <c:pt idx="4">
                  <c:v>4.1638537323627607E-2</c:v>
                </c:pt>
                <c:pt idx="5">
                  <c:v>7.9057775962192297E-4</c:v>
                </c:pt>
                <c:pt idx="6">
                  <c:v>0.35631319119228022</c:v>
                </c:pt>
                <c:pt idx="7">
                  <c:v>1.9630136677403471</c:v>
                </c:pt>
                <c:pt idx="8">
                  <c:v>7.5556306550594685E-2</c:v>
                </c:pt>
                <c:pt idx="9">
                  <c:v>1.6499999309507574E-2</c:v>
                </c:pt>
                <c:pt idx="10">
                  <c:v>3.2570821583550118</c:v>
                </c:pt>
                <c:pt idx="11">
                  <c:v>0.78923824670233655</c:v>
                </c:pt>
                <c:pt idx="12">
                  <c:v>5.4579072598579199E-2</c:v>
                </c:pt>
                <c:pt idx="13">
                  <c:v>4.3659558183030303</c:v>
                </c:pt>
                <c:pt idx="14">
                  <c:v>1.7448388645818179E-3</c:v>
                </c:pt>
                <c:pt idx="15">
                  <c:v>1.121768096012</c:v>
                </c:pt>
                <c:pt idx="16">
                  <c:v>4.876431431436</c:v>
                </c:pt>
              </c:numCache>
            </c:numRef>
          </c:val>
          <c:extLst>
            <c:ext xmlns:c16="http://schemas.microsoft.com/office/drawing/2014/chart" uri="{C3380CC4-5D6E-409C-BE32-E72D297353CC}">
              <c16:uniqueId val="{00000000-B96D-4801-A081-B13C6A3229F3}"/>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662882764654419"/>
          <c:y val="0"/>
          <c:w val="0.53888888888888886"/>
          <c:h val="0.8981481481481481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E2-4FA6-A687-C338A049CA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E2-4FA6-A687-C338A049CA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E2-4FA6-A687-C338A049CA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E2-4FA6-A687-C338A049CA7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E2-4FA6-A687-C338A049CA7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FE2-4FA6-A687-C338A049CA7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FE2-4FA6-A687-C338A049CA7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FE2-4FA6-A687-C338A049CA7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FE2-4FA6-A687-C338A049CA7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FE2-4FA6-A687-C338A049CA7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FE2-4FA6-A687-C338A049CA70}"/>
              </c:ext>
            </c:extLst>
          </c:dPt>
          <c:cat>
            <c:strRef>
              <c:f>results!$A$20:$A$30</c:f>
              <c:strCache>
                <c:ptCount val="11"/>
                <c:pt idx="0">
                  <c:v>Spray pyrolysis</c:v>
                </c:pt>
                <c:pt idx="1">
                  <c:v>ETL slot-die coating</c:v>
                </c:pt>
                <c:pt idx="2">
                  <c:v>ETL calcining</c:v>
                </c:pt>
                <c:pt idx="3">
                  <c:v>PL 1st-step slot-die coating</c:v>
                </c:pt>
                <c:pt idx="4">
                  <c:v>PL 2nd-step slot-die coating</c:v>
                </c:pt>
                <c:pt idx="5">
                  <c:v>PL 1st-step drying</c:v>
                </c:pt>
                <c:pt idx="6">
                  <c:v>PL 2nd-step drying</c:v>
                </c:pt>
                <c:pt idx="7">
                  <c:v>PL annealing</c:v>
                </c:pt>
                <c:pt idx="8">
                  <c:v>HTL slot-die coating</c:v>
                </c:pt>
                <c:pt idx="9">
                  <c:v>Electrode sputtering</c:v>
                </c:pt>
                <c:pt idx="10">
                  <c:v>Lamination</c:v>
                </c:pt>
              </c:strCache>
            </c:strRef>
          </c:cat>
          <c:val>
            <c:numRef>
              <c:f>results!$C$20:$C$30</c:f>
              <c:numCache>
                <c:formatCode>General</c:formatCode>
                <c:ptCount val="11"/>
                <c:pt idx="0">
                  <c:v>7.3462520841565228E-4</c:v>
                </c:pt>
                <c:pt idx="1">
                  <c:v>2.6024172362902664E-2</c:v>
                </c:pt>
                <c:pt idx="2">
                  <c:v>53.535440289399759</c:v>
                </c:pt>
                <c:pt idx="3">
                  <c:v>0.37177389089860957</c:v>
                </c:pt>
                <c:pt idx="4">
                  <c:v>0.37177389089860957</c:v>
                </c:pt>
                <c:pt idx="5">
                  <c:v>53.535440289399773</c:v>
                </c:pt>
                <c:pt idx="6">
                  <c:v>80.303160434099667</c:v>
                </c:pt>
                <c:pt idx="7">
                  <c:v>53.535440289399773</c:v>
                </c:pt>
                <c:pt idx="8">
                  <c:v>1.7349448241935115</c:v>
                </c:pt>
                <c:pt idx="9">
                  <c:v>97.156910154836652</c:v>
                </c:pt>
                <c:pt idx="10">
                  <c:v>0.15614503417741601</c:v>
                </c:pt>
              </c:numCache>
            </c:numRef>
          </c:val>
          <c:extLst>
            <c:ext xmlns:c16="http://schemas.microsoft.com/office/drawing/2014/chart" uri="{C3380CC4-5D6E-409C-BE32-E72D297353CC}">
              <c16:uniqueId val="{00000000-C213-44F5-ABFB-10A4FA1A0FF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AB-40E4-8B80-D2E4639C6F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AB-40E4-8B80-D2E4639C6F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AB-40E4-8B80-D2E4639C6F7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AB-40E4-8B80-D2E4639C6F7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BAB-40E4-8B80-D2E4639C6F7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BAB-40E4-8B80-D2E4639C6F7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BAB-40E4-8B80-D2E4639C6F7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BAB-40E4-8B80-D2E4639C6F7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BAB-40E4-8B80-D2E4639C6F7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BAB-40E4-8B80-D2E4639C6F7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BAB-40E4-8B80-D2E4639C6F7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BAB-40E4-8B80-D2E4639C6F7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BAB-40E4-8B80-D2E4639C6F7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BAB-40E4-8B80-D2E4639C6F7F}"/>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BAB-40E4-8B80-D2E4639C6F7F}"/>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10E-4CCA-BE8D-11D4D5CB9959}"/>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D10E-4CCA-BE8D-11D4D5CB9959}"/>
              </c:ext>
            </c:extLst>
          </c:dPt>
          <c:cat>
            <c:strRef>
              <c:f>results!$A$2:$A$18</c:f>
              <c:strCache>
                <c:ptCount val="17"/>
                <c:pt idx="0">
                  <c:v>FTO glass</c:v>
                </c:pt>
                <c:pt idx="1">
                  <c:v>BL-TiO₂ ink</c:v>
                </c:pt>
                <c:pt idx="2">
                  <c:v>MP-TiO₂</c:v>
                </c:pt>
                <c:pt idx="3">
                  <c:v>2-methoxyethanol</c:v>
                </c:pt>
                <c:pt idx="4">
                  <c:v>PbI₂</c:v>
                </c:pt>
                <c:pt idx="5">
                  <c:v>PbBr₂</c:v>
                </c:pt>
                <c:pt idx="6">
                  <c:v>FAI</c:v>
                </c:pt>
                <c:pt idx="7">
                  <c:v>MABr</c:v>
                </c:pt>
                <c:pt idx="8">
                  <c:v>DMF</c:v>
                </c:pt>
                <c:pt idx="9">
                  <c:v>DMSO</c:v>
                </c:pt>
                <c:pt idx="10">
                  <c:v>Isopropanol</c:v>
                </c:pt>
                <c:pt idx="11">
                  <c:v>PTAA solution</c:v>
                </c:pt>
                <c:pt idx="12">
                  <c:v>Cu</c:v>
                </c:pt>
                <c:pt idx="13">
                  <c:v>Ar</c:v>
                </c:pt>
                <c:pt idx="14">
                  <c:v>O₂</c:v>
                </c:pt>
                <c:pt idx="15">
                  <c:v>Adhesive</c:v>
                </c:pt>
                <c:pt idx="16">
                  <c:v>PET</c:v>
                </c:pt>
              </c:strCache>
            </c:strRef>
          </c:cat>
          <c:val>
            <c:numRef>
              <c:f>results!$B$2:$B$18</c:f>
              <c:numCache>
                <c:formatCode>General</c:formatCode>
                <c:ptCount val="17"/>
                <c:pt idx="0">
                  <c:v>0.34780676817599987</c:v>
                </c:pt>
                <c:pt idx="1">
                  <c:v>2.2765392121238096E-3</c:v>
                </c:pt>
                <c:pt idx="2">
                  <c:v>4.364040239999999E-4</c:v>
                </c:pt>
                <c:pt idx="3">
                  <c:v>5.7271391279999984E-4</c:v>
                </c:pt>
                <c:pt idx="4">
                  <c:v>3.5016340047384839E-3</c:v>
                </c:pt>
                <c:pt idx="5">
                  <c:v>6.0294176243999574E-5</c:v>
                </c:pt>
                <c:pt idx="6">
                  <c:v>2.0114480946874777E-2</c:v>
                </c:pt>
                <c:pt idx="7">
                  <c:v>0.1114344024570799</c:v>
                </c:pt>
                <c:pt idx="8">
                  <c:v>2.7778789137676346E-3</c:v>
                </c:pt>
                <c:pt idx="9">
                  <c:v>3.5756612254426892E-4</c:v>
                </c:pt>
                <c:pt idx="10">
                  <c:v>9.8536232918946171E-2</c:v>
                </c:pt>
                <c:pt idx="11">
                  <c:v>4.2266595161539466E-2</c:v>
                </c:pt>
                <c:pt idx="12">
                  <c:v>3.7954882559999999E-3</c:v>
                </c:pt>
                <c:pt idx="13">
                  <c:v>0.29058656969696967</c:v>
                </c:pt>
                <c:pt idx="14">
                  <c:v>1.2806957575757575E-4</c:v>
                </c:pt>
                <c:pt idx="15">
                  <c:v>5.8513339999999997E-2</c:v>
                </c:pt>
                <c:pt idx="16">
                  <c:v>0.19433649</c:v>
                </c:pt>
              </c:numCache>
            </c:numRef>
          </c:val>
          <c:extLst>
            <c:ext xmlns:c16="http://schemas.microsoft.com/office/drawing/2014/chart" uri="{C3380CC4-5D6E-409C-BE32-E72D297353CC}">
              <c16:uniqueId val="{00000000-996C-425F-AE6C-B06D3E911165}"/>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6</xdr:row>
          <xdr:rowOff>152400</xdr:rowOff>
        </xdr:from>
        <xdr:to>
          <xdr:col>5</xdr:col>
          <xdr:colOff>123825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161925</xdr:rowOff>
        </xdr:from>
        <xdr:to>
          <xdr:col>5</xdr:col>
          <xdr:colOff>123825</xdr:colOff>
          <xdr:row>3</xdr:row>
          <xdr:rowOff>9525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171450</xdr:rowOff>
        </xdr:from>
        <xdr:to>
          <xdr:col>5</xdr:col>
          <xdr:colOff>123825</xdr:colOff>
          <xdr:row>6</xdr:row>
          <xdr:rowOff>38100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409575</xdr:colOff>
      <xdr:row>0</xdr:row>
      <xdr:rowOff>85725</xdr:rowOff>
    </xdr:from>
    <xdr:to>
      <xdr:col>23</xdr:col>
      <xdr:colOff>272367</xdr:colOff>
      <xdr:row>14</xdr:row>
      <xdr:rowOff>104775</xdr:rowOff>
    </xdr:to>
    <xdr:graphicFrame macro="">
      <xdr:nvGraphicFramePr>
        <xdr:cNvPr id="7" name="Chart 38">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400050</xdr:colOff>
      <xdr:row>16</xdr:row>
      <xdr:rowOff>0</xdr:rowOff>
    </xdr:from>
    <xdr:to>
      <xdr:col>23</xdr:col>
      <xdr:colOff>262842</xdr:colOff>
      <xdr:row>30</xdr:row>
      <xdr:rowOff>76200</xdr:rowOff>
    </xdr:to>
    <xdr:graphicFrame macro="">
      <xdr:nvGraphicFramePr>
        <xdr:cNvPr id="8" name="Chart 38">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85311</xdr:colOff>
      <xdr:row>55</xdr:row>
      <xdr:rowOff>19055</xdr:rowOff>
    </xdr:from>
    <xdr:to>
      <xdr:col>19</xdr:col>
      <xdr:colOff>393423</xdr:colOff>
      <xdr:row>84</xdr:row>
      <xdr:rowOff>142874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2004392</xdr:colOff>
      <xdr:row>37</xdr:row>
      <xdr:rowOff>115956</xdr:rowOff>
    </xdr:from>
    <xdr:to>
      <xdr:col>5</xdr:col>
      <xdr:colOff>530087</xdr:colOff>
      <xdr:row>46</xdr:row>
      <xdr:rowOff>133349</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356153</xdr:colOff>
      <xdr:row>37</xdr:row>
      <xdr:rowOff>124238</xdr:rowOff>
    </xdr:from>
    <xdr:to>
      <xdr:col>9</xdr:col>
      <xdr:colOff>720587</xdr:colOff>
      <xdr:row>47</xdr:row>
      <xdr:rowOff>116784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1880153</xdr:colOff>
      <xdr:row>48</xdr:row>
      <xdr:rowOff>74543</xdr:rowOff>
    </xdr:from>
    <xdr:to>
      <xdr:col>6</xdr:col>
      <xdr:colOff>107675</xdr:colOff>
      <xdr:row>55</xdr:row>
      <xdr:rowOff>91936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36</xdr:row>
      <xdr:rowOff>0</xdr:rowOff>
    </xdr:from>
    <xdr:to>
      <xdr:col>7</xdr:col>
      <xdr:colOff>504001</xdr:colOff>
      <xdr:row>57</xdr:row>
      <xdr:rowOff>47119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0" y="6858000"/>
          <a:ext cx="6590476" cy="4047619"/>
        </a:xfrm>
        <a:prstGeom prst="rect">
          <a:avLst/>
        </a:prstGeom>
      </xdr:spPr>
    </xdr:pic>
    <xdr:clientData/>
  </xdr:twoCellAnchor>
  <xdr:twoCellAnchor editAs="oneCell">
    <xdr:from>
      <xdr:col>8</xdr:col>
      <xdr:colOff>0</xdr:colOff>
      <xdr:row>36</xdr:row>
      <xdr:rowOff>0</xdr:rowOff>
    </xdr:from>
    <xdr:to>
      <xdr:col>18</xdr:col>
      <xdr:colOff>494476</xdr:colOff>
      <xdr:row>57</xdr:row>
      <xdr:rowOff>47119</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2"/>
        <a:stretch>
          <a:fillRect/>
        </a:stretch>
      </xdr:blipFill>
      <xdr:spPr>
        <a:xfrm>
          <a:off x="6696075" y="6858000"/>
          <a:ext cx="6590476" cy="40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Other%20invento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0_Raw%20material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8_PbBr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6_FAI%20pr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7_MABr.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0_Raw%20materials-updated.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3_PTAA%20solution-new%20modu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row>
      </sheetData>
      <sheetData sheetId="2">
        <row r="41">
          <cell r="D41">
            <v>0.6900927939999999</v>
          </cell>
          <cell r="M41">
            <v>16.870840664507959</v>
          </cell>
          <cell r="N41">
            <v>1.2304100629300001</v>
          </cell>
          <cell r="O41">
            <v>0.71155339899999992</v>
          </cell>
          <cell r="P41">
            <v>0.16598633829999998</v>
          </cell>
          <cell r="Q41">
            <v>1.9207721611635292E-2</v>
          </cell>
          <cell r="R41">
            <v>4.0224563808999997E-4</v>
          </cell>
          <cell r="S41">
            <v>24.778602629582721</v>
          </cell>
          <cell r="T41">
            <v>4.3648278519999993E-2</v>
          </cell>
          <cell r="U41">
            <v>17.545004398641137</v>
          </cell>
          <cell r="V41">
            <v>2.1058137381999996E-3</v>
          </cell>
          <cell r="W41">
            <v>7.485683762029999</v>
          </cell>
          <cell r="X41">
            <v>5.2843976053999992E-4</v>
          </cell>
          <cell r="Y41">
            <v>4.481888471999999E-8</v>
          </cell>
          <cell r="Z41">
            <v>6.2016636211999999E-3</v>
          </cell>
          <cell r="AA41">
            <v>9.5497049174216204E-3</v>
          </cell>
          <cell r="AB41">
            <v>1.2424807466E-2</v>
          </cell>
          <cell r="AC41">
            <v>1.4737965990842938E-3</v>
          </cell>
          <cell r="AD41">
            <v>2.9310167130999997E-2</v>
          </cell>
          <cell r="AE41">
            <v>1.5347061815999996E-3</v>
          </cell>
          <cell r="AF41">
            <v>0.10118733074544357</v>
          </cell>
          <cell r="AG41">
            <v>0.20367506328805784</v>
          </cell>
          <cell r="AH41">
            <v>0.36744772991999997</v>
          </cell>
        </row>
      </sheetData>
      <sheetData sheetId="3">
        <row r="14">
          <cell r="D14">
            <v>16.837863429999999</v>
          </cell>
        </row>
      </sheetData>
      <sheetData sheetId="4">
        <row r="14">
          <cell r="D14">
            <v>1.816623717028</v>
          </cell>
          <cell r="M14">
            <v>49.235883967569862</v>
          </cell>
          <cell r="N14">
            <v>1.031942146719008</v>
          </cell>
          <cell r="O14">
            <v>1.571679025116</v>
          </cell>
          <cell r="P14">
            <v>0.56452762463599993</v>
          </cell>
          <cell r="Q14">
            <v>3.6490840867999995E-2</v>
          </cell>
          <cell r="R14">
            <v>6.7762399148959987E-4</v>
          </cell>
          <cell r="S14">
            <v>22.165093164199998</v>
          </cell>
          <cell r="T14">
            <v>0.1099822682052</v>
          </cell>
          <cell r="U14">
            <v>18.255521079160001</v>
          </cell>
          <cell r="V14">
            <v>6.0900339802000001E-3</v>
          </cell>
          <cell r="W14">
            <v>6.8993196383600006E-2</v>
          </cell>
          <cell r="X14">
            <v>1.068494039446E-3</v>
          </cell>
          <cell r="Y14">
            <v>1.435786231096E-7</v>
          </cell>
          <cell r="Z14">
            <v>4.5740298416480007E-3</v>
          </cell>
          <cell r="AA14">
            <v>5.7932781494399992E-3</v>
          </cell>
          <cell r="AB14">
            <v>1.4153469894000001E-2</v>
          </cell>
          <cell r="AC14">
            <v>7.7372104642912014E-3</v>
          </cell>
          <cell r="AD14">
            <v>5.9085341149744001E-2</v>
          </cell>
          <cell r="AE14">
            <v>0.34168602040953444</v>
          </cell>
          <cell r="AF14">
            <v>0.32895532035960001</v>
          </cell>
          <cell r="AG14">
            <v>0.21573273067080001</v>
          </cell>
          <cell r="AH14">
            <v>7.1616409671400011E-2</v>
          </cell>
        </row>
      </sheetData>
      <sheetData sheetId="5">
        <row r="33">
          <cell r="D33">
            <v>121.5468471027569</v>
          </cell>
        </row>
      </sheetData>
      <sheetData sheetId="6"/>
      <sheetData sheetId="7"/>
      <sheetData sheetId="8">
        <row r="16">
          <cell r="D16">
            <v>681.91697298744145</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efreshError="1">
        <row r="3">
          <cell r="D3">
            <v>2.4752999999999998</v>
          </cell>
        </row>
        <row r="7">
          <cell r="D7">
            <v>0.70992</v>
          </cell>
          <cell r="E7">
            <v>5.7651999999999998E-3</v>
          </cell>
          <cell r="F7">
            <v>12.423999999999999</v>
          </cell>
          <cell r="G7">
            <v>4.0747E-4</v>
          </cell>
          <cell r="H7">
            <v>4.2870999999999999E-2</v>
          </cell>
          <cell r="I7">
            <v>4.6647999999999998E-5</v>
          </cell>
          <cell r="J7">
            <v>2.8061999999999999E-6</v>
          </cell>
          <cell r="K7">
            <v>1.6684999999999998E-2</v>
          </cell>
          <cell r="L7">
            <v>1.8246E-3</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10">
          <cell r="D10">
            <v>2.3384</v>
          </cell>
          <cell r="M10">
            <v>65.839948339999992</v>
          </cell>
          <cell r="N10">
            <v>8.0263000000000001E-2</v>
          </cell>
          <cell r="O10">
            <v>2.0783</v>
          </cell>
          <cell r="P10">
            <v>1.4584999999999999</v>
          </cell>
          <cell r="Q10">
            <v>1.8194999999999999E-2</v>
          </cell>
          <cell r="R10">
            <v>7.8120000000000002E-4</v>
          </cell>
          <cell r="S10">
            <v>27.497</v>
          </cell>
          <cell r="T10">
            <v>0.12189</v>
          </cell>
          <cell r="U10">
            <v>21.606000000000002</v>
          </cell>
          <cell r="V10">
            <v>1.6937E-3</v>
          </cell>
          <cell r="W10">
            <v>0.10266</v>
          </cell>
          <cell r="X10">
            <v>1.6783999999999999E-4</v>
          </cell>
          <cell r="Y10">
            <v>7.6852999999999993E-8</v>
          </cell>
          <cell r="Z10">
            <v>3.9107999999999999E-3</v>
          </cell>
          <cell r="AA10">
            <v>8.0551000000000008E-3</v>
          </cell>
          <cell r="AB10">
            <v>8.4796999999999997E-3</v>
          </cell>
          <cell r="AC10">
            <v>9.7817999999999993E-4</v>
          </cell>
          <cell r="AD10">
            <v>1.2212000000000001E-2</v>
          </cell>
          <cell r="AE10">
            <v>4.4146999999999997E-3</v>
          </cell>
          <cell r="AF10">
            <v>7.9693E-2</v>
          </cell>
          <cell r="AG10">
            <v>0.26902999999999999</v>
          </cell>
          <cell r="AH10">
            <v>0.17965999999999999</v>
          </cell>
        </row>
        <row r="75">
          <cell r="D75">
            <v>2.8612000000000002</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89">
          <cell r="D89">
            <v>8.5974000000000004</v>
          </cell>
          <cell r="M89">
            <v>92.21776761000001</v>
          </cell>
          <cell r="N89">
            <v>0.36826999999999999</v>
          </cell>
          <cell r="O89">
            <v>7.4287999999999998</v>
          </cell>
          <cell r="P89">
            <v>1.8311999999999999</v>
          </cell>
          <cell r="Q89">
            <v>0.13183</v>
          </cell>
          <cell r="R89">
            <v>3.4123999999999999E-3</v>
          </cell>
          <cell r="S89">
            <v>121.42</v>
          </cell>
          <cell r="T89">
            <v>0.46332000000000001</v>
          </cell>
          <cell r="U89">
            <v>152.15</v>
          </cell>
          <cell r="V89">
            <v>7.9149000000000008E-3</v>
          </cell>
          <cell r="W89">
            <v>0.23019999999999999</v>
          </cell>
          <cell r="X89">
            <v>1.7210000000000001E-3</v>
          </cell>
          <cell r="Y89">
            <v>7.6133999999999996E-7</v>
          </cell>
          <cell r="Z89">
            <v>1.9774E-2</v>
          </cell>
          <cell r="AA89">
            <v>2.9107000000000001E-2</v>
          </cell>
          <cell r="AB89">
            <v>4.1057999999999997E-2</v>
          </cell>
          <cell r="AC89">
            <v>4.3298E-3</v>
          </cell>
          <cell r="AD89">
            <v>0.1129</v>
          </cell>
          <cell r="AE89">
            <v>7.9020000000000007E-2</v>
          </cell>
          <cell r="AF89">
            <v>0.32826</v>
          </cell>
          <cell r="AG89">
            <v>1.1247</v>
          </cell>
          <cell r="AH89">
            <v>0.25229000000000001</v>
          </cell>
        </row>
        <row r="104">
          <cell r="D104">
            <v>1.2696000000000001</v>
          </cell>
          <cell r="M104">
            <v>58.586084650000004</v>
          </cell>
          <cell r="N104">
            <v>5.4158999999999999E-2</v>
          </cell>
          <cell r="O104">
            <v>1.0815999999999999</v>
          </cell>
          <cell r="P104">
            <v>1.3033999999999999</v>
          </cell>
          <cell r="Q104">
            <v>2.2741000000000001E-2</v>
          </cell>
          <cell r="R104">
            <v>5.0582999999999997E-4</v>
          </cell>
          <cell r="S104">
            <v>33.625</v>
          </cell>
          <cell r="T104">
            <v>0.18521000000000001</v>
          </cell>
          <cell r="U104">
            <v>19.648</v>
          </cell>
          <cell r="V104">
            <v>9.9444000000000008E-4</v>
          </cell>
          <cell r="W104">
            <v>0.10894</v>
          </cell>
          <cell r="X104">
            <v>5.6817E-4</v>
          </cell>
          <cell r="Y104">
            <v>3.1627000000000001E-7</v>
          </cell>
          <cell r="Z104">
            <v>1.7206000000000001E-3</v>
          </cell>
          <cell r="AA104">
            <v>3.9411999999999997E-3</v>
          </cell>
          <cell r="AB104">
            <v>5.1390999999999997E-3</v>
          </cell>
          <cell r="AC104">
            <v>9.7420000000000004E-4</v>
          </cell>
          <cell r="AD104">
            <v>9.5762E-3</v>
          </cell>
          <cell r="AE104">
            <v>3.8428999999999998E-3</v>
          </cell>
          <cell r="AF104">
            <v>4.9723000000000003E-2</v>
          </cell>
          <cell r="AG104">
            <v>0.27034000000000002</v>
          </cell>
          <cell r="AH104">
            <v>0.16134000000000001</v>
          </cell>
        </row>
        <row r="112">
          <cell r="D112">
            <v>3.1497000000000002</v>
          </cell>
          <cell r="M112">
            <v>79.034545080000001</v>
          </cell>
          <cell r="N112">
            <v>0.10041</v>
          </cell>
          <cell r="O112">
            <v>2.8180999999999998</v>
          </cell>
          <cell r="P112">
            <v>1.7437</v>
          </cell>
          <cell r="Q112">
            <v>2.7425000000000001E-2</v>
          </cell>
          <cell r="R112">
            <v>8.6828000000000003E-4</v>
          </cell>
          <cell r="S112">
            <v>42.161999999999999</v>
          </cell>
          <cell r="T112">
            <v>0.17729</v>
          </cell>
          <cell r="U112">
            <v>33.457999999999998</v>
          </cell>
          <cell r="V112">
            <v>2.5214999999999999E-3</v>
          </cell>
          <cell r="W112">
            <v>0.14166999999999999</v>
          </cell>
          <cell r="X112">
            <v>3.0549E-4</v>
          </cell>
          <cell r="Y112">
            <v>1.4420999999999999E-7</v>
          </cell>
          <cell r="Z112">
            <v>5.0603999999999996E-3</v>
          </cell>
          <cell r="AA112">
            <v>9.4725999999999994E-3</v>
          </cell>
          <cell r="AB112">
            <v>1.1995E-2</v>
          </cell>
          <cell r="AC112">
            <v>3.0942999999999999E-3</v>
          </cell>
          <cell r="AD112">
            <v>2.1552999999999999E-2</v>
          </cell>
          <cell r="AE112">
            <v>5.7200999999999997E-3</v>
          </cell>
          <cell r="AF112">
            <v>0.11194</v>
          </cell>
          <cell r="AG112">
            <v>0.39295000000000002</v>
          </cell>
          <cell r="AH112">
            <v>0.21565999999999999</v>
          </cell>
        </row>
        <row r="113">
          <cell r="D113">
            <v>2.8967000000000001</v>
          </cell>
          <cell r="M113">
            <v>55.533074060000004</v>
          </cell>
          <cell r="N113">
            <v>9.6782000000000007E-2</v>
          </cell>
          <cell r="O113">
            <v>2.637</v>
          </cell>
          <cell r="P113">
            <v>1.1969000000000001</v>
          </cell>
          <cell r="Q113">
            <v>2.9916999999999999E-2</v>
          </cell>
          <cell r="R113">
            <v>9.6234999999999995E-4</v>
          </cell>
          <cell r="S113">
            <v>44.603000000000002</v>
          </cell>
          <cell r="T113">
            <v>0.17635999999999999</v>
          </cell>
          <cell r="U113">
            <v>34.201000000000001</v>
          </cell>
          <cell r="V113">
            <v>2.3305999999999999E-3</v>
          </cell>
          <cell r="W113">
            <v>0.17008999999999999</v>
          </cell>
          <cell r="X113">
            <v>3.0334999999999997E-4</v>
          </cell>
          <cell r="Y113">
            <v>2.8648000000000001E-7</v>
          </cell>
          <cell r="Z113">
            <v>5.0324000000000002E-3</v>
          </cell>
          <cell r="AA113">
            <v>1.0166E-2</v>
          </cell>
          <cell r="AB113">
            <v>1.0345E-2</v>
          </cell>
          <cell r="AC113">
            <v>2.421E-3</v>
          </cell>
          <cell r="AD113">
            <v>2.5739000000000001E-2</v>
          </cell>
          <cell r="AE113">
            <v>8.3884000000000007E-3</v>
          </cell>
          <cell r="AF113">
            <v>0.11176</v>
          </cell>
          <cell r="AG113">
            <v>0.40386</v>
          </cell>
          <cell r="AH113">
            <v>0.15140999999999999</v>
          </cell>
        </row>
      </sheetData>
      <sheetData sheetId="1" refreshError="1"/>
      <sheetData sheetId="2" refreshError="1"/>
      <sheetData sheetId="3" refreshError="1"/>
      <sheetData sheetId="4" refreshError="1">
        <row r="15">
          <cell r="D15">
            <v>0</v>
          </cell>
        </row>
        <row r="24">
          <cell r="D24">
            <v>0</v>
          </cell>
          <cell r="M24">
            <v>0</v>
          </cell>
          <cell r="N24"/>
          <cell r="O24"/>
          <cell r="P24"/>
          <cell r="Q24"/>
          <cell r="R24"/>
          <cell r="S24"/>
          <cell r="T24"/>
          <cell r="U24"/>
          <cell r="V24"/>
          <cell r="W24"/>
          <cell r="X24"/>
          <cell r="Y24"/>
          <cell r="Z24"/>
          <cell r="AA24">
            <v>0.3175675675675676</v>
          </cell>
          <cell r="AB24"/>
          <cell r="AC24"/>
          <cell r="AD24"/>
          <cell r="AE24"/>
          <cell r="AF24"/>
          <cell r="AG24">
            <v>1.20830586684E-4</v>
          </cell>
          <cell r="AH24"/>
        </row>
        <row r="25">
          <cell r="D25">
            <v>0</v>
          </cell>
          <cell r="M25">
            <v>0</v>
          </cell>
          <cell r="N25"/>
          <cell r="O25"/>
          <cell r="P25"/>
          <cell r="Q25">
            <v>1.8285430284917717E-5</v>
          </cell>
          <cell r="R25"/>
          <cell r="S25">
            <v>0.14896775129815301</v>
          </cell>
          <cell r="T25"/>
          <cell r="U25">
            <v>7.4567515026773893E-5</v>
          </cell>
          <cell r="V25"/>
          <cell r="W25"/>
          <cell r="X25"/>
          <cell r="Y25"/>
          <cell r="Z25"/>
          <cell r="AA25">
            <v>0.1587837837837838</v>
          </cell>
          <cell r="AB25"/>
          <cell r="AC25">
            <v>3.0347324622674447E-5</v>
          </cell>
          <cell r="AD25"/>
          <cell r="AE25"/>
          <cell r="AF25">
            <v>6.6891399295099997E-6</v>
          </cell>
          <cell r="AG25">
            <v>1.0777560339100001E-3</v>
          </cell>
          <cell r="AH25"/>
        </row>
        <row r="26">
          <cell r="D26">
            <v>0</v>
          </cell>
          <cell r="M26">
            <v>0</v>
          </cell>
          <cell r="N26"/>
          <cell r="O26"/>
          <cell r="P26"/>
          <cell r="Q26">
            <v>5.5239331204532241E-6</v>
          </cell>
          <cell r="R26"/>
          <cell r="S26"/>
          <cell r="T26"/>
          <cell r="U26">
            <v>3.2144404879240416E-7</v>
          </cell>
          <cell r="V26"/>
          <cell r="W26"/>
          <cell r="X26"/>
          <cell r="Y26"/>
          <cell r="Z26"/>
          <cell r="AA26"/>
          <cell r="AB26"/>
          <cell r="AC26">
            <v>1.3004211950132588E-4</v>
          </cell>
          <cell r="AD26"/>
          <cell r="AE26"/>
          <cell r="AF26"/>
          <cell r="AG26"/>
          <cell r="AH26"/>
        </row>
        <row r="27">
          <cell r="D27">
            <v>0</v>
          </cell>
          <cell r="M27">
            <v>0</v>
          </cell>
          <cell r="N27"/>
          <cell r="O27"/>
          <cell r="P27"/>
          <cell r="Q27">
            <v>7.5601659477170543E-8</v>
          </cell>
          <cell r="R27"/>
          <cell r="S27">
            <v>2.347224946933776</v>
          </cell>
          <cell r="T27"/>
          <cell r="U27">
            <v>1.0183648025892004E-6</v>
          </cell>
          <cell r="V27"/>
          <cell r="W27"/>
          <cell r="X27"/>
          <cell r="Y27"/>
          <cell r="Z27"/>
          <cell r="AA27"/>
          <cell r="AB27"/>
          <cell r="AC27">
            <v>1.2722639344855543E-7</v>
          </cell>
          <cell r="AD27"/>
          <cell r="AE27"/>
          <cell r="AF27"/>
          <cell r="AG27">
            <v>2.4808833223500002E-4</v>
          </cell>
          <cell r="AH27"/>
        </row>
        <row r="28">
          <cell r="D28">
            <v>0</v>
          </cell>
          <cell r="M28">
            <v>0</v>
          </cell>
          <cell r="N28"/>
          <cell r="O28"/>
          <cell r="P28"/>
          <cell r="Q28"/>
          <cell r="R28"/>
          <cell r="S28"/>
          <cell r="T28"/>
          <cell r="U28"/>
          <cell r="V28"/>
          <cell r="W28"/>
          <cell r="X28"/>
          <cell r="Y28"/>
          <cell r="Z28"/>
          <cell r="AA28"/>
          <cell r="AB28"/>
          <cell r="AC28"/>
          <cell r="AD28"/>
          <cell r="AE28"/>
          <cell r="AF28"/>
          <cell r="AG28"/>
          <cell r="AH28"/>
        </row>
        <row r="29">
          <cell r="D29">
            <v>0</v>
          </cell>
          <cell r="M29">
            <v>0</v>
          </cell>
          <cell r="N29"/>
          <cell r="O29"/>
          <cell r="P29"/>
          <cell r="Q29">
            <v>1.1751080598935332E-5</v>
          </cell>
          <cell r="R29"/>
          <cell r="S29">
            <v>0.81953289431067988</v>
          </cell>
          <cell r="T29"/>
          <cell r="U29">
            <v>9.0730455974452539E-5</v>
          </cell>
          <cell r="V29"/>
          <cell r="W29"/>
          <cell r="X29"/>
          <cell r="Y29"/>
          <cell r="Z29"/>
          <cell r="AA29">
            <v>1.0760135135135136</v>
          </cell>
          <cell r="AB29"/>
          <cell r="AC29">
            <v>1.3507404621151019E-5</v>
          </cell>
          <cell r="AD29"/>
          <cell r="AE29"/>
          <cell r="AF29">
            <v>2.9965569184499998E-6</v>
          </cell>
          <cell r="AG29">
            <v>6.0062200297099997E-3</v>
          </cell>
          <cell r="AH29"/>
        </row>
        <row r="30">
          <cell r="D30">
            <v>0</v>
          </cell>
          <cell r="M30">
            <v>0</v>
          </cell>
          <cell r="N30"/>
          <cell r="O30"/>
          <cell r="P30"/>
          <cell r="Q30">
            <v>1.7003303175320737E-4</v>
          </cell>
          <cell r="R30"/>
          <cell r="S30">
            <v>0.47081152258220021</v>
          </cell>
          <cell r="T30"/>
          <cell r="U30">
            <v>1.7402003843569559E-3</v>
          </cell>
          <cell r="V30"/>
          <cell r="W30"/>
          <cell r="X30"/>
          <cell r="Y30"/>
          <cell r="Z30"/>
          <cell r="AA30"/>
          <cell r="AB30"/>
          <cell r="AC30">
            <v>3.7040677832114982E-4</v>
          </cell>
          <cell r="AD30"/>
          <cell r="AE30"/>
          <cell r="AF30">
            <v>8.1790920700099996E-5</v>
          </cell>
          <cell r="AG30">
            <v>3.2152982030000002E-3</v>
          </cell>
          <cell r="AH30"/>
        </row>
        <row r="38">
          <cell r="D38">
            <v>0</v>
          </cell>
          <cell r="M38">
            <v>0</v>
          </cell>
          <cell r="N38"/>
          <cell r="O38"/>
          <cell r="P38"/>
          <cell r="Q38"/>
          <cell r="R38"/>
          <cell r="S38"/>
          <cell r="T38"/>
          <cell r="U38"/>
          <cell r="V38"/>
          <cell r="W38"/>
          <cell r="X38"/>
          <cell r="Y38"/>
          <cell r="Z38"/>
          <cell r="AA38"/>
          <cell r="AB38"/>
          <cell r="AC38"/>
          <cell r="AD38"/>
          <cell r="AE38"/>
          <cell r="AF38"/>
          <cell r="AG38"/>
          <cell r="AH38"/>
        </row>
      </sheetData>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2">
          <cell r="P22">
            <v>3.8500270966288177</v>
          </cell>
          <cell r="Y22">
            <v>50.481588540475641</v>
          </cell>
          <cell r="Z22">
            <v>1.1414143288941561</v>
          </cell>
          <cell r="AA22">
            <v>3.5367107854779132</v>
          </cell>
          <cell r="AB22">
            <v>0.91536753821531702</v>
          </cell>
          <cell r="AC22">
            <v>8.7165002729624477E-2</v>
          </cell>
          <cell r="AD22">
            <v>2.6065481838007604E-3</v>
          </cell>
          <cell r="AE22">
            <v>235.173374582939</v>
          </cell>
          <cell r="AF22">
            <v>0.20365425206538271</v>
          </cell>
          <cell r="AG22">
            <v>101.18297225252564</v>
          </cell>
          <cell r="AH22">
            <v>7.1443014135777159E-3</v>
          </cell>
          <cell r="AI22">
            <v>1.1135693836009284</v>
          </cell>
          <cell r="AJ22">
            <v>5.7698403626534349E-4</v>
          </cell>
          <cell r="AK22">
            <v>3.5068350443499273E-7</v>
          </cell>
          <cell r="AL22">
            <v>1.9455360691902179E-2</v>
          </cell>
          <cell r="AM22">
            <v>4.8956977259526725E-2</v>
          </cell>
          <cell r="AN22">
            <v>5.9582597279202475E-2</v>
          </cell>
          <cell r="AO22">
            <v>5.0805198933465056E-3</v>
          </cell>
          <cell r="AP22">
            <v>4.3553058494069478E-2</v>
          </cell>
          <cell r="AQ22">
            <v>1.8628923628353774E-2</v>
          </cell>
          <cell r="AR22">
            <v>0.1951487691440901</v>
          </cell>
          <cell r="AS22">
            <v>1.7707323806433657</v>
          </cell>
          <cell r="AT22">
            <v>0.16145696265227133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6">
          <cell r="P26">
            <v>81.665404808643643</v>
          </cell>
          <cell r="Y26">
            <v>1446.6424002801964</v>
          </cell>
          <cell r="Z26">
            <v>1.3692179816810384</v>
          </cell>
          <cell r="AA26">
            <v>76.707040101384948</v>
          </cell>
          <cell r="AB26">
            <v>33.561721051357537</v>
          </cell>
          <cell r="AC26">
            <v>0.35568752372530332</v>
          </cell>
          <cell r="AD26">
            <v>2.704475601813779E-3</v>
          </cell>
          <cell r="AE26">
            <v>639.67448101392915</v>
          </cell>
          <cell r="AF26">
            <v>0.62446710490474078</v>
          </cell>
          <cell r="AG26">
            <v>219.82436527476648</v>
          </cell>
          <cell r="AH26">
            <v>7.5598486052884772E-2</v>
          </cell>
          <cell r="AI26">
            <v>0.43165765893700175</v>
          </cell>
          <cell r="AJ26">
            <v>1.3488754734245786E-2</v>
          </cell>
          <cell r="AK26">
            <v>1.4781877491518088E-4</v>
          </cell>
          <cell r="AL26">
            <v>8.9622580502144666E-2</v>
          </cell>
          <cell r="AM26">
            <v>0.28199200856559198</v>
          </cell>
          <cell r="AN26">
            <v>0.34025771519464187</v>
          </cell>
          <cell r="AO26">
            <v>1.5191694739669524E-2</v>
          </cell>
          <cell r="AP26">
            <v>0.10671875893842762</v>
          </cell>
          <cell r="AQ26">
            <v>0.38963274453124486</v>
          </cell>
          <cell r="AR26">
            <v>2.5744651778326957</v>
          </cell>
          <cell r="AS26">
            <v>7.2256215288857444</v>
          </cell>
          <cell r="AT26">
            <v>4.0444655893107164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0">
          <cell r="K20">
            <v>3619.4165229724927</v>
          </cell>
          <cell r="T20">
            <v>63759.161867241099</v>
          </cell>
          <cell r="U20">
            <v>31.840377212503398</v>
          </cell>
          <cell r="V20">
            <v>3415.5341252106105</v>
          </cell>
          <cell r="W20">
            <v>1504.8676850939303</v>
          </cell>
          <cell r="X20">
            <v>14.971837215344118</v>
          </cell>
          <cell r="Y20">
            <v>9.9188951698497854E-2</v>
          </cell>
          <cell r="Z20">
            <v>28479.24452442132</v>
          </cell>
          <cell r="AA20">
            <v>23.242815202118681</v>
          </cell>
          <cell r="AB20">
            <v>9591.6896222264804</v>
          </cell>
          <cell r="AC20">
            <v>3.1379267584118589</v>
          </cell>
          <cell r="AD20">
            <v>16.202766300404043</v>
          </cell>
          <cell r="AE20">
            <v>0.56292328992403973</v>
          </cell>
          <cell r="AF20">
            <v>3.0438648131477213E-4</v>
          </cell>
          <cell r="AG20">
            <v>3.851403574106639</v>
          </cell>
          <cell r="AH20">
            <v>10.26482617192319</v>
          </cell>
          <cell r="AI20">
            <v>14.816150072128218</v>
          </cell>
          <cell r="AJ20">
            <v>0.32738281630246646</v>
          </cell>
          <cell r="AK20">
            <v>2.1808609132535546</v>
          </cell>
          <cell r="AL20">
            <v>0.49193378894652123</v>
          </cell>
          <cell r="AM20">
            <v>101.31825938616946</v>
          </cell>
          <cell r="AN20">
            <v>321.15289678402326</v>
          </cell>
          <cell r="AO20">
            <v>181.20280974080879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cell r="M3">
            <v>20.685313700000005</v>
          </cell>
          <cell r="N3">
            <v>8.8877999999999999E-2</v>
          </cell>
          <cell r="O3">
            <v>2.2648999999999999</v>
          </cell>
          <cell r="P3">
            <v>0.39137</v>
          </cell>
          <cell r="Q3">
            <v>3.4606999999999999E-2</v>
          </cell>
          <cell r="R3">
            <v>1.4064E-2</v>
          </cell>
          <cell r="S3">
            <v>31.951000000000001</v>
          </cell>
          <cell r="T3">
            <v>0.15866</v>
          </cell>
          <cell r="U3">
            <v>31.074999999999999</v>
          </cell>
          <cell r="V3">
            <v>0.13034999999999999</v>
          </cell>
          <cell r="W3">
            <v>0.17466000000000001</v>
          </cell>
          <cell r="X3">
            <v>1.8164E-4</v>
          </cell>
          <cell r="Y3">
            <v>1.8353E-7</v>
          </cell>
          <cell r="Z3">
            <v>5.0572000000000004E-3</v>
          </cell>
          <cell r="AA3">
            <v>5.9461000000000002E-3</v>
          </cell>
          <cell r="AB3">
            <v>1.0370000000000001E-2</v>
          </cell>
          <cell r="AC3">
            <v>1.3814999999999999E-3</v>
          </cell>
          <cell r="AD3">
            <v>2.3361E-2</v>
          </cell>
          <cell r="AE3">
            <v>1.0649E-2</v>
          </cell>
          <cell r="AF3">
            <v>0.10145</v>
          </cell>
          <cell r="AG3">
            <v>0.30706</v>
          </cell>
          <cell r="AH3">
            <v>5.5032999999999999E-2</v>
          </cell>
        </row>
        <row r="46">
          <cell r="D46">
            <v>2.6876000000000002</v>
          </cell>
          <cell r="M46">
            <v>40.380196750000003</v>
          </cell>
          <cell r="N46">
            <v>0.14061999999999999</v>
          </cell>
          <cell r="O46">
            <v>2.4859</v>
          </cell>
          <cell r="P46">
            <v>0.71387</v>
          </cell>
          <cell r="Q46">
            <v>3.5333999999999997E-2</v>
          </cell>
          <cell r="R46">
            <v>1.4566E-3</v>
          </cell>
          <cell r="S46">
            <v>46.789000000000001</v>
          </cell>
          <cell r="T46">
            <v>0.41410999999999998</v>
          </cell>
          <cell r="U46">
            <v>40.326999999999998</v>
          </cell>
          <cell r="V46">
            <v>2.4256999999999998E-3</v>
          </cell>
          <cell r="W46">
            <v>3.2414999999999999E-2</v>
          </cell>
          <cell r="X46">
            <v>2.9548999999999998E-4</v>
          </cell>
          <cell r="Y46">
            <v>1.4875000000000001E-7</v>
          </cell>
          <cell r="Z46">
            <v>8.3315000000000004E-3</v>
          </cell>
          <cell r="AA46">
            <v>6.6281999999999999E-3</v>
          </cell>
          <cell r="AB46">
            <v>1.3127E-2</v>
          </cell>
          <cell r="AC46">
            <v>8.9937000000000003E-4</v>
          </cell>
          <cell r="AD46">
            <v>1.5989E-2</v>
          </cell>
          <cell r="AE46">
            <v>1.0525E-2</v>
          </cell>
          <cell r="AF46">
            <v>0.10639</v>
          </cell>
          <cell r="AG46">
            <v>0.42542000000000002</v>
          </cell>
          <cell r="AH46">
            <v>8.7106000000000003E-2</v>
          </cell>
        </row>
        <row r="76">
          <cell r="D76">
            <v>1.8261000000000001</v>
          </cell>
          <cell r="M76">
            <v>60.361123550000002</v>
          </cell>
          <cell r="N76">
            <v>3.6722999999999999E-2</v>
          </cell>
          <cell r="O76">
            <v>1.591</v>
          </cell>
          <cell r="P76">
            <v>1.3815</v>
          </cell>
          <cell r="Q76">
            <v>9.2759999999999995E-3</v>
          </cell>
          <cell r="R76">
            <v>2.6277000000000001E-4</v>
          </cell>
          <cell r="S76">
            <v>15.288</v>
          </cell>
          <cell r="T76">
            <v>3.6873999999999997E-2</v>
          </cell>
          <cell r="U76">
            <v>11.382999999999999</v>
          </cell>
          <cell r="V76">
            <v>1.1186E-3</v>
          </cell>
          <cell r="W76">
            <v>6.4592999999999998E-2</v>
          </cell>
          <cell r="X76">
            <v>1.4709E-4</v>
          </cell>
          <cell r="Y76">
            <v>6.472E-8</v>
          </cell>
          <cell r="Z76">
            <v>2.4101000000000001E-3</v>
          </cell>
          <cell r="AA76">
            <v>7.8647999999999999E-3</v>
          </cell>
          <cell r="AB76">
            <v>6.7625999999999997E-3</v>
          </cell>
          <cell r="AC76">
            <v>5.2406999999999996E-4</v>
          </cell>
          <cell r="AD76">
            <v>5.2075000000000003E-3</v>
          </cell>
          <cell r="AE76">
            <v>4.2263999999999999E-3</v>
          </cell>
          <cell r="AF76">
            <v>5.4866999999999999E-2</v>
          </cell>
          <cell r="AG76">
            <v>0.16566</v>
          </cell>
          <cell r="AH76">
            <v>0.16864999999999999</v>
          </cell>
        </row>
        <row r="91">
          <cell r="D91">
            <v>1.1845000000000001</v>
          </cell>
          <cell r="M91">
            <v>16.137803399999999</v>
          </cell>
          <cell r="N91">
            <v>4.6581999999999998E-2</v>
          </cell>
          <cell r="O91">
            <v>1.0933999999999999</v>
          </cell>
          <cell r="P91">
            <v>0.30948999999999999</v>
          </cell>
          <cell r="Q91">
            <v>1.4300999999999999E-2</v>
          </cell>
          <cell r="R91">
            <v>5.8091999999999996E-4</v>
          </cell>
          <cell r="S91">
            <v>19.337</v>
          </cell>
          <cell r="T91">
            <v>0.12024</v>
          </cell>
          <cell r="U91">
            <v>16.533999999999999</v>
          </cell>
          <cell r="V91">
            <v>1.0808E-3</v>
          </cell>
          <cell r="W91">
            <v>1.2095E-2</v>
          </cell>
          <cell r="X91">
            <v>1.2846E-4</v>
          </cell>
          <cell r="Y91">
            <v>5.3706999999999999E-8</v>
          </cell>
          <cell r="Z91">
            <v>3.9915000000000003E-3</v>
          </cell>
          <cell r="AA91">
            <v>2.9899000000000002E-3</v>
          </cell>
          <cell r="AB91">
            <v>5.8507000000000003E-3</v>
          </cell>
          <cell r="AC91">
            <v>3.7492999999999999E-4</v>
          </cell>
          <cell r="AD91">
            <v>7.1199999999999996E-3</v>
          </cell>
          <cell r="AE91">
            <v>4.3444E-3</v>
          </cell>
          <cell r="AF91">
            <v>4.5281000000000002E-2</v>
          </cell>
          <cell r="AG91">
            <v>0.17960000000000001</v>
          </cell>
          <cell r="AH91">
            <v>3.7673999999999999E-2</v>
          </cell>
        </row>
        <row r="104">
          <cell r="D104">
            <v>5.4259E-3</v>
          </cell>
          <cell r="M104">
            <v>0.17365606929999999</v>
          </cell>
          <cell r="N104">
            <v>2.8051999999999998E-4</v>
          </cell>
          <cell r="O104">
            <v>5.1062E-3</v>
          </cell>
          <cell r="P104">
            <v>4.0477000000000004E-3</v>
          </cell>
          <cell r="Q104">
            <v>2.4984999999999999E-5</v>
          </cell>
          <cell r="R104">
            <v>6.018E-7</v>
          </cell>
          <cell r="S104">
            <v>3.8490000000000003E-2</v>
          </cell>
          <cell r="T104">
            <v>7.4255000000000002E-4</v>
          </cell>
          <cell r="U104">
            <v>2.7300999999999999E-2</v>
          </cell>
          <cell r="V104">
            <v>1.7286999999999999E-5</v>
          </cell>
          <cell r="W104">
            <v>2.1064E-4</v>
          </cell>
          <cell r="X104">
            <v>-3.9805999999999998E-5</v>
          </cell>
          <cell r="Y104">
            <v>1.908E-9</v>
          </cell>
          <cell r="Z104">
            <v>1.8263000000000001E-5</v>
          </cell>
          <cell r="AA104">
            <v>5.5226000000000003E-5</v>
          </cell>
          <cell r="AB104">
            <v>4.6202000000000003E-5</v>
          </cell>
          <cell r="AC104">
            <v>5.57E-6</v>
          </cell>
          <cell r="AD104">
            <v>1.0223000000000001E-3</v>
          </cell>
          <cell r="AE104">
            <v>7.3827999999999999E-6</v>
          </cell>
          <cell r="AF104">
            <v>4.1576999999999999E-4</v>
          </cell>
          <cell r="AG104">
            <v>4.8026999999999998E-4</v>
          </cell>
          <cell r="AH104">
            <v>4.9516000000000002E-4</v>
          </cell>
        </row>
        <row r="133">
          <cell r="D133">
            <v>5.0429000000000004</v>
          </cell>
          <cell r="M133">
            <v>72.516837530000004</v>
          </cell>
          <cell r="N133">
            <v>0.36879000000000001</v>
          </cell>
          <cell r="O133">
            <v>4.6026999999999996</v>
          </cell>
          <cell r="P133">
            <v>1.3364</v>
          </cell>
          <cell r="Q133">
            <v>4.9623999999999997</v>
          </cell>
          <cell r="R133">
            <v>0.1462</v>
          </cell>
          <cell r="S133">
            <v>12489</v>
          </cell>
          <cell r="T133">
            <v>0.46650000000000003</v>
          </cell>
          <cell r="U133">
            <v>6530.1</v>
          </cell>
          <cell r="V133">
            <v>3.0044000000000001E-2</v>
          </cell>
          <cell r="W133">
            <v>47.875</v>
          </cell>
          <cell r="X133">
            <v>1.9903999999999998E-3</v>
          </cell>
          <cell r="Y133">
            <v>3.0008000000000002E-7</v>
          </cell>
          <cell r="Z133">
            <v>0.14541000000000001</v>
          </cell>
          <cell r="AA133">
            <v>9.3449000000000004E-2</v>
          </cell>
          <cell r="AB133">
            <v>0.48734</v>
          </cell>
          <cell r="AC133">
            <v>0.61521000000000003</v>
          </cell>
          <cell r="AD133">
            <v>0.43630999999999998</v>
          </cell>
          <cell r="AE133">
            <v>0.16158</v>
          </cell>
          <cell r="AF133">
            <v>2.3043</v>
          </cell>
          <cell r="AG133">
            <v>85.805999999999997</v>
          </cell>
          <cell r="AH133">
            <v>2.3824999999999998</v>
          </cell>
        </row>
      </sheetData>
      <sheetData sheetId="1" refreshError="1"/>
      <sheetData sheetId="2" refreshError="1"/>
      <sheetData sheetId="3" refreshError="1"/>
      <sheetData sheetId="4">
        <row r="39">
          <cell r="D39">
            <v>0</v>
          </cell>
          <cell r="M39">
            <v>0</v>
          </cell>
          <cell r="N39"/>
          <cell r="O39"/>
          <cell r="P39"/>
          <cell r="Q39">
            <v>40.124148502200001</v>
          </cell>
          <cell r="R39"/>
          <cell r="S39">
            <v>52.091288566700001</v>
          </cell>
          <cell r="T39"/>
          <cell r="U39">
            <v>91486.4735506</v>
          </cell>
          <cell r="V39"/>
          <cell r="W39"/>
          <cell r="X39"/>
          <cell r="Y39"/>
          <cell r="Z39"/>
          <cell r="AA39"/>
          <cell r="AB39"/>
          <cell r="AC39">
            <v>420.11577236699998</v>
          </cell>
          <cell r="AD39"/>
          <cell r="AE39"/>
          <cell r="AF39">
            <v>115.505179849</v>
          </cell>
          <cell r="AG39">
            <v>0.35574538533400002</v>
          </cell>
          <cell r="AH39"/>
        </row>
      </sheetData>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sheetNames>
    <sheetDataSet>
      <sheetData sheetId="0">
        <row r="19">
          <cell r="E19">
            <v>0.87</v>
          </cell>
        </row>
        <row r="21">
          <cell r="E21">
            <v>5.8950000000000001E-3</v>
          </cell>
        </row>
        <row r="23">
          <cell r="E23">
            <v>0.89086200000000004</v>
          </cell>
        </row>
        <row r="84">
          <cell r="AP84">
            <v>47.444604396123601</v>
          </cell>
          <cell r="AQ84">
            <v>885.92649220904752</v>
          </cell>
          <cell r="AR84">
            <v>0.77051434755051129</v>
          </cell>
          <cell r="AS84">
            <v>44.186701817821849</v>
          </cell>
          <cell r="AT84">
            <v>20.57519528625356</v>
          </cell>
          <cell r="AU84">
            <v>0.48922703638159126</v>
          </cell>
          <cell r="AV84">
            <v>6.0704563484726744E-3</v>
          </cell>
          <cell r="AW84">
            <v>799.60973406860433</v>
          </cell>
          <cell r="AX84">
            <v>0.77336856295640832</v>
          </cell>
          <cell r="AY84">
            <v>389.89073753877773</v>
          </cell>
          <cell r="AZ84">
            <v>4.3327216108653609E-2</v>
          </cell>
          <cell r="BA84">
            <v>5.0764328507411314</v>
          </cell>
          <cell r="BB84">
            <v>6.949792823956572E-3</v>
          </cell>
          <cell r="BC84">
            <v>4.0302689745330959E-6</v>
          </cell>
          <cell r="BD84">
            <v>0.18009994289158021</v>
          </cell>
          <cell r="BE84">
            <v>0.18621474059777843</v>
          </cell>
          <cell r="BF84">
            <v>0.78318846643206397</v>
          </cell>
          <cell r="BG84">
            <v>0.33660923650471453</v>
          </cell>
          <cell r="BH84">
            <v>9.0890913646502355E-2</v>
          </cell>
          <cell r="BI84">
            <v>4.2888275557994307E-2</v>
          </cell>
          <cell r="BJ84">
            <v>1.5218636469327043</v>
          </cell>
          <cell r="BK84">
            <v>7.4299446954412129</v>
          </cell>
          <cell r="BL84">
            <v>2.6737311553513101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4"/>
  <sheetViews>
    <sheetView workbookViewId="0">
      <selection activeCell="B9" sqref="B9"/>
    </sheetView>
  </sheetViews>
  <sheetFormatPr defaultRowHeight="15"/>
  <cols>
    <col min="1" max="1" width="38.85546875" style="22" customWidth="1"/>
    <col min="2" max="2" width="20.28515625" style="39" customWidth="1"/>
    <col min="3" max="3" width="28.5703125" style="20" customWidth="1"/>
    <col min="4" max="5" width="15.85546875" style="20" customWidth="1"/>
    <col min="6" max="6" width="15.85546875" style="24" customWidth="1"/>
    <col min="7" max="7" width="0" style="1" hidden="1" customWidth="1"/>
    <col min="8" max="9" width="12" style="1" hidden="1" customWidth="1"/>
    <col min="10" max="10" width="13" style="1" customWidth="1"/>
    <col min="11" max="11" width="21" style="19" customWidth="1"/>
    <col min="12" max="12" width="12.140625" style="1" bestFit="1" customWidth="1"/>
    <col min="13" max="13" width="12" style="1" customWidth="1"/>
    <col min="14" max="23" width="9.5703125" style="1" bestFit="1" customWidth="1"/>
    <col min="24" max="24" width="10" style="1" bestFit="1" customWidth="1"/>
    <col min="25" max="34" width="9.5703125" style="1" bestFit="1" customWidth="1"/>
    <col min="35" max="35" width="15.42578125" style="1" customWidth="1"/>
    <col min="36" max="16384" width="9.140625" style="1"/>
  </cols>
  <sheetData>
    <row r="1" spans="1:34" s="84" customFormat="1" ht="15.75" thickBot="1">
      <c r="A1" s="86" t="s">
        <v>144</v>
      </c>
      <c r="B1" s="87" t="s">
        <v>145</v>
      </c>
      <c r="C1" s="88" t="s">
        <v>146</v>
      </c>
      <c r="D1" s="20"/>
      <c r="E1" s="20"/>
      <c r="F1" s="24"/>
      <c r="K1" s="19"/>
    </row>
    <row r="2" spans="1:34" s="84" customFormat="1">
      <c r="A2" s="89" t="s">
        <v>147</v>
      </c>
      <c r="B2" s="90">
        <v>0.9</v>
      </c>
      <c r="C2" s="91" t="s">
        <v>148</v>
      </c>
      <c r="D2" s="20"/>
      <c r="E2" s="20"/>
      <c r="F2" s="24"/>
      <c r="K2" s="19"/>
    </row>
    <row r="3" spans="1:34" s="84" customFormat="1">
      <c r="A3" s="92" t="s">
        <v>149</v>
      </c>
      <c r="B3" s="93">
        <v>0.95</v>
      </c>
      <c r="C3" s="94" t="s">
        <v>148</v>
      </c>
      <c r="D3" s="20"/>
      <c r="E3" s="20"/>
      <c r="F3" s="24"/>
      <c r="K3" s="19"/>
    </row>
    <row r="4" spans="1:34" s="84" customFormat="1">
      <c r="A4" s="95" t="s">
        <v>150</v>
      </c>
      <c r="B4" s="93">
        <v>1</v>
      </c>
      <c r="C4" s="96" t="s">
        <v>151</v>
      </c>
      <c r="D4" s="20"/>
      <c r="E4" s="20"/>
      <c r="F4" s="24"/>
      <c r="K4" s="19"/>
    </row>
    <row r="5" spans="1:34" s="84" customFormat="1">
      <c r="A5" s="95" t="s">
        <v>152</v>
      </c>
      <c r="B5" s="93">
        <v>1</v>
      </c>
      <c r="C5" s="96" t="s">
        <v>151</v>
      </c>
      <c r="D5" s="20"/>
      <c r="E5" s="20"/>
      <c r="F5" s="24"/>
      <c r="K5" s="19"/>
    </row>
    <row r="6" spans="1:34" s="84" customFormat="1">
      <c r="A6" s="97" t="s">
        <v>154</v>
      </c>
      <c r="B6" s="93">
        <v>1</v>
      </c>
      <c r="C6" s="96" t="s">
        <v>151</v>
      </c>
      <c r="D6" s="20"/>
      <c r="E6" s="20"/>
      <c r="F6" s="24"/>
      <c r="K6" s="19"/>
    </row>
    <row r="7" spans="1:34" s="84" customFormat="1">
      <c r="A7" s="97" t="s">
        <v>155</v>
      </c>
      <c r="B7" s="93">
        <v>1</v>
      </c>
      <c r="C7" s="96" t="s">
        <v>151</v>
      </c>
      <c r="D7" s="20"/>
      <c r="E7" s="20"/>
      <c r="F7" s="24"/>
      <c r="K7" s="19"/>
    </row>
    <row r="8" spans="1:34" s="84" customFormat="1">
      <c r="A8" s="97" t="s">
        <v>156</v>
      </c>
      <c r="B8" s="93">
        <v>1</v>
      </c>
      <c r="C8" s="96" t="s">
        <v>151</v>
      </c>
      <c r="D8" s="20"/>
      <c r="E8" s="20"/>
      <c r="F8" s="24"/>
      <c r="K8" s="19"/>
    </row>
    <row r="9" spans="1:34" s="84" customFormat="1">
      <c r="A9" s="97" t="s">
        <v>157</v>
      </c>
      <c r="B9" s="93">
        <v>1</v>
      </c>
      <c r="C9" s="96" t="s">
        <v>151</v>
      </c>
      <c r="D9" s="20"/>
      <c r="E9" s="20"/>
      <c r="F9" s="24"/>
      <c r="K9" s="19"/>
    </row>
    <row r="10" spans="1:34" s="84" customFormat="1">
      <c r="A10" s="85"/>
      <c r="B10" s="39"/>
      <c r="C10" s="20"/>
      <c r="D10" s="20"/>
      <c r="E10" s="20"/>
      <c r="F10" s="24"/>
      <c r="K10" s="19"/>
    </row>
    <row r="11" spans="1:34">
      <c r="A11" s="111" t="s">
        <v>129</v>
      </c>
      <c r="B11" s="110" t="s">
        <v>9</v>
      </c>
      <c r="C11" s="112" t="s">
        <v>10</v>
      </c>
      <c r="D11" s="112" t="s">
        <v>11</v>
      </c>
      <c r="E11" s="112" t="s">
        <v>12</v>
      </c>
      <c r="F11" s="113" t="s">
        <v>13</v>
      </c>
      <c r="G11" s="21"/>
      <c r="H11" s="21"/>
      <c r="I11" s="21"/>
      <c r="J11" s="112"/>
      <c r="K11" s="31"/>
      <c r="L11" s="32"/>
      <c r="M11" s="32"/>
      <c r="N11" s="108" t="s">
        <v>24</v>
      </c>
      <c r="O11" s="108"/>
      <c r="P11" s="108"/>
      <c r="Q11" s="108"/>
      <c r="R11" s="108"/>
      <c r="S11" s="108"/>
      <c r="T11" s="108"/>
      <c r="U11" s="108"/>
      <c r="V11" s="108"/>
      <c r="W11" s="108"/>
      <c r="X11" s="108"/>
      <c r="Y11" s="108"/>
      <c r="Z11" s="108"/>
      <c r="AA11" s="108"/>
      <c r="AB11" s="108"/>
      <c r="AC11" s="108"/>
      <c r="AD11" s="108"/>
      <c r="AE11" s="108"/>
      <c r="AF11" s="109" t="s">
        <v>25</v>
      </c>
      <c r="AG11" s="109"/>
      <c r="AH11" s="109"/>
    </row>
    <row r="12" spans="1:34" ht="36.75" customHeight="1">
      <c r="A12" s="111"/>
      <c r="B12" s="110"/>
      <c r="C12" s="112"/>
      <c r="D12" s="112"/>
      <c r="E12" s="112"/>
      <c r="F12" s="113"/>
      <c r="G12" s="21"/>
      <c r="H12" s="21"/>
      <c r="I12" s="21"/>
      <c r="J12" s="112"/>
      <c r="K12" s="27"/>
      <c r="L12" s="27" t="s">
        <v>22</v>
      </c>
      <c r="M12" s="28" t="s">
        <v>23</v>
      </c>
      <c r="N12" s="29" t="s">
        <v>35</v>
      </c>
      <c r="O12" s="29" t="s">
        <v>36</v>
      </c>
      <c r="P12" s="29" t="s">
        <v>37</v>
      </c>
      <c r="Q12" s="29" t="s">
        <v>38</v>
      </c>
      <c r="R12" s="29" t="s">
        <v>39</v>
      </c>
      <c r="S12" s="29" t="s">
        <v>40</v>
      </c>
      <c r="T12" s="29" t="s">
        <v>41</v>
      </c>
      <c r="U12" s="29" t="s">
        <v>42</v>
      </c>
      <c r="V12" s="29" t="s">
        <v>43</v>
      </c>
      <c r="W12" s="29" t="s">
        <v>44</v>
      </c>
      <c r="X12" s="29" t="s">
        <v>45</v>
      </c>
      <c r="Y12" s="29" t="s">
        <v>46</v>
      </c>
      <c r="Z12" s="29" t="s">
        <v>47</v>
      </c>
      <c r="AA12" s="29" t="s">
        <v>48</v>
      </c>
      <c r="AB12" s="29" t="s">
        <v>49</v>
      </c>
      <c r="AC12" s="29" t="s">
        <v>50</v>
      </c>
      <c r="AD12" s="29" t="s">
        <v>51</v>
      </c>
      <c r="AE12" s="29" t="s">
        <v>52</v>
      </c>
      <c r="AF12" s="30" t="s">
        <v>53</v>
      </c>
      <c r="AG12" s="30" t="s">
        <v>54</v>
      </c>
      <c r="AH12" s="30" t="s">
        <v>55</v>
      </c>
    </row>
    <row r="13" spans="1:34">
      <c r="A13" s="26" t="s">
        <v>8</v>
      </c>
      <c r="B13" s="25"/>
      <c r="C13" s="21"/>
      <c r="D13" s="21"/>
      <c r="E13" s="21"/>
      <c r="F13" s="23"/>
      <c r="G13" s="21"/>
      <c r="H13" s="21"/>
      <c r="I13" s="21"/>
      <c r="J13" s="21"/>
      <c r="K13" s="21" t="str">
        <f>A14</f>
        <v>FTO glass</v>
      </c>
      <c r="L13" s="23">
        <f>$F$14*'[1]FTO glass'!D41</f>
        <v>0.34780676817599987</v>
      </c>
      <c r="M13" s="23">
        <f>$F$14*'[1]FTO glass'!M41</f>
        <v>8.5029036949120105</v>
      </c>
      <c r="N13" s="23">
        <f>$F$14*'[1]FTO glass'!N41</f>
        <v>0.62012667171671987</v>
      </c>
      <c r="O13" s="23">
        <f>$F$14*'[1]FTO glass'!O41</f>
        <v>0.35862291309599986</v>
      </c>
      <c r="P13" s="23">
        <f>$F$14*'[1]FTO glass'!P41</f>
        <v>8.3657114503199972E-2</v>
      </c>
      <c r="Q13" s="23">
        <f>$F$14*'[1]FTO glass'!Q41</f>
        <v>9.6806916922641852E-3</v>
      </c>
      <c r="R13" s="23">
        <f>$F$14*'[1]FTO glass'!R41</f>
        <v>2.0273180159735994E-4</v>
      </c>
      <c r="S13" s="23">
        <f>$F$14*'[1]FTO glass'!S41</f>
        <v>12.488415725309689</v>
      </c>
      <c r="T13" s="23">
        <f>$F$14*'[1]FTO glass'!T41</f>
        <v>2.1998732374079993E-2</v>
      </c>
      <c r="U13" s="23">
        <f>$F$14*'[1]FTO glass'!U41</f>
        <v>8.8426822169151311</v>
      </c>
      <c r="V13" s="23">
        <f>$F$14*'[1]FTO glass'!V41</f>
        <v>1.0613301240527996E-3</v>
      </c>
      <c r="W13" s="23">
        <f>$F$14*'[1]FTO glass'!W41</f>
        <v>3.7727846160631189</v>
      </c>
      <c r="X13" s="23">
        <f>$F$14*'[1]FTO glass'!X41</f>
        <v>2.6633363931215991E-4</v>
      </c>
      <c r="Y13" s="23">
        <f>$F$14*'[1]FTO glass'!Y41</f>
        <v>2.258871789887999E-8</v>
      </c>
      <c r="Z13" s="23">
        <f>$F$14*'[1]FTO glass'!Z41</f>
        <v>3.1256384650847993E-3</v>
      </c>
      <c r="AA13" s="23">
        <f>$F$14*'[1]FTO glass'!AA41</f>
        <v>4.8130512783804954E-3</v>
      </c>
      <c r="AB13" s="23">
        <f>$F$14*'[1]FTO glass'!AB41</f>
        <v>6.2621029628639989E-3</v>
      </c>
      <c r="AC13" s="23">
        <f>$F$14*'[1]FTO glass'!AC41</f>
        <v>7.4279348593848395E-4</v>
      </c>
      <c r="AD13" s="23">
        <f>$F$14*'[1]FTO glass'!AD41</f>
        <v>1.4772324234023996E-2</v>
      </c>
      <c r="AE13" s="23">
        <f>$F$14*'[1]FTO glass'!AE41</f>
        <v>7.7349191552639966E-4</v>
      </c>
      <c r="AF13" s="23">
        <f>$F$14*'[1]FTO glass'!AF41</f>
        <v>5.0998414695703549E-2</v>
      </c>
      <c r="AG13" s="23">
        <f>$F$14*'[1]FTO glass'!AG41</f>
        <v>0.10265223189718113</v>
      </c>
      <c r="AH13" s="23">
        <f>$F$14*'[1]FTO glass'!AH41</f>
        <v>0.18519365587967995</v>
      </c>
    </row>
    <row r="14" spans="1:34">
      <c r="A14" s="21" t="s">
        <v>0</v>
      </c>
      <c r="B14" s="25" t="s">
        <v>14</v>
      </c>
      <c r="C14" s="21">
        <v>1</v>
      </c>
      <c r="D14" s="21" t="s">
        <v>14</v>
      </c>
      <c r="E14" s="21" t="s">
        <v>14</v>
      </c>
      <c r="F14" s="23">
        <f>5.04*(1-B2)</f>
        <v>0.50399999999999989</v>
      </c>
      <c r="G14" s="21"/>
      <c r="H14" s="21"/>
      <c r="I14" s="21"/>
      <c r="J14" s="21"/>
      <c r="K14" s="21" t="str">
        <f>A16</f>
        <v>BL-TiO₂ ink</v>
      </c>
      <c r="L14" s="23">
        <f>$F$16*'[1]BL-TiO2 ink'!D14</f>
        <v>2.2765392121238096E-3</v>
      </c>
      <c r="M14" s="23">
        <f>$F$16*'[1]BL-TiO2 ink'!M14</f>
        <v>6.1700956254785687E-2</v>
      </c>
      <c r="N14" s="23">
        <f>$F$16*'[1]BL-TiO2 ink'!N14</f>
        <v>1.2931994334481286E-3</v>
      </c>
      <c r="O14" s="23">
        <f>$F$16*'[1]BL-TiO2 ink'!O14</f>
        <v>1.9695817554351283E-3</v>
      </c>
      <c r="P14" s="23">
        <f>$F$16*'[1]BL-TiO2 ink'!P14</f>
        <v>7.0744935330554007E-4</v>
      </c>
      <c r="Q14" s="23">
        <f>$F$16*'[1]BL-TiO2 ink'!Q14</f>
        <v>4.5729244499394372E-5</v>
      </c>
      <c r="R14" s="23">
        <f>$F$16*'[1]BL-TiO2 ink'!R14</f>
        <v>8.4917838143480974E-7</v>
      </c>
      <c r="S14" s="23">
        <f>$F$16*'[1]BL-TiO2 ink'!S14</f>
        <v>2.7776640399273703E-2</v>
      </c>
      <c r="T14" s="23">
        <f>$F$16*'[1]BL-TiO2 ink'!T14</f>
        <v>1.3782653163698424E-4</v>
      </c>
      <c r="U14" s="23">
        <f>$F$16*'[1]BL-TiO2 ink'!U14</f>
        <v>2.2877280080022176E-2</v>
      </c>
      <c r="V14" s="23">
        <f>$F$16*'[1]BL-TiO2 ink'!V14</f>
        <v>7.6318507950416927E-6</v>
      </c>
      <c r="W14" s="23">
        <f>$F$16*'[1]BL-TiO2 ink'!W14</f>
        <v>8.6460236902545699E-5</v>
      </c>
      <c r="X14" s="23">
        <f>$F$16*'[1]BL-TiO2 ink'!X14</f>
        <v>1.3390051863348493E-6</v>
      </c>
      <c r="Y14" s="23">
        <f>$F$16*'[1]BL-TiO2 ink'!Y14</f>
        <v>1.7992849177731626E-10</v>
      </c>
      <c r="Z14" s="23">
        <f>$F$16*'[1]BL-TiO2 ink'!Z14</f>
        <v>5.7320391638240599E-6</v>
      </c>
      <c r="AA14" s="23">
        <f>$F$16*'[1]BL-TiO2 ink'!AA14</f>
        <v>7.2599651487083052E-6</v>
      </c>
      <c r="AB14" s="23">
        <f>$F$16*'[1]BL-TiO2 ink'!AB14</f>
        <v>1.7736710634835446E-5</v>
      </c>
      <c r="AC14" s="23">
        <f>$F$16*'[1]BL-TiO2 ink'!AC14</f>
        <v>9.6960437372414304E-6</v>
      </c>
      <c r="AD14" s="23">
        <f>$F$16*'[1]BL-TiO2 ink'!AD14</f>
        <v>7.4044005221490501E-5</v>
      </c>
      <c r="AE14" s="23">
        <f>$F$16*'[1]BL-TiO2 ink'!AE14</f>
        <v>4.2819083358078394E-4</v>
      </c>
      <c r="AF14" s="23">
        <f>$F$16*'[1]BL-TiO2 ink'!AF14</f>
        <v>4.1223709611176268E-4</v>
      </c>
      <c r="AG14" s="23">
        <f>$F$16*'[1]BL-TiO2 ink'!AG14</f>
        <v>2.7034988925174935E-4</v>
      </c>
      <c r="AH14" s="23">
        <f>$F$16*'[1]BL-TiO2 ink'!AH14</f>
        <v>8.9747570352761188E-5</v>
      </c>
    </row>
    <row r="15" spans="1:34">
      <c r="A15" s="26" t="s">
        <v>1</v>
      </c>
      <c r="B15" s="25"/>
      <c r="C15" s="21"/>
      <c r="D15" s="21"/>
      <c r="E15" s="21"/>
      <c r="F15" s="23"/>
      <c r="G15" s="21"/>
      <c r="H15" s="21"/>
      <c r="I15" s="21"/>
      <c r="J15" s="21"/>
      <c r="K15" s="21" t="str">
        <f>A18</f>
        <v>MP-TiO₂</v>
      </c>
      <c r="L15" s="23">
        <f>$F$18*[2]production!D89</f>
        <v>4.364040239999999E-4</v>
      </c>
      <c r="M15" s="23">
        <f>$F$18*[2]production!M89</f>
        <v>4.6809738838835997E-3</v>
      </c>
      <c r="N15" s="23">
        <f>$F$18*[2]production!N89</f>
        <v>1.8693385199999995E-5</v>
      </c>
      <c r="O15" s="23">
        <f>$F$18*[2]production!O89</f>
        <v>3.7708588799999991E-4</v>
      </c>
      <c r="P15" s="23">
        <f>$F$18*[2]production!P89</f>
        <v>9.2951711999999972E-5</v>
      </c>
      <c r="Q15" s="23">
        <f>$F$18*[2]production!Q89</f>
        <v>6.6916907999999986E-6</v>
      </c>
      <c r="R15" s="23">
        <f>$F$18*[2]production!R89</f>
        <v>1.7321342399999995E-7</v>
      </c>
      <c r="S15" s="23">
        <f>$F$18*[2]production!S89</f>
        <v>6.163279199999999E-3</v>
      </c>
      <c r="T15" s="23">
        <f>$F$18*[2]production!T89</f>
        <v>2.3518123199999994E-5</v>
      </c>
      <c r="U15" s="23">
        <f>$F$18*[2]production!U89</f>
        <v>7.7231339999999987E-3</v>
      </c>
      <c r="V15" s="23">
        <f>$F$18*[2]production!V89</f>
        <v>4.0176032399999992E-7</v>
      </c>
      <c r="W15" s="23">
        <f>$F$18*[2]production!W89</f>
        <v>1.1684951999999996E-5</v>
      </c>
      <c r="X15" s="23">
        <f>$F$18*[2]production!X89</f>
        <v>8.7357959999999981E-8</v>
      </c>
      <c r="Y15" s="23">
        <f>$F$18*[2]production!Y89</f>
        <v>3.8645618399999988E-11</v>
      </c>
      <c r="Z15" s="23">
        <f>$F$18*[2]production!Z89</f>
        <v>1.0037282399999998E-6</v>
      </c>
      <c r="AA15" s="23">
        <f>$F$18*[2]production!AA89</f>
        <v>1.4774713199999998E-6</v>
      </c>
      <c r="AB15" s="23">
        <f>$F$18*[2]production!AB89</f>
        <v>2.0841040799999992E-6</v>
      </c>
      <c r="AC15" s="23">
        <f>$F$18*[2]production!AC89</f>
        <v>2.1978064799999994E-7</v>
      </c>
      <c r="AD15" s="23">
        <f>$F$18*[2]production!AD89</f>
        <v>5.7308039999999987E-6</v>
      </c>
      <c r="AE15" s="23">
        <f>$F$18*[2]production!AE89</f>
        <v>4.0110551999999997E-6</v>
      </c>
      <c r="AF15" s="23">
        <f>$F$18*[2]production!AF89</f>
        <v>1.6662477599999995E-5</v>
      </c>
      <c r="AG15" s="23">
        <f>$F$18*[2]production!AG89</f>
        <v>5.7089771999999987E-5</v>
      </c>
      <c r="AH15" s="23">
        <f>$F$18*[2]production!AH89</f>
        <v>1.2806240399999997E-5</v>
      </c>
    </row>
    <row r="16" spans="1:34">
      <c r="A16" s="21" t="s">
        <v>123</v>
      </c>
      <c r="B16" s="25">
        <v>60</v>
      </c>
      <c r="C16" s="21">
        <v>0.8</v>
      </c>
      <c r="D16" s="21">
        <v>4230</v>
      </c>
      <c r="E16" s="21">
        <v>0.8</v>
      </c>
      <c r="F16" s="23">
        <f>B16/1000000000*C16*D16/E16/80*190/0.0481*1*(1-B2)</f>
        <v>1.2531704781704779E-3</v>
      </c>
      <c r="G16" s="21">
        <f>B16/1000000000*C16*D16</f>
        <v>2.0304000000000001E-4</v>
      </c>
      <c r="H16" s="21"/>
      <c r="I16" s="21"/>
      <c r="J16" s="21"/>
      <c r="K16" s="21" t="str">
        <f>A19</f>
        <v>2-methoxyethanol</v>
      </c>
      <c r="L16" s="23">
        <f>$F$19*[2]production!D10</f>
        <v>5.7271391279999984E-4</v>
      </c>
      <c r="M16" s="23">
        <f>$F$19*[2]production!M10</f>
        <v>1.6125322627587774E-2</v>
      </c>
      <c r="N16" s="23">
        <f>$F$19*[2]production!N10</f>
        <v>1.9657773170999993E-5</v>
      </c>
      <c r="O16" s="23">
        <f>$F$19*[2]production!O10</f>
        <v>5.0901100109999983E-4</v>
      </c>
      <c r="P16" s="23">
        <f>$F$19*[2]production!P10</f>
        <v>3.5721144449999987E-4</v>
      </c>
      <c r="Q16" s="23">
        <f>$F$19*[2]production!Q10</f>
        <v>4.4562648149999983E-6</v>
      </c>
      <c r="R16" s="23">
        <f>$F$19*[2]production!R10</f>
        <v>1.9132916039999996E-7</v>
      </c>
      <c r="S16" s="23">
        <f>$F$19*[2]production!S10</f>
        <v>6.7344827489999983E-3</v>
      </c>
      <c r="T16" s="23">
        <f>$F$19*[2]production!T10</f>
        <v>2.9852933129999991E-5</v>
      </c>
      <c r="U16" s="23">
        <f>$F$19*[2]production!U10</f>
        <v>5.2916767019999993E-3</v>
      </c>
      <c r="V16" s="23">
        <f>$F$19*[2]production!V10</f>
        <v>4.1481592289999991E-7</v>
      </c>
      <c r="W16" s="23">
        <f>$F$19*[2]production!W10</f>
        <v>2.5143179219999992E-5</v>
      </c>
      <c r="X16" s="23">
        <f>$F$19*[2]production!X10</f>
        <v>4.1106869279999989E-8</v>
      </c>
      <c r="Y16" s="23">
        <f>$F$19*[2]production!Y10</f>
        <v>1.8822606200999992E-11</v>
      </c>
      <c r="Z16" s="23">
        <f>$F$19*[2]production!Z10</f>
        <v>9.578214035999998E-7</v>
      </c>
      <c r="AA16" s="23">
        <f>$F$19*[2]production!AA10</f>
        <v>1.9728309266999996E-6</v>
      </c>
      <c r="AB16" s="23">
        <f>$F$19*[2]production!AB10</f>
        <v>2.0768226848999995E-6</v>
      </c>
      <c r="AC16" s="23">
        <f>$F$19*[2]production!AC10</f>
        <v>2.3957291105999994E-7</v>
      </c>
      <c r="AD16" s="23">
        <f>$F$19*[2]production!AD10</f>
        <v>2.9909264039999992E-6</v>
      </c>
      <c r="AE16" s="23">
        <f>$F$19*[2]production!AE10</f>
        <v>1.0812350798999996E-6</v>
      </c>
      <c r="AF16" s="23">
        <f>$F$19*[2]production!AF10</f>
        <v>1.9518170480999995E-5</v>
      </c>
      <c r="AG16" s="23">
        <f>$F$19*[2]production!AG10</f>
        <v>6.5890020509999983E-5</v>
      </c>
      <c r="AH16" s="23">
        <f>$F$19*[2]production!AH10</f>
        <v>4.4001788219999986E-5</v>
      </c>
    </row>
    <row r="17" spans="1:35">
      <c r="A17" s="26" t="s">
        <v>2</v>
      </c>
      <c r="B17" s="25"/>
      <c r="C17" s="21"/>
      <c r="D17" s="21"/>
      <c r="E17" s="21"/>
      <c r="F17" s="23"/>
      <c r="G17" s="21"/>
      <c r="H17" s="21"/>
      <c r="I17" s="21"/>
      <c r="J17" s="21"/>
      <c r="K17" s="21" t="str">
        <f>A22</f>
        <v>PbI₂</v>
      </c>
      <c r="L17" s="23">
        <f>$F$22*[1]PbI2!D18</f>
        <v>3.5016340047384839E-3</v>
      </c>
      <c r="M17" s="23">
        <f>$F$22*[1]PbI2!M18</f>
        <v>4.1638537323627607E-2</v>
      </c>
      <c r="N17" s="23">
        <f>$F$22*[1]PbI2!N18</f>
        <v>8.0315919509735658E-4</v>
      </c>
      <c r="O17" s="23">
        <f>$F$22*[1]PbI2!O18</f>
        <v>2.9905093719598446E-3</v>
      </c>
      <c r="P17" s="23">
        <f>$F$22*[1]PbI2!P18</f>
        <v>7.9376205007695207E-4</v>
      </c>
      <c r="Q17" s="23">
        <f>$F$22*[1]PbI2!Q18</f>
        <v>5.4673540733933863E-5</v>
      </c>
      <c r="R17" s="23">
        <f>$F$22*[1]PbI2!R18</f>
        <v>1.5179014444515991E-6</v>
      </c>
      <c r="S17" s="23">
        <f>$F$22*[1]PbI2!S18</f>
        <v>0.11963359576839162</v>
      </c>
      <c r="T17" s="23">
        <f>$F$22*[1]PbI2!T18</f>
        <v>1.4699736015628701E-4</v>
      </c>
      <c r="U17" s="23">
        <f>$F$22*[1]PbI2!U18</f>
        <v>5.9997222638626599E-2</v>
      </c>
      <c r="V17" s="23">
        <f>$F$22*[1]PbI2!V18</f>
        <v>3.9576161819112662E-6</v>
      </c>
      <c r="W17" s="23">
        <f>$F$22*[1]PbI2!W18</f>
        <v>4.8502748767224153E-4</v>
      </c>
      <c r="X17" s="23">
        <f>$F$22*[1]PbI2!X18</f>
        <v>5.0873998665882582E-7</v>
      </c>
      <c r="Y17" s="23">
        <f>$F$22*[1]PbI2!Y18</f>
        <v>3.423710611539992E-10</v>
      </c>
      <c r="Z17" s="23">
        <f>$F$22*[1]PbI2!Z18</f>
        <v>8.4754639927782855E-6</v>
      </c>
      <c r="AA17" s="23">
        <f>$F$22*[1]PbI2!AA18</f>
        <v>1.1929587231566769E-5</v>
      </c>
      <c r="AB17" s="23">
        <f>$F$22*[1]PbI2!AB18</f>
        <v>2.397741249812619E-5</v>
      </c>
      <c r="AC17" s="23">
        <f>$F$22*[1]PbI2!AC18</f>
        <v>4.1249692244903267E-6</v>
      </c>
      <c r="AD17" s="23">
        <f>$F$22*[1]PbI2!AD18</f>
        <v>3.0844687943231479E-5</v>
      </c>
      <c r="AE17" s="23">
        <f>$F$22*[1]PbI2!AE18</f>
        <v>9.0068282191990196E-6</v>
      </c>
      <c r="AF17" s="23">
        <f>$F$22*[1]PbI2!AF18</f>
        <v>1.4667782600579719E-4</v>
      </c>
      <c r="AG17" s="23">
        <f>$F$22*[1]PbI2!AG18</f>
        <v>9.3640214573677001E-4</v>
      </c>
      <c r="AH17" s="23">
        <f>$F$22*[1]PbI2!AH18</f>
        <v>1.176927835741781E-4</v>
      </c>
    </row>
    <row r="18" spans="1:35">
      <c r="A18" s="21" t="s">
        <v>124</v>
      </c>
      <c r="B18" s="25">
        <v>150</v>
      </c>
      <c r="C18" s="21">
        <v>0.8</v>
      </c>
      <c r="D18" s="21">
        <v>4230</v>
      </c>
      <c r="E18" s="21">
        <v>1</v>
      </c>
      <c r="F18" s="23">
        <f>B18/1000000000*C18*D18/E18*(1-B2)</f>
        <v>5.0759999999999988E-5</v>
      </c>
      <c r="G18" s="21"/>
      <c r="H18" s="21"/>
      <c r="I18" s="21"/>
      <c r="J18" s="21"/>
      <c r="K18" s="21" t="str">
        <f t="shared" ref="K18:K23" si="0">A23</f>
        <v>PbBr₂</v>
      </c>
      <c r="L18" s="23">
        <f>$F$23*[3]Sheet1!P22</f>
        <v>6.0294176243999574E-5</v>
      </c>
      <c r="M18" s="23">
        <f>$F$23*[3]Sheet1!Y22</f>
        <v>7.9057775962192297E-4</v>
      </c>
      <c r="N18" s="23">
        <f>$F$23*[3]Sheet1!Z22</f>
        <v>1.787536424718461E-5</v>
      </c>
      <c r="O18" s="23">
        <f>$F$23*[3]Sheet1!AA22</f>
        <v>5.5387418860085569E-5</v>
      </c>
      <c r="P18" s="23">
        <f>$F$23*[3]Sheet1!AB22</f>
        <v>1.4335309932108604E-5</v>
      </c>
      <c r="Q18" s="23">
        <f>$F$23*[3]Sheet1!AC22</f>
        <v>1.3650662462844921E-6</v>
      </c>
      <c r="R18" s="23">
        <f>$F$23*[3]Sheet1!AD22</f>
        <v>4.0820407658993643E-8</v>
      </c>
      <c r="S18" s="23">
        <f>$F$23*[3]Sheet1!AE22</f>
        <v>3.6829831424864158E-3</v>
      </c>
      <c r="T18" s="23">
        <f>$F$23*[3]Sheet1!AF22</f>
        <v>3.1893711547178592E-6</v>
      </c>
      <c r="U18" s="23">
        <f>$F$23*[3]Sheet1!AG22</f>
        <v>1.5845976687352324E-3</v>
      </c>
      <c r="V18" s="23">
        <f>$F$23*[3]Sheet1!AH22</f>
        <v>1.1188486671891073E-7</v>
      </c>
      <c r="W18" s="23">
        <f>$F$23*[3]Sheet1!AI22</f>
        <v>1.743929250096639E-5</v>
      </c>
      <c r="X18" s="23">
        <f>$F$23*[3]Sheet1!AJ22</f>
        <v>9.0359824228299086E-9</v>
      </c>
      <c r="Y18" s="23">
        <f>$F$23*[3]Sheet1!AK22</f>
        <v>5.4919543399528897E-12</v>
      </c>
      <c r="Z18" s="23">
        <f>$F$23*[3]Sheet1!AL22</f>
        <v>3.0468485467940722E-7</v>
      </c>
      <c r="AA18" s="23">
        <f>$F$23*[3]Sheet1!AM22</f>
        <v>7.6670125720519565E-7</v>
      </c>
      <c r="AB18" s="23">
        <f>$F$23*[3]Sheet1!AN22</f>
        <v>9.331060616620476E-7</v>
      </c>
      <c r="AC18" s="23">
        <f>$F$23*[3]Sheet1!AO22</f>
        <v>7.9564572968540095E-8</v>
      </c>
      <c r="AD18" s="23">
        <f>$F$23*[3]Sheet1!AP22</f>
        <v>6.8207202674132785E-7</v>
      </c>
      <c r="AE18" s="23">
        <f>$F$23*[3]Sheet1!AQ22</f>
        <v>2.9174225954603977E-7</v>
      </c>
      <c r="AF18" s="23">
        <f>$F$23*[3]Sheet1!AR22</f>
        <v>3.056169212646908E-6</v>
      </c>
      <c r="AG18" s="23">
        <f>$F$23*[3]Sheet1!AS22</f>
        <v>2.77309347596421E-5</v>
      </c>
      <c r="AH18" s="23">
        <f>$F$23*[3]Sheet1!AT22</f>
        <v>2.5285314408568824E-6</v>
      </c>
    </row>
    <row r="19" spans="1:35">
      <c r="A19" s="21" t="s">
        <v>80</v>
      </c>
      <c r="B19" s="25"/>
      <c r="C19" s="21"/>
      <c r="D19" s="21"/>
      <c r="E19" s="21"/>
      <c r="F19" s="23">
        <f>F18*1000*5/1000000*965</f>
        <v>2.4491699999999993E-4</v>
      </c>
      <c r="G19" s="21"/>
      <c r="H19" s="21"/>
      <c r="I19" s="21"/>
      <c r="J19" s="21"/>
      <c r="K19" s="21" t="str">
        <f t="shared" si="0"/>
        <v>FAI</v>
      </c>
      <c r="L19" s="23">
        <f>$F$24*[4]Sheet1!P26</f>
        <v>2.0114480946874777E-2</v>
      </c>
      <c r="M19" s="23">
        <f>$F$24*[4]Sheet1!Y26</f>
        <v>0.35631319119228022</v>
      </c>
      <c r="N19" s="23">
        <f>$F$24*[4]Sheet1!Z26</f>
        <v>3.3724328029935353E-4</v>
      </c>
      <c r="O19" s="23">
        <f>$F$24*[4]Sheet1!AA26</f>
        <v>1.8893218006153331E-2</v>
      </c>
      <c r="P19" s="23">
        <f>$F$24*[4]Sheet1!AB26</f>
        <v>8.2663717912582445E-3</v>
      </c>
      <c r="Q19" s="23">
        <f>$F$24*[4]Sheet1!AC26</f>
        <v>8.7607107756067093E-5</v>
      </c>
      <c r="R19" s="23">
        <f>$F$24*[4]Sheet1!AD26</f>
        <v>6.6612200222894416E-7</v>
      </c>
      <c r="S19" s="23">
        <f>$F$24*[4]Sheet1!AE26</f>
        <v>0.15755410985478696</v>
      </c>
      <c r="T19" s="23">
        <f>$F$24*[4]Sheet1!AF26</f>
        <v>1.5380847879207469E-4</v>
      </c>
      <c r="U19" s="23">
        <f>$F$24*[4]Sheet1!AG26</f>
        <v>5.4143526470466163E-2</v>
      </c>
      <c r="V19" s="23">
        <f>$F$24*[4]Sheet1!AH26</f>
        <v>1.8620177183795496E-5</v>
      </c>
      <c r="W19" s="23">
        <f>$F$24*[4]Sheet1!AI26</f>
        <v>1.0631882345536246E-4</v>
      </c>
      <c r="X19" s="23">
        <f>$F$24*[4]Sheet1!AJ26</f>
        <v>3.3223284784395848E-6</v>
      </c>
      <c r="Y19" s="23">
        <f>$F$24*[4]Sheet1!AK26</f>
        <v>3.6408292331235422E-8</v>
      </c>
      <c r="Z19" s="23">
        <f>$F$24*[4]Sheet1!AL26</f>
        <v>2.2074361746497299E-5</v>
      </c>
      <c r="AA19" s="23">
        <f>$F$24*[4]Sheet1!AM26</f>
        <v>6.945563910145705E-5</v>
      </c>
      <c r="AB19" s="23">
        <f>$F$24*[4]Sheet1!AN26</f>
        <v>8.3806690793325662E-5</v>
      </c>
      <c r="AC19" s="23">
        <f>$F$24*[4]Sheet1!AO26</f>
        <v>3.7417686853794654E-6</v>
      </c>
      <c r="AD19" s="23">
        <f>$F$24*[4]Sheet1!AP26</f>
        <v>2.6285211569953851E-5</v>
      </c>
      <c r="AE19" s="23">
        <f>$F$24*[4]Sheet1!AQ26</f>
        <v>9.5967936906898659E-5</v>
      </c>
      <c r="AF19" s="23">
        <f>$F$24*[4]Sheet1!AR26</f>
        <v>6.340999703515509E-4</v>
      </c>
      <c r="AG19" s="23">
        <f>$F$24*[4]Sheet1!AS26</f>
        <v>1.7796963954646E-3</v>
      </c>
      <c r="AH19" s="23">
        <f>$F$24*[4]Sheet1!AT26</f>
        <v>9.9616632314630436E-4</v>
      </c>
    </row>
    <row r="20" spans="1:35">
      <c r="A20" s="32" t="s">
        <v>20</v>
      </c>
      <c r="B20" s="37"/>
      <c r="C20" s="32"/>
      <c r="D20" s="32"/>
      <c r="E20" s="32"/>
      <c r="F20" s="35">
        <f>25.77/1000</f>
        <v>2.5770000000000001E-2</v>
      </c>
      <c r="G20" s="21" t="s">
        <v>81</v>
      </c>
      <c r="H20" s="21" t="s">
        <v>82</v>
      </c>
      <c r="I20" s="21"/>
      <c r="J20" s="21" t="s">
        <v>127</v>
      </c>
      <c r="K20" s="21" t="str">
        <f t="shared" si="0"/>
        <v>MABr</v>
      </c>
      <c r="L20" s="23">
        <f>$F$25*[5]Sheet1!K20</f>
        <v>0.1114344024570799</v>
      </c>
      <c r="M20" s="23">
        <f>$F$25*[5]Sheet1!T20</f>
        <v>1.9630136677403471</v>
      </c>
      <c r="N20" s="23">
        <f>$F$25*[5]Sheet1!U20</f>
        <v>9.8029983179979681E-4</v>
      </c>
      <c r="O20" s="23">
        <f>$F$25*[5]Sheet1!V20</f>
        <v>0.10515728209198488</v>
      </c>
      <c r="P20" s="23">
        <f>$F$25*[5]Sheet1!W20</f>
        <v>4.6331785855829137E-2</v>
      </c>
      <c r="Q20" s="23">
        <f>$F$25*[5]Sheet1!X20</f>
        <v>4.6095212396454613E-4</v>
      </c>
      <c r="R20" s="23">
        <f>$F$25*[5]Sheet1!Y20</f>
        <v>3.0538241433977869E-6</v>
      </c>
      <c r="S20" s="23">
        <f>$F$25*[5]Sheet1!Z20</f>
        <v>0.87681745824645263</v>
      </c>
      <c r="T20" s="23">
        <f>$F$25*[5]Sheet1!AA20</f>
        <v>7.1559855215042143E-4</v>
      </c>
      <c r="U20" s="23">
        <f>$F$25*[5]Sheet1!AB20</f>
        <v>0.2953084274281812</v>
      </c>
      <c r="V20" s="23">
        <f>$F$25*[5]Sheet1!AC20</f>
        <v>9.6610321320667934E-5</v>
      </c>
      <c r="W20" s="23">
        <f>$F$25*[5]Sheet1!AD20</f>
        <v>4.988499028441214E-4</v>
      </c>
      <c r="X20" s="23">
        <f>$F$25*[5]Sheet1!AE20</f>
        <v>1.733125216280493E-5</v>
      </c>
      <c r="Y20" s="23">
        <f>$F$25*[5]Sheet1!AF20</f>
        <v>9.3714347177340703E-9</v>
      </c>
      <c r="Z20" s="23">
        <f>$F$25*[5]Sheet1!AG20</f>
        <v>1.1857680738805008E-4</v>
      </c>
      <c r="AA20" s="23">
        <f>$F$25*[5]Sheet1!AH20</f>
        <v>3.1603291954213937E-4</v>
      </c>
      <c r="AB20" s="23">
        <f>$F$25*[5]Sheet1!AI20</f>
        <v>4.5615883652045123E-4</v>
      </c>
      <c r="AC20" s="23">
        <f>$F$25*[5]Sheet1!AJ20</f>
        <v>1.0079444650216779E-5</v>
      </c>
      <c r="AD20" s="23">
        <f>$F$25*[5]Sheet1!AK20</f>
        <v>6.714422923361849E-5</v>
      </c>
      <c r="AE20" s="23">
        <f>$F$25*[5]Sheet1!AL20</f>
        <v>1.514563120098777E-5</v>
      </c>
      <c r="AF20" s="23">
        <f>$F$25*[5]Sheet1!AM20</f>
        <v>3.1193811546776284E-3</v>
      </c>
      <c r="AG20" s="23">
        <f>$F$25*[5]Sheet1!AN20</f>
        <v>9.8876382210624815E-3</v>
      </c>
      <c r="AH20" s="23">
        <f>$F$25*[5]Sheet1!AO20</f>
        <v>5.5788624212909982E-3</v>
      </c>
    </row>
    <row r="21" spans="1:35">
      <c r="A21" s="26" t="s">
        <v>3</v>
      </c>
      <c r="B21" s="25">
        <v>500</v>
      </c>
      <c r="C21" s="21"/>
      <c r="D21" s="21"/>
      <c r="E21" s="21"/>
      <c r="F21" s="23"/>
      <c r="G21" s="21">
        <f>H21*461</f>
        <v>0.24918983596345515</v>
      </c>
      <c r="H21" s="21">
        <f>H25*(1-0.025)</f>
        <v>5.4054194352159469E-4</v>
      </c>
      <c r="I21" s="21">
        <f>G21/1000/D22/C22</f>
        <v>5.0566119310766058E-8</v>
      </c>
      <c r="J21" s="21"/>
      <c r="K21" s="21" t="str">
        <f t="shared" si="0"/>
        <v>DMF</v>
      </c>
      <c r="L21" s="23">
        <f>$F$26*[2]production!D75</f>
        <v>2.7778789137676346E-3</v>
      </c>
      <c r="M21" s="23">
        <f>$F$26*[2]production!M75</f>
        <v>7.5556306550594685E-2</v>
      </c>
      <c r="N21" s="23">
        <f>$F$26*[2]production!N75</f>
        <v>1.130588562520065E-4</v>
      </c>
      <c r="O21" s="23">
        <f>$F$26*[2]production!O75</f>
        <v>2.5143823608539837E-3</v>
      </c>
      <c r="P21" s="23">
        <f>$F$26*[2]production!P75</f>
        <v>1.6907857291787833E-3</v>
      </c>
      <c r="Q21" s="23">
        <f>$F$26*[2]production!Q75</f>
        <v>3.5379800606950359E-5</v>
      </c>
      <c r="R21" s="23">
        <f>$F$26*[2]production!R75</f>
        <v>9.5442257310893093E-7</v>
      </c>
      <c r="S21" s="23">
        <f>$F$26*[2]production!S75</f>
        <v>5.7632346637830463E-2</v>
      </c>
      <c r="T21" s="23">
        <f>$F$26*[2]production!T75</f>
        <v>2.4885569802073255E-4</v>
      </c>
      <c r="U21" s="23">
        <f>$F$26*[2]production!U75</f>
        <v>3.7440005784852959E-2</v>
      </c>
      <c r="V21" s="23">
        <f>$F$26*[2]production!V75</f>
        <v>1.2133074509071062E-5</v>
      </c>
      <c r="W21" s="23">
        <f>$F$26*[2]production!W75</f>
        <v>1.6190377731717135E-4</v>
      </c>
      <c r="X21" s="23">
        <f>$F$26*[2]production!X75</f>
        <v>1.0616561555308639E-6</v>
      </c>
      <c r="Y21" s="23">
        <f>$F$26*[2]production!Y75</f>
        <v>5.0529396081027726E-10</v>
      </c>
      <c r="Z21" s="23">
        <f>$F$26*[2]production!Z75</f>
        <v>7.0077073296810455E-6</v>
      </c>
      <c r="AA21" s="23">
        <f>$F$26*[2]production!AA75</f>
        <v>8.5003366607401689E-6</v>
      </c>
      <c r="AB21" s="23">
        <f>$F$26*[2]production!AB75</f>
        <v>1.7854464289174749E-5</v>
      </c>
      <c r="AC21" s="23">
        <f>$F$26*[2]production!AC75</f>
        <v>1.7854464289174749E-5</v>
      </c>
      <c r="AD21" s="23">
        <f>$F$26*[2]production!AD75</f>
        <v>2.1457396153075101E-5</v>
      </c>
      <c r="AE21" s="23">
        <f>$F$26*[2]production!AE75</f>
        <v>7.510040109627702E-6</v>
      </c>
      <c r="AF21" s="23">
        <f>$F$26*[2]production!AF75</f>
        <v>1.1187438390655826E-4</v>
      </c>
      <c r="AG21" s="23">
        <f>$F$26*[2]production!AG75</f>
        <v>4.9684731375667095E-4</v>
      </c>
      <c r="AH21" s="23">
        <f>$F$26*[2]production!AH75</f>
        <v>2.1023413252734642E-4</v>
      </c>
    </row>
    <row r="22" spans="1:35">
      <c r="A22" s="21" t="s">
        <v>125</v>
      </c>
      <c r="B22" s="25">
        <f>$B$21/$I$26*I21</f>
        <v>155.68269786592475</v>
      </c>
      <c r="C22" s="21">
        <v>0.8</v>
      </c>
      <c r="D22" s="21">
        <v>6160</v>
      </c>
      <c r="E22" s="21">
        <v>1</v>
      </c>
      <c r="F22" s="23">
        <f>B22/1000000000*C22*D22/E22</f>
        <v>7.6720433508327738E-4</v>
      </c>
      <c r="G22" s="21">
        <f>H22*367</f>
        <v>5.0866382890365457E-3</v>
      </c>
      <c r="H22" s="21">
        <f>H25*0.025</f>
        <v>1.3860049833887045E-5</v>
      </c>
      <c r="I22" s="21">
        <f>G22/1000/D23/C23</f>
        <v>9.54699378572925E-10</v>
      </c>
      <c r="J22" s="21"/>
      <c r="K22" s="21" t="str">
        <f t="shared" si="0"/>
        <v>DMSO</v>
      </c>
      <c r="L22" s="23">
        <f>$F$27*[2]production!D104</f>
        <v>3.5756612254426892E-4</v>
      </c>
      <c r="M22" s="23">
        <f>$F$27*[2]production!M104</f>
        <v>1.6499999309507574E-2</v>
      </c>
      <c r="N22" s="23">
        <f>$F$27*[2]production!N104</f>
        <v>1.5253169211464288E-5</v>
      </c>
      <c r="O22" s="23">
        <f>$F$27*[2]production!O104</f>
        <v>3.046183980339329E-4</v>
      </c>
      <c r="P22" s="23">
        <f>$F$27*[2]production!P104</f>
        <v>3.6708544748282929E-4</v>
      </c>
      <c r="Q22" s="23">
        <f>$F$27*[2]production!Q104</f>
        <v>6.4047032079231407E-6</v>
      </c>
      <c r="R22" s="23">
        <f>$F$27*[2]production!R104</f>
        <v>1.4246035898437896E-7</v>
      </c>
      <c r="S22" s="23">
        <f>$F$27*[2]production!S104</f>
        <v>9.4700384928725918E-3</v>
      </c>
      <c r="T22" s="23">
        <f>$F$27*[2]production!T104</f>
        <v>5.2161957747655995E-5</v>
      </c>
      <c r="U22" s="23">
        <f>$F$27*[2]production!U104</f>
        <v>5.5336004849951131E-3</v>
      </c>
      <c r="V22" s="23">
        <f>$F$27*[2]production!V104</f>
        <v>2.8007093171307721E-7</v>
      </c>
      <c r="W22" s="23">
        <f>$F$27*[2]production!W104</f>
        <v>3.0681516532744684E-5</v>
      </c>
      <c r="X22" s="23">
        <f>$F$27*[2]production!X104</f>
        <v>1.6001759912254039E-7</v>
      </c>
      <c r="Y22" s="23">
        <f>$F$27*[2]production!Y104</f>
        <v>8.9073281015340216E-11</v>
      </c>
      <c r="Z22" s="23">
        <f>$F$27*[2]production!Z104</f>
        <v>4.8458433400257489E-7</v>
      </c>
      <c r="AA22" s="23">
        <f>$F$27*[2]production!AA104</f>
        <v>1.1099870842560434E-6</v>
      </c>
      <c r="AB22" s="23">
        <f>$F$27*[2]production!AB104</f>
        <v>1.4473598459099341E-6</v>
      </c>
      <c r="AC22" s="23">
        <f>$F$27*[2]production!AC104</f>
        <v>2.7437060222324104E-7</v>
      </c>
      <c r="AD22" s="23">
        <f>$F$27*[2]production!AD104</f>
        <v>2.6970106354036136E-6</v>
      </c>
      <c r="AE22" s="23">
        <f>$F$27*[2]production!AE104</f>
        <v>1.0823021836211176E-6</v>
      </c>
      <c r="AF22" s="23">
        <f>$F$27*[2]production!AF104</f>
        <v>1.4003828222486361E-5</v>
      </c>
      <c r="AG22" s="23">
        <f>$F$27*[2]production!AG104</f>
        <v>7.6137701298533141E-5</v>
      </c>
      <c r="AH22" s="23">
        <f>$F$27*[2]production!AH104</f>
        <v>4.5439286555838333E-5</v>
      </c>
    </row>
    <row r="23" spans="1:35">
      <c r="A23" s="21" t="s">
        <v>126</v>
      </c>
      <c r="B23" s="25">
        <f>$B$21/$I$26*I22</f>
        <v>2.9393233440302757</v>
      </c>
      <c r="C23" s="21">
        <v>0.8</v>
      </c>
      <c r="D23" s="21">
        <v>6660</v>
      </c>
      <c r="E23" s="21">
        <v>1</v>
      </c>
      <c r="F23" s="23">
        <f t="shared" ref="F23:F25" si="1">B23/1000000000*C23*D23/E23</f>
        <v>1.566071477699331E-5</v>
      </c>
      <c r="G23" s="21">
        <f>80/1000</f>
        <v>0.08</v>
      </c>
      <c r="H23" s="21">
        <f>G23/172</f>
        <v>4.6511627906976747E-4</v>
      </c>
      <c r="I23" s="21">
        <f>G23/1000/D24/C24</f>
        <v>9.3023255813953489E-8</v>
      </c>
      <c r="J23" s="21"/>
      <c r="K23" s="21" t="str">
        <f t="shared" si="0"/>
        <v>Isopropanol</v>
      </c>
      <c r="L23" s="23">
        <f>($F$20+$F$28+$F$31)*[6]production!D76</f>
        <v>9.8536232918946171E-2</v>
      </c>
      <c r="M23" s="23">
        <f>($F$20+$F$28+$F$31)*[6]production!M76</f>
        <v>3.2570821583550118</v>
      </c>
      <c r="N23" s="23">
        <f>($F$20+$F$28+$F$31)*[6]production!N76</f>
        <v>1.9815706048313128E-3</v>
      </c>
      <c r="O23" s="23">
        <f>($F$20+$F$28+$F$31)*[6]production!O76</f>
        <v>8.5850252764932564E-2</v>
      </c>
      <c r="P23" s="23">
        <f>($F$20+$F$28+$F$31)*[6]production!P76</f>
        <v>7.4545646885452135E-2</v>
      </c>
      <c r="Q23" s="23">
        <f>($F$20+$F$28+$F$31)*[6]production!Q76</f>
        <v>5.0053233478787834E-4</v>
      </c>
      <c r="R23" s="23">
        <f>($F$20+$F$28+$F$31)*[6]production!R76</f>
        <v>1.4179051489026607E-5</v>
      </c>
      <c r="S23" s="23">
        <f>($F$20+$F$28+$F$31)*[6]production!S76</f>
        <v>0.82493944957277754</v>
      </c>
      <c r="T23" s="23">
        <f>($F$20+$F$28+$F$31)*[6]production!T76</f>
        <v>1.9897185546537545E-3</v>
      </c>
      <c r="U23" s="23">
        <f>($F$20+$F$28+$F$31)*[6]production!U76</f>
        <v>0.61422591277387006</v>
      </c>
      <c r="V23" s="23">
        <f>($F$20+$F$28+$F$31)*[6]production!V76</f>
        <v>6.0359580605187662E-5</v>
      </c>
      <c r="W23" s="23">
        <f>($F$20+$F$28+$F$31)*[6]production!W76</f>
        <v>3.4854339263641039E-3</v>
      </c>
      <c r="X23" s="23">
        <f>($F$20+$F$28+$F$31)*[6]production!X76</f>
        <v>7.9369664859798433E-6</v>
      </c>
      <c r="Y23" s="23">
        <f>($F$20+$F$28+$F$31)*[6]production!Y76</f>
        <v>3.4922868378041706E-9</v>
      </c>
      <c r="Z23" s="23">
        <f>($F$20+$F$28+$F$31)*[6]production!Z76</f>
        <v>1.3004883355673412E-4</v>
      </c>
      <c r="AA23" s="23">
        <f>($F$20+$F$28+$F$31)*[6]production!AA76</f>
        <v>4.2438407790423735E-4</v>
      </c>
      <c r="AB23" s="23">
        <f>($F$20+$F$28+$F$31)*[6]production!AB76</f>
        <v>3.6490944019367249E-4</v>
      </c>
      <c r="AC23" s="23">
        <f>($F$20+$F$28+$F$31)*[6]production!AC76</f>
        <v>2.827878187713275E-5</v>
      </c>
      <c r="AD23" s="23">
        <f>($F$20+$F$28+$F$31)*[6]production!AD76</f>
        <v>2.8099634900904236E-4</v>
      </c>
      <c r="AE23" s="23">
        <f>($F$20+$F$28+$F$31)*[6]production!AE76</f>
        <v>2.2805625913621056E-4</v>
      </c>
      <c r="AF23" s="23">
        <f>($F$20+$F$28+$F$31)*[6]production!AF76</f>
        <v>2.960619621906697E-3</v>
      </c>
      <c r="AG23" s="23">
        <f>($F$20+$F$28+$F$31)*[6]production!AG76</f>
        <v>8.9390024343423812E-3</v>
      </c>
      <c r="AH23" s="23">
        <f>($F$20+$F$28+$F$31)*[6]production!AH76</f>
        <v>9.1003426328132471E-3</v>
      </c>
      <c r="AI23" s="23"/>
    </row>
    <row r="24" spans="1:35">
      <c r="A24" s="21" t="s">
        <v>4</v>
      </c>
      <c r="B24" s="25">
        <f>$B$21/$I$26*I23</f>
        <v>286.39950280513136</v>
      </c>
      <c r="C24" s="21">
        <v>0.8</v>
      </c>
      <c r="D24" s="21">
        <v>1075</v>
      </c>
      <c r="E24" s="21">
        <v>1</v>
      </c>
      <c r="F24" s="23">
        <f t="shared" si="1"/>
        <v>2.4630357241241295E-4</v>
      </c>
      <c r="G24" s="21">
        <f>10/1000</f>
        <v>0.01</v>
      </c>
      <c r="H24" s="21">
        <f>G24/112</f>
        <v>8.9285714285714286E-5</v>
      </c>
      <c r="I24" s="21">
        <f>G24/1000/D25/C25</f>
        <v>1.7857142857142859E-8</v>
      </c>
      <c r="J24" s="21"/>
      <c r="K24" s="21" t="str">
        <f>A30</f>
        <v>PTAA solution</v>
      </c>
      <c r="L24" s="23">
        <f>$F$30*[7]Inventory!$AP$84</f>
        <v>4.2266595161539466E-2</v>
      </c>
      <c r="M24" s="23">
        <f>$F$30*[7]Inventory!AQ84</f>
        <v>0.78923824670233655</v>
      </c>
      <c r="N24" s="23">
        <f>$F$30*[7]Inventory!AR84</f>
        <v>6.8642195268754365E-4</v>
      </c>
      <c r="O24" s="23">
        <f>$F$30*[7]Inventory!AS84</f>
        <v>3.9364253554828414E-2</v>
      </c>
      <c r="P24" s="23">
        <f>$F$30*[7]Inventory!AT84</f>
        <v>1.8329659623102422E-2</v>
      </c>
      <c r="Q24" s="23">
        <f>$F$30*[7]Inventory!AU84</f>
        <v>4.3583377608497721E-4</v>
      </c>
      <c r="R24" s="23">
        <f>$F$30*[7]Inventory!AV84</f>
        <v>5.407938883513064E-6</v>
      </c>
      <c r="S24" s="23">
        <f>$F$30*[7]Inventory!AW84</f>
        <v>0.71234192691182507</v>
      </c>
      <c r="T24" s="23">
        <f>$F$30*[7]Inventory!AX84</f>
        <v>6.8896466473247189E-4</v>
      </c>
      <c r="U24" s="23">
        <f>$F$30*[7]Inventory!AY84</f>
        <v>0.34733884222527062</v>
      </c>
      <c r="V24" s="23">
        <f>$F$30*[7]Inventory!AZ84</f>
        <v>3.8598570396987373E-5</v>
      </c>
      <c r="W24" s="23">
        <f>$F$30*[7]Inventory!BA84</f>
        <v>4.5224011222769461E-3</v>
      </c>
      <c r="X24" s="23">
        <f>$F$30*[7]Inventory!BB84</f>
        <v>6.1913063347356005E-6</v>
      </c>
      <c r="Y24" s="23">
        <f>$F$30*[7]Inventory!BC84</f>
        <v>3.5904134791905033E-9</v>
      </c>
      <c r="Z24" s="23">
        <f>$F$30*[7]Inventory!BD84</f>
        <v>1.6044419532427895E-4</v>
      </c>
      <c r="AA24" s="23">
        <f>$F$30*[7]Inventory!BE84</f>
        <v>1.6589163623841811E-4</v>
      </c>
      <c r="AB24" s="23">
        <f>$F$30*[7]Inventory!BF84</f>
        <v>6.9771284358260141E-4</v>
      </c>
      <c r="AC24" s="23">
        <f>$F$30*[7]Inventory!BG84</f>
        <v>2.99872377651063E-4</v>
      </c>
      <c r="AD24" s="23">
        <f>$F$30*[7]Inventory!BH84</f>
        <v>8.0971261112950388E-5</v>
      </c>
      <c r="AE24" s="23">
        <f>$F$30*[7]Inventory!BI84</f>
        <v>3.8207534940145927E-5</v>
      </c>
      <c r="AF24" s="23">
        <f>$F$30*[7]Inventory!BJ84</f>
        <v>1.3557704922337629E-3</v>
      </c>
      <c r="AG24" s="23">
        <f>$F$30*[7]Inventory!BK84</f>
        <v>6.6190553912701504E-3</v>
      </c>
      <c r="AH24" s="23">
        <f>$F$30*[7]Inventory!BL84</f>
        <v>2.3819254845185789E-3</v>
      </c>
    </row>
    <row r="25" spans="1:35">
      <c r="A25" s="21" t="s">
        <v>5</v>
      </c>
      <c r="B25" s="25">
        <f>$B$21/$I$26*I24</f>
        <v>54.978475984913608</v>
      </c>
      <c r="C25" s="21">
        <v>0.8</v>
      </c>
      <c r="D25" s="21">
        <v>700</v>
      </c>
      <c r="E25" s="21">
        <v>1</v>
      </c>
      <c r="F25" s="23">
        <f t="shared" si="1"/>
        <v>3.0787946551551619E-5</v>
      </c>
      <c r="G25" s="21"/>
      <c r="H25" s="21">
        <f>SUM(H23:H24)</f>
        <v>5.5440199335548179E-4</v>
      </c>
      <c r="I25" s="21"/>
      <c r="J25" s="21"/>
      <c r="K25" s="32" t="s">
        <v>141</v>
      </c>
      <c r="L25" s="35">
        <f>$F$33*[6]production!D133</f>
        <v>3.7954882559999999E-3</v>
      </c>
      <c r="M25" s="35">
        <f>$F$33*[6]production!M133</f>
        <v>5.4579072598579199E-2</v>
      </c>
      <c r="N25" s="35">
        <f>$F$33*[6]production!N133</f>
        <v>2.7756610559999997E-4</v>
      </c>
      <c r="O25" s="35">
        <f>$F$33*[6]production!O133</f>
        <v>3.4641761279999993E-3</v>
      </c>
      <c r="P25" s="35">
        <f>$F$33*[6]production!P133</f>
        <v>1.0058280959999999E-3</v>
      </c>
      <c r="Q25" s="35">
        <f>$F$33*[6]production!Q133</f>
        <v>3.7349007359999994E-3</v>
      </c>
      <c r="R25" s="35">
        <f>$F$33*[6]production!R133</f>
        <v>1.1003596799999999E-4</v>
      </c>
      <c r="S25" s="35">
        <f>$F$33*[6]production!S133</f>
        <v>9.3997209599999998</v>
      </c>
      <c r="T25" s="35">
        <f>$F$33*[6]production!T133</f>
        <v>3.5110655999999999E-4</v>
      </c>
      <c r="U25" s="35">
        <f>$F$33*[6]production!U133</f>
        <v>4.914814464</v>
      </c>
      <c r="V25" s="35">
        <f>$F$33*[6]production!V133</f>
        <v>2.2612316159999998E-5</v>
      </c>
      <c r="W25" s="35">
        <f>$F$33*[6]production!W133</f>
        <v>3.6032639999999998E-2</v>
      </c>
      <c r="X25" s="35">
        <f>$F$33*[6]production!X133</f>
        <v>1.4980546559999997E-6</v>
      </c>
      <c r="Y25" s="35">
        <f>$F$33*[6]production!Y133</f>
        <v>2.2585221120000001E-10</v>
      </c>
      <c r="Z25" s="35">
        <f>$F$33*[6]production!Z133</f>
        <v>1.094413824E-4</v>
      </c>
      <c r="AA25" s="35">
        <f>$F$33*[6]production!AA133</f>
        <v>7.0333455359999997E-5</v>
      </c>
      <c r="AB25" s="35">
        <f>$F$33*[6]production!AB133</f>
        <v>3.6679157759999999E-4</v>
      </c>
      <c r="AC25" s="35">
        <f>$F$33*[6]production!AC133</f>
        <v>4.6303165439999999E-4</v>
      </c>
      <c r="AD25" s="35">
        <f>$F$33*[6]production!AD133</f>
        <v>3.2838435839999998E-4</v>
      </c>
      <c r="AE25" s="35">
        <f>$F$33*[6]production!AE133</f>
        <v>1.2161157119999999E-4</v>
      </c>
      <c r="AF25" s="35">
        <f>$F$33*[6]production!AF133</f>
        <v>1.7343083519999998E-3</v>
      </c>
      <c r="AG25" s="35">
        <f>$F$33*[6]production!AG133</f>
        <v>6.4581027839999999E-2</v>
      </c>
      <c r="AH25" s="35">
        <f>$F$33*[6]production!AH133</f>
        <v>1.7931647999999997E-3</v>
      </c>
      <c r="AI25" s="35"/>
    </row>
    <row r="26" spans="1:35">
      <c r="A26" s="21" t="s">
        <v>16</v>
      </c>
      <c r="B26" s="25"/>
      <c r="C26" s="21"/>
      <c r="D26" s="21">
        <v>944</v>
      </c>
      <c r="E26" s="21">
        <v>1</v>
      </c>
      <c r="F26" s="23">
        <f>F22*1000/461/1.3*1000*0.8*0.948/1000</f>
        <v>9.7087897167888796E-4</v>
      </c>
      <c r="G26" s="21"/>
      <c r="H26" s="21"/>
      <c r="I26" s="21">
        <f>SUM(I21:I25)</f>
        <v>1.6240121736043533E-7</v>
      </c>
      <c r="J26" s="21"/>
      <c r="K26" s="32" t="s">
        <v>139</v>
      </c>
      <c r="L26" s="35">
        <f>$F$34*[6]production!D46</f>
        <v>0.29058656969696967</v>
      </c>
      <c r="M26" s="35">
        <f>$F$34*[6]production!M46</f>
        <v>4.3659558183030303</v>
      </c>
      <c r="N26" s="35">
        <f>$F$34*[6]production!N46</f>
        <v>1.5204004848484845E-2</v>
      </c>
      <c r="O26" s="35">
        <f>$F$34*[6]production!O46</f>
        <v>0.26877852121212115</v>
      </c>
      <c r="P26" s="35">
        <f>$F$34*[6]production!P46</f>
        <v>7.7184489696969685E-2</v>
      </c>
      <c r="Q26" s="35">
        <f>$F$34*[6]production!Q46</f>
        <v>3.8203549090909082E-3</v>
      </c>
      <c r="R26" s="35">
        <f>$F$34*[6]production!R46</f>
        <v>1.5748935757575755E-4</v>
      </c>
      <c r="S26" s="35">
        <f>$F$34*[6]production!S46</f>
        <v>5.0588833939393929</v>
      </c>
      <c r="T26" s="35">
        <f>$F$34*[6]production!T46</f>
        <v>4.4774075151515144E-2</v>
      </c>
      <c r="U26" s="35">
        <f>$F$34*[6]production!U46</f>
        <v>4.3602041212121208</v>
      </c>
      <c r="V26" s="35">
        <f>$F$34*[6]production!V46</f>
        <v>2.6226962424242417E-4</v>
      </c>
      <c r="W26" s="35">
        <f>$F$34*[6]production!W46</f>
        <v>3.5047490909090903E-3</v>
      </c>
      <c r="X26" s="35">
        <f>$F$34*[6]production!X46</f>
        <v>3.1948736969696965E-5</v>
      </c>
      <c r="Y26" s="35">
        <f>$F$34*[6]production!Y46</f>
        <v>1.6083030303030301E-8</v>
      </c>
      <c r="Z26" s="35">
        <f>$F$34*[6]production!Z46</f>
        <v>9.0081187878787868E-4</v>
      </c>
      <c r="AA26" s="35">
        <f>$F$34*[6]production!AA46</f>
        <v>7.1664901818181801E-4</v>
      </c>
      <c r="AB26" s="35">
        <f>$F$34*[6]production!AB46</f>
        <v>1.4193071515151512E-3</v>
      </c>
      <c r="AC26" s="35">
        <f>$F$34*[6]production!AC46</f>
        <v>9.7240974545454532E-5</v>
      </c>
      <c r="AD26" s="35">
        <f>$F$34*[6]production!AD46</f>
        <v>1.7287500606060604E-3</v>
      </c>
      <c r="AE26" s="35">
        <f>$F$34*[6]production!AE46</f>
        <v>1.1379757575757574E-3</v>
      </c>
      <c r="AF26" s="35">
        <f>$F$34*[6]production!AF46</f>
        <v>1.1503015757575756E-2</v>
      </c>
      <c r="AG26" s="35">
        <f>$F$34*[6]production!AG46</f>
        <v>4.5996926060606055E-2</v>
      </c>
      <c r="AH26" s="35">
        <f>$F$34*[6]production!AH46</f>
        <v>9.4180063030303018E-3</v>
      </c>
      <c r="AI26" s="35"/>
    </row>
    <row r="27" spans="1:35">
      <c r="A27" s="21" t="s">
        <v>17</v>
      </c>
      <c r="B27" s="25"/>
      <c r="C27" s="21"/>
      <c r="D27" s="21">
        <v>1100</v>
      </c>
      <c r="E27" s="21">
        <v>1</v>
      </c>
      <c r="F27" s="23">
        <f>F22*1000/461/1.3*1000*0.2*1.1/1000</f>
        <v>2.8163683250178711E-4</v>
      </c>
      <c r="G27" s="21"/>
      <c r="H27" s="21"/>
      <c r="I27" s="21"/>
      <c r="J27" s="21"/>
      <c r="K27" s="32" t="s">
        <v>140</v>
      </c>
      <c r="L27" s="35">
        <f>$F$35*[6]production!D91</f>
        <v>1.2806957575757575E-4</v>
      </c>
      <c r="M27" s="35">
        <f>$F$35*[6]production!M91</f>
        <v>1.7448388645818179E-3</v>
      </c>
      <c r="N27" s="35">
        <f>$F$35*[6]production!N91</f>
        <v>5.0365023030303021E-6</v>
      </c>
      <c r="O27" s="35">
        <f>$F$35*[6]production!O91</f>
        <v>1.1821973333333331E-4</v>
      </c>
      <c r="P27" s="35">
        <f>$F$35*[6]production!P91</f>
        <v>3.3462433939393932E-5</v>
      </c>
      <c r="Q27" s="35">
        <f>$F$35*[6]production!Q91</f>
        <v>1.5462414545454542E-6</v>
      </c>
      <c r="R27" s="35">
        <f>$F$35*[6]production!R91</f>
        <v>6.2809774545454535E-8</v>
      </c>
      <c r="S27" s="35">
        <f>$F$35*[6]production!S91</f>
        <v>2.0907398787878783E-3</v>
      </c>
      <c r="T27" s="35">
        <f>$F$35*[6]production!T91</f>
        <v>1.3000494545454543E-5</v>
      </c>
      <c r="U27" s="35">
        <f>$F$35*[6]production!U91</f>
        <v>1.7876761212121208E-3</v>
      </c>
      <c r="V27" s="35">
        <f>$F$35*[6]production!V91</f>
        <v>1.1685740606060604E-7</v>
      </c>
      <c r="W27" s="35">
        <f>$F$35*[6]production!W91</f>
        <v>1.3077260606060604E-6</v>
      </c>
      <c r="X27" s="35">
        <f>$F$35*[6]production!X91</f>
        <v>1.3889250909090907E-8</v>
      </c>
      <c r="Y27" s="35">
        <f>$F$35*[6]production!Y91</f>
        <v>5.8068659393939386E-12</v>
      </c>
      <c r="Z27" s="35">
        <f>$F$35*[6]production!Z91</f>
        <v>4.3156581818181813E-7</v>
      </c>
      <c r="AA27" s="35">
        <f>$F$35*[6]production!AA91</f>
        <v>3.2327161212121209E-7</v>
      </c>
      <c r="AB27" s="35">
        <f>$F$35*[6]production!AB91</f>
        <v>6.3258477575757571E-7</v>
      </c>
      <c r="AC27" s="35">
        <f>$F$35*[6]production!AC91</f>
        <v>4.0537886060606053E-8</v>
      </c>
      <c r="AD27" s="35">
        <f>$F$35*[6]production!AD91</f>
        <v>7.6982303030303019E-7</v>
      </c>
      <c r="AE27" s="35">
        <f>$F$35*[6]production!AE91</f>
        <v>4.6972179393939389E-7</v>
      </c>
      <c r="AF27" s="35">
        <f>$F$35*[6]production!AF91</f>
        <v>4.8958366060606059E-6</v>
      </c>
      <c r="AG27" s="35">
        <f>$F$35*[6]production!AG91</f>
        <v>1.9418569696969696E-5</v>
      </c>
      <c r="AH27" s="35">
        <f>$F$35*[6]production!AH91</f>
        <v>4.0733585454545447E-6</v>
      </c>
      <c r="AI27" s="35"/>
    </row>
    <row r="28" spans="1:35">
      <c r="A28" s="21" t="s">
        <v>20</v>
      </c>
      <c r="B28" s="25"/>
      <c r="C28" s="21"/>
      <c r="D28" s="21"/>
      <c r="E28" s="21"/>
      <c r="F28" s="23">
        <f>F24*1000/G23*1*0.786/1000</f>
        <v>2.4199325989519575E-3</v>
      </c>
      <c r="G28" s="21"/>
      <c r="H28" s="21"/>
      <c r="I28" s="21"/>
      <c r="J28" s="21"/>
      <c r="K28" s="33" t="str">
        <f>A37</f>
        <v>Adhesive</v>
      </c>
      <c r="L28" s="36">
        <f>$F$37*[2]production!D113</f>
        <v>5.8513339999999997E-2</v>
      </c>
      <c r="M28" s="36">
        <f>$F$37*[2]production!M113</f>
        <v>1.121768096012</v>
      </c>
      <c r="N28" s="36">
        <f>$F$37*[2]production!N113</f>
        <v>1.9549964000000002E-3</v>
      </c>
      <c r="O28" s="36">
        <f>$F$37*[2]production!O113</f>
        <v>5.3267399999999999E-2</v>
      </c>
      <c r="P28" s="36">
        <f>$F$37*[2]production!P113</f>
        <v>2.4177380000000002E-2</v>
      </c>
      <c r="Q28" s="36">
        <f>$F$37*[2]production!Q113</f>
        <v>6.0432339999999995E-4</v>
      </c>
      <c r="R28" s="36">
        <f>$F$37*[2]production!R113</f>
        <v>1.9439469999999997E-5</v>
      </c>
      <c r="S28" s="36">
        <f>$F$37*[2]production!S113</f>
        <v>0.90098060000000002</v>
      </c>
      <c r="T28" s="36">
        <f>$F$37*[2]production!T113</f>
        <v>3.5624719999999997E-3</v>
      </c>
      <c r="U28" s="36">
        <f>$F$37*[2]production!U113</f>
        <v>0.69086020000000004</v>
      </c>
      <c r="V28" s="36">
        <f>$F$37*[2]production!V113</f>
        <v>4.7078119999999994E-5</v>
      </c>
      <c r="W28" s="36">
        <f>$F$37*[2]production!W113</f>
        <v>3.4358179999999998E-3</v>
      </c>
      <c r="X28" s="36">
        <f>$F$37*[2]production!X113</f>
        <v>6.1276699999999994E-6</v>
      </c>
      <c r="Y28" s="36">
        <f>$F$37*[2]production!Y113</f>
        <v>5.7868959999999999E-9</v>
      </c>
      <c r="Z28" s="36">
        <f>$F$37*[2]production!Z113</f>
        <v>1.0165448000000001E-4</v>
      </c>
      <c r="AA28" s="36">
        <f>$F$37*[2]production!AA113</f>
        <v>2.0535319999999998E-4</v>
      </c>
      <c r="AB28" s="36">
        <f>$F$37*[2]production!AB113</f>
        <v>2.0896899999999998E-4</v>
      </c>
      <c r="AC28" s="36">
        <f>$F$37*[2]production!AC113</f>
        <v>4.8904199999999998E-5</v>
      </c>
      <c r="AD28" s="36">
        <f>$F$37*[2]production!AD113</f>
        <v>5.1992780000000005E-4</v>
      </c>
      <c r="AE28" s="36">
        <f>$F$37*[2]production!AE113</f>
        <v>1.6944567999999999E-4</v>
      </c>
      <c r="AF28" s="36">
        <f>$F$37*[2]production!AF113</f>
        <v>2.2575519999999999E-3</v>
      </c>
      <c r="AG28" s="36">
        <f>$F$37*[2]production!AG113</f>
        <v>8.1579719999999994E-3</v>
      </c>
      <c r="AH28" s="36">
        <f>$F$37*[2]production!AH113</f>
        <v>3.0584819999999995E-3</v>
      </c>
    </row>
    <row r="29" spans="1:35">
      <c r="A29" s="26" t="s">
        <v>6</v>
      </c>
      <c r="B29" s="25"/>
      <c r="C29" s="21"/>
      <c r="D29" s="21"/>
      <c r="E29" s="21"/>
      <c r="F29" s="23"/>
      <c r="G29" s="21"/>
      <c r="H29" s="21"/>
      <c r="I29" s="21"/>
      <c r="J29" s="21"/>
      <c r="K29" s="33" t="str">
        <f>A38</f>
        <v>PET</v>
      </c>
      <c r="L29" s="36">
        <f>$F$38*[2]production!D112</f>
        <v>0.19433649</v>
      </c>
      <c r="M29" s="36">
        <f>$F$38*[2]production!M112</f>
        <v>4.876431431436</v>
      </c>
      <c r="N29" s="36">
        <f>$F$38*[2]production!N112</f>
        <v>6.1952969999999998E-3</v>
      </c>
      <c r="O29" s="36">
        <f>$F$38*[2]production!O112</f>
        <v>0.17387676999999999</v>
      </c>
      <c r="P29" s="36">
        <f>$F$38*[2]production!P112</f>
        <v>0.10758629</v>
      </c>
      <c r="Q29" s="36">
        <f>$F$38*[2]production!Q112</f>
        <v>1.6921225000000001E-3</v>
      </c>
      <c r="R29" s="36">
        <f>$F$38*[2]production!R112</f>
        <v>5.3572875999999998E-5</v>
      </c>
      <c r="S29" s="36">
        <f>$F$38*[2]production!S112</f>
        <v>2.6013953999999999</v>
      </c>
      <c r="T29" s="36">
        <f>$F$38*[2]production!T112</f>
        <v>1.0938793E-2</v>
      </c>
      <c r="U29" s="36">
        <f>$F$38*[2]production!U112</f>
        <v>2.0643585999999998</v>
      </c>
      <c r="V29" s="36">
        <f>$F$38*[2]production!V112</f>
        <v>1.5557654999999999E-4</v>
      </c>
      <c r="W29" s="36">
        <f>$F$38*[2]production!W112</f>
        <v>8.7410389999999991E-3</v>
      </c>
      <c r="X29" s="36">
        <f>$F$38*[2]production!X112</f>
        <v>1.8848732999999998E-5</v>
      </c>
      <c r="Y29" s="36">
        <f>$F$38*[2]production!Y112</f>
        <v>8.897757E-9</v>
      </c>
      <c r="Z29" s="36">
        <f>$F$38*[2]production!Z112</f>
        <v>3.1222667999999997E-4</v>
      </c>
      <c r="AA29" s="36">
        <f>$F$38*[2]production!AA112</f>
        <v>5.844594199999999E-4</v>
      </c>
      <c r="AB29" s="36">
        <f>$F$38*[2]production!AB112</f>
        <v>7.4009149999999997E-4</v>
      </c>
      <c r="AC29" s="36">
        <f>$F$38*[2]production!AC112</f>
        <v>1.9091831E-4</v>
      </c>
      <c r="AD29" s="36">
        <f>$F$38*[2]production!AD112</f>
        <v>1.3298200999999998E-3</v>
      </c>
      <c r="AE29" s="36">
        <f>$F$38*[2]production!AE112</f>
        <v>3.5293016999999997E-4</v>
      </c>
      <c r="AF29" s="36">
        <f>$F$38*[2]production!AF112</f>
        <v>6.9066979999999993E-3</v>
      </c>
      <c r="AG29" s="36">
        <f>$F$38*[2]production!AG112</f>
        <v>2.4245015000000002E-2</v>
      </c>
      <c r="AH29" s="36">
        <f>$F$38*[2]production!AH112</f>
        <v>1.3306221999999999E-2</v>
      </c>
    </row>
    <row r="30" spans="1:35">
      <c r="A30" s="21" t="s">
        <v>15</v>
      </c>
      <c r="B30" s="25"/>
      <c r="C30" s="21"/>
      <c r="D30" s="21"/>
      <c r="E30" s="21">
        <v>1</v>
      </c>
      <c r="F30" s="23">
        <f>[7]Inventory!$E$23/1000</f>
        <v>8.9086200000000008E-4</v>
      </c>
      <c r="G30" s="21"/>
      <c r="H30" s="21"/>
      <c r="I30" s="21"/>
      <c r="J30" s="21"/>
      <c r="K30" s="26" t="s">
        <v>18</v>
      </c>
      <c r="L30" s="72">
        <f t="shared" ref="L30:AH30" si="2">SUM(L31:L42)</f>
        <v>0</v>
      </c>
      <c r="M30" s="72">
        <f t="shared" si="2"/>
        <v>0</v>
      </c>
      <c r="N30" s="72">
        <f t="shared" si="2"/>
        <v>0</v>
      </c>
      <c r="O30" s="72">
        <f t="shared" si="2"/>
        <v>0</v>
      </c>
      <c r="P30" s="72">
        <f t="shared" si="2"/>
        <v>0</v>
      </c>
      <c r="Q30" s="72">
        <f t="shared" si="2"/>
        <v>2.8761001922953791E-2</v>
      </c>
      <c r="R30" s="72">
        <f t="shared" si="2"/>
        <v>0</v>
      </c>
      <c r="S30" s="72">
        <f t="shared" si="2"/>
        <v>3.8635168439365562E-2</v>
      </c>
      <c r="T30" s="72">
        <f t="shared" si="2"/>
        <v>0</v>
      </c>
      <c r="U30" s="72">
        <f t="shared" si="2"/>
        <v>65.577504333281638</v>
      </c>
      <c r="V30" s="72">
        <f t="shared" si="2"/>
        <v>0</v>
      </c>
      <c r="W30" s="72">
        <f t="shared" si="2"/>
        <v>0</v>
      </c>
      <c r="X30" s="72">
        <f t="shared" si="2"/>
        <v>0</v>
      </c>
      <c r="Y30" s="72">
        <f t="shared" si="2"/>
        <v>0</v>
      </c>
      <c r="Z30" s="72">
        <f t="shared" si="2"/>
        <v>0</v>
      </c>
      <c r="AA30" s="72">
        <f t="shared" si="2"/>
        <v>1.7346703215711484E-3</v>
      </c>
      <c r="AB30" s="72">
        <f t="shared" si="2"/>
        <v>0</v>
      </c>
      <c r="AC30" s="72">
        <f t="shared" si="2"/>
        <v>0.30113900915849251</v>
      </c>
      <c r="AD30" s="72">
        <f t="shared" si="2"/>
        <v>0</v>
      </c>
      <c r="AE30" s="72">
        <f t="shared" si="2"/>
        <v>0</v>
      </c>
      <c r="AF30" s="72">
        <f t="shared" si="2"/>
        <v>8.2794116251374589E-2</v>
      </c>
      <c r="AG30" s="72">
        <f t="shared" si="2"/>
        <v>2.6064473515250786E-4</v>
      </c>
      <c r="AH30" s="72">
        <f t="shared" si="2"/>
        <v>0</v>
      </c>
    </row>
    <row r="31" spans="1:35">
      <c r="A31" s="32" t="s">
        <v>20</v>
      </c>
      <c r="B31" s="37"/>
      <c r="C31" s="32"/>
      <c r="D31" s="32"/>
      <c r="E31" s="32"/>
      <c r="F31" s="35">
        <f>25.77/1000</f>
        <v>2.5770000000000001E-2</v>
      </c>
      <c r="G31" s="21" t="s">
        <v>81</v>
      </c>
      <c r="H31" s="21" t="s">
        <v>82</v>
      </c>
      <c r="I31" s="21"/>
      <c r="J31" s="21" t="s">
        <v>127</v>
      </c>
      <c r="K31" s="21" t="str">
        <f t="shared" ref="K31:K39" si="3">A40</f>
        <v>Titanium tetrachloride</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0</v>
      </c>
      <c r="AF31" s="23">
        <v>0</v>
      </c>
      <c r="AG31" s="23">
        <v>0</v>
      </c>
      <c r="AH31" s="23">
        <v>0</v>
      </c>
    </row>
    <row r="32" spans="1:35">
      <c r="A32" s="26" t="s">
        <v>7</v>
      </c>
      <c r="B32" s="25"/>
      <c r="C32" s="21"/>
      <c r="D32" s="21"/>
      <c r="E32" s="21"/>
      <c r="F32" s="23"/>
      <c r="G32" s="21"/>
      <c r="H32" s="21"/>
      <c r="I32" s="21"/>
      <c r="J32" s="21"/>
      <c r="K32" s="21" t="str">
        <f t="shared" si="3"/>
        <v>Isopropanol</v>
      </c>
      <c r="L32" s="23">
        <f>$F$41*'[2]direct emissions'!D24</f>
        <v>0</v>
      </c>
      <c r="M32" s="23">
        <f>$F$41*'[2]direct emissions'!M24</f>
        <v>0</v>
      </c>
      <c r="N32" s="23">
        <f>$F$41*'[2]direct emissions'!N24</f>
        <v>0</v>
      </c>
      <c r="O32" s="23">
        <f>$F$41*'[2]direct emissions'!O24</f>
        <v>0</v>
      </c>
      <c r="P32" s="23">
        <f>$F$41*'[2]direct emissions'!P24</f>
        <v>0</v>
      </c>
      <c r="Q32" s="23">
        <f>$F$41*'[2]direct emissions'!Q24</f>
        <v>0</v>
      </c>
      <c r="R32" s="23">
        <f>$F$41*'[2]direct emissions'!R24</f>
        <v>0</v>
      </c>
      <c r="S32" s="23">
        <f>$F$41*'[2]direct emissions'!S24</f>
        <v>0</v>
      </c>
      <c r="T32" s="23">
        <f>$F$41*'[2]direct emissions'!T24</f>
        <v>0</v>
      </c>
      <c r="U32" s="23">
        <f>$F$41*'[2]direct emissions'!U24</f>
        <v>0</v>
      </c>
      <c r="V32" s="23">
        <f>$F$41*'[2]direct emissions'!V24</f>
        <v>0</v>
      </c>
      <c r="W32" s="23">
        <f>$F$41*'[2]direct emissions'!W24</f>
        <v>0</v>
      </c>
      <c r="X32" s="23">
        <f>$F$41*'[2]direct emissions'!X24</f>
        <v>0</v>
      </c>
      <c r="Y32" s="23">
        <f>$F$41*'[2]direct emissions'!Y24</f>
        <v>0</v>
      </c>
      <c r="Z32" s="23">
        <f>$F$41*'[2]direct emissions'!Z24</f>
        <v>0</v>
      </c>
      <c r="AA32" s="23">
        <f>$F$41*'[2]direct emissions'!AA24</f>
        <v>7.9268846019704047E-4</v>
      </c>
      <c r="AB32" s="23">
        <f>$F$41*'[2]direct emissions'!AB24</f>
        <v>0</v>
      </c>
      <c r="AC32" s="23">
        <f>$F$41*'[2]direct emissions'!AC24</f>
        <v>0</v>
      </c>
      <c r="AD32" s="23">
        <f>$F$41*'[2]direct emissions'!AD24</f>
        <v>0</v>
      </c>
      <c r="AE32" s="23">
        <f>$F$41*'[2]direct emissions'!AE24</f>
        <v>0</v>
      </c>
      <c r="AF32" s="23">
        <f>$F$41*'[2]direct emissions'!AF24</f>
        <v>0</v>
      </c>
      <c r="AG32" s="23">
        <f>$F$41*'[2]direct emissions'!AG24</f>
        <v>3.0160829217192033E-7</v>
      </c>
      <c r="AH32" s="23">
        <f>$F$41*'[2]direct emissions'!AH24</f>
        <v>0</v>
      </c>
    </row>
    <row r="33" spans="1:35">
      <c r="A33" s="32" t="s">
        <v>141</v>
      </c>
      <c r="B33" s="37">
        <v>100</v>
      </c>
      <c r="C33" s="32">
        <v>0.8</v>
      </c>
      <c r="D33" s="32">
        <v>8960</v>
      </c>
      <c r="E33" s="32">
        <v>0.5</v>
      </c>
      <c r="F33" s="35">
        <f>$B$33/1000000000*$C$33*$D$33/$E$33*(1-E33*B3)</f>
        <v>7.5263999999999995E-4</v>
      </c>
      <c r="G33" s="21"/>
      <c r="H33" s="21"/>
      <c r="I33" s="21"/>
      <c r="J33" s="20">
        <f>$B$33/1000000000*$C$33*$D$33/$E$33</f>
        <v>1.4335999999999999E-3</v>
      </c>
      <c r="K33" s="21" t="str">
        <f t="shared" si="3"/>
        <v>Acetone</v>
      </c>
      <c r="L33" s="23">
        <f>$F$42*'[2]direct emissions'!D25</f>
        <v>0</v>
      </c>
      <c r="M33" s="23">
        <f>$F$42*'[2]direct emissions'!M25</f>
        <v>0</v>
      </c>
      <c r="N33" s="23">
        <f>$F$42*'[2]direct emissions'!N25</f>
        <v>0</v>
      </c>
      <c r="O33" s="23">
        <f>$F$42*'[2]direct emissions'!O25</f>
        <v>0</v>
      </c>
      <c r="P33" s="23">
        <f>$F$42*'[2]direct emissions'!P25</f>
        <v>0</v>
      </c>
      <c r="Q33" s="23">
        <f>$F$42*'[2]direct emissions'!Q25</f>
        <v>6.7369398556287619E-10</v>
      </c>
      <c r="R33" s="23">
        <f>$F$42*'[2]direct emissions'!R25</f>
        <v>0</v>
      </c>
      <c r="S33" s="23">
        <f>$F$42*'[2]direct emissions'!S25</f>
        <v>5.4884504509128445E-6</v>
      </c>
      <c r="T33" s="23">
        <f>$F$42*'[2]direct emissions'!T25</f>
        <v>0</v>
      </c>
      <c r="U33" s="23">
        <f>$F$42*'[2]direct emissions'!U25</f>
        <v>2.747306768785344E-9</v>
      </c>
      <c r="V33" s="23">
        <f>$F$42*'[2]direct emissions'!V25</f>
        <v>0</v>
      </c>
      <c r="W33" s="23">
        <f>$F$42*'[2]direct emissions'!W25</f>
        <v>0</v>
      </c>
      <c r="X33" s="23">
        <f>$F$42*'[2]direct emissions'!X25</f>
        <v>0</v>
      </c>
      <c r="Y33" s="23">
        <f>$F$42*'[2]direct emissions'!Y25</f>
        <v>0</v>
      </c>
      <c r="Z33" s="23">
        <f>$F$42*'[2]direct emissions'!Z25</f>
        <v>0</v>
      </c>
      <c r="AA33" s="23">
        <f>$F$42*'[2]direct emissions'!AA25</f>
        <v>5.8501046173512377E-6</v>
      </c>
      <c r="AB33" s="23">
        <f>$F$42*'[2]direct emissions'!AB25</f>
        <v>0</v>
      </c>
      <c r="AC33" s="23">
        <f>$F$42*'[2]direct emissions'!AC25</f>
        <v>1.1180929164725946E-9</v>
      </c>
      <c r="AD33" s="23">
        <f>$F$42*'[2]direct emissions'!AD25</f>
        <v>0</v>
      </c>
      <c r="AE33" s="23">
        <f>$F$42*'[2]direct emissions'!AE25</f>
        <v>0</v>
      </c>
      <c r="AF33" s="23">
        <f>$F$42*'[2]direct emissions'!AF25</f>
        <v>2.4644940090999052E-10</v>
      </c>
      <c r="AG33" s="23">
        <f>$F$42*'[2]direct emissions'!AG25</f>
        <v>3.9707994104363709E-8</v>
      </c>
      <c r="AH33" s="23">
        <f>$F$42*'[2]direct emissions'!AH25</f>
        <v>0</v>
      </c>
    </row>
    <row r="34" spans="1:35">
      <c r="A34" s="32" t="s">
        <v>139</v>
      </c>
      <c r="B34" s="32"/>
      <c r="C34" s="32"/>
      <c r="D34" s="32"/>
      <c r="E34" s="32"/>
      <c r="F34" s="35">
        <f>20/10*10000/1000*1.784/1000*'energy consumption'!D17/60</f>
        <v>0.1081212121212121</v>
      </c>
      <c r="G34" s="21"/>
      <c r="H34" s="21"/>
      <c r="I34" s="21"/>
      <c r="J34" s="21"/>
      <c r="K34" s="21" t="str">
        <f t="shared" si="3"/>
        <v>Acetic anhydride</v>
      </c>
      <c r="L34" s="23">
        <f>$F$43*'[2]direct emissions'!D26</f>
        <v>0</v>
      </c>
      <c r="M34" s="23">
        <f>$F$43*'[2]direct emissions'!M26</f>
        <v>0</v>
      </c>
      <c r="N34" s="23">
        <f>$F$43*'[2]direct emissions'!N26</f>
        <v>0</v>
      </c>
      <c r="O34" s="23">
        <f>$F$43*'[2]direct emissions'!O26</f>
        <v>0</v>
      </c>
      <c r="P34" s="23">
        <f>$F$43*'[2]direct emissions'!P26</f>
        <v>0</v>
      </c>
      <c r="Q34" s="23">
        <f>$F$43*'[2]direct emissions'!Q26</f>
        <v>3.5858186933489749E-10</v>
      </c>
      <c r="R34" s="23">
        <f>$F$43*'[2]direct emissions'!R26</f>
        <v>0</v>
      </c>
      <c r="S34" s="23">
        <f>$F$43*'[2]direct emissions'!S26</f>
        <v>0</v>
      </c>
      <c r="T34" s="23">
        <f>$F$43*'[2]direct emissions'!T26</f>
        <v>0</v>
      </c>
      <c r="U34" s="23">
        <f>$F$43*'[2]direct emissions'!U26</f>
        <v>2.0866293162705991E-11</v>
      </c>
      <c r="V34" s="23">
        <f>$F$43*'[2]direct emissions'!V26</f>
        <v>0</v>
      </c>
      <c r="W34" s="23">
        <f>$F$43*'[2]direct emissions'!W26</f>
        <v>0</v>
      </c>
      <c r="X34" s="23">
        <f>$F$43*'[2]direct emissions'!X26</f>
        <v>0</v>
      </c>
      <c r="Y34" s="23">
        <f>$F$43*'[2]direct emissions'!Y26</f>
        <v>0</v>
      </c>
      <c r="Z34" s="23">
        <f>$F$43*'[2]direct emissions'!Z26</f>
        <v>0</v>
      </c>
      <c r="AA34" s="23">
        <f>$F$43*'[2]direct emissions'!AA26</f>
        <v>0</v>
      </c>
      <c r="AB34" s="23">
        <f>$F$43*'[2]direct emissions'!AB26</f>
        <v>0</v>
      </c>
      <c r="AC34" s="23">
        <f>$F$43*'[2]direct emissions'!AC26</f>
        <v>8.4415841550289498E-9</v>
      </c>
      <c r="AD34" s="23">
        <f>$F$43*'[2]direct emissions'!AD26</f>
        <v>0</v>
      </c>
      <c r="AE34" s="23">
        <f>$F$43*'[2]direct emissions'!AE26</f>
        <v>0</v>
      </c>
      <c r="AF34" s="23">
        <f>$F$43*'[2]direct emissions'!AF26</f>
        <v>0</v>
      </c>
      <c r="AG34" s="23">
        <f>$F$43*'[2]direct emissions'!AG26</f>
        <v>0</v>
      </c>
      <c r="AH34" s="23">
        <f>$F$43*'[2]direct emissions'!AH26</f>
        <v>0</v>
      </c>
    </row>
    <row r="35" spans="1:35">
      <c r="A35" s="32" t="s">
        <v>140</v>
      </c>
      <c r="B35" s="32"/>
      <c r="C35" s="32"/>
      <c r="D35" s="32"/>
      <c r="E35" s="32"/>
      <c r="F35" s="35">
        <f>F34*0.1/100</f>
        <v>1.0812121212121211E-4</v>
      </c>
      <c r="G35" s="21"/>
      <c r="H35" s="21"/>
      <c r="I35" s="21"/>
      <c r="J35" s="21"/>
      <c r="K35" s="21" t="str">
        <f t="shared" si="3"/>
        <v>2-methoxyethanol</v>
      </c>
      <c r="L35" s="23">
        <f>$F$44*'[2]direct emissions'!D27</f>
        <v>0</v>
      </c>
      <c r="M35" s="23">
        <f>$F$44*'[2]direct emissions'!M27</f>
        <v>0</v>
      </c>
      <c r="N35" s="23">
        <f>$F$44*'[2]direct emissions'!N27</f>
        <v>0</v>
      </c>
      <c r="O35" s="23">
        <f>$F$44*'[2]direct emissions'!O27</f>
        <v>0</v>
      </c>
      <c r="P35" s="23">
        <f>$F$44*'[2]direct emissions'!P27</f>
        <v>0</v>
      </c>
      <c r="Q35" s="23">
        <f>$F$44*'[2]direct emissions'!Q27</f>
        <v>1.8516131634170173E-11</v>
      </c>
      <c r="R35" s="23">
        <f>$F$44*'[2]direct emissions'!R27</f>
        <v>0</v>
      </c>
      <c r="S35" s="23">
        <f>$F$44*'[2]direct emissions'!S27</f>
        <v>5.7487529232817943E-4</v>
      </c>
      <c r="T35" s="23">
        <f>$F$44*'[2]direct emissions'!T27</f>
        <v>0</v>
      </c>
      <c r="U35" s="23">
        <f>$F$44*'[2]direct emissions'!U27</f>
        <v>2.4941485235573911E-10</v>
      </c>
      <c r="V35" s="23">
        <f>$F$44*'[2]direct emissions'!V27</f>
        <v>0</v>
      </c>
      <c r="W35" s="23">
        <f>$F$44*'[2]direct emissions'!W27</f>
        <v>0</v>
      </c>
      <c r="X35" s="23">
        <f>$F$44*'[2]direct emissions'!X27</f>
        <v>0</v>
      </c>
      <c r="Y35" s="23">
        <f>$F$44*'[2]direct emissions'!Y27</f>
        <v>0</v>
      </c>
      <c r="Z35" s="23">
        <f>$F$44*'[2]direct emissions'!Z27</f>
        <v>0</v>
      </c>
      <c r="AA35" s="23">
        <f>$F$44*'[2]direct emissions'!AA27</f>
        <v>0</v>
      </c>
      <c r="AB35" s="23">
        <f>$F$44*'[2]direct emissions'!AB27</f>
        <v>0</v>
      </c>
      <c r="AC35" s="23">
        <f>$F$44*'[2]direct emissions'!AC27</f>
        <v>3.115990660423984E-11</v>
      </c>
      <c r="AD35" s="23">
        <f>$F$44*'[2]direct emissions'!AD27</f>
        <v>0</v>
      </c>
      <c r="AE35" s="23">
        <f>$F$44*'[2]direct emissions'!AE27</f>
        <v>0</v>
      </c>
      <c r="AF35" s="23">
        <f>$F$44*'[2]direct emissions'!AF27</f>
        <v>0</v>
      </c>
      <c r="AG35" s="23">
        <f>$F$44*'[2]direct emissions'!AG27</f>
        <v>6.076105006599949E-8</v>
      </c>
      <c r="AH35" s="23">
        <f>$F$44*'[2]direct emissions'!AH27</f>
        <v>0</v>
      </c>
    </row>
    <row r="36" spans="1:35">
      <c r="A36" s="26" t="s">
        <v>83</v>
      </c>
      <c r="B36" s="25"/>
      <c r="C36" s="21"/>
      <c r="D36" s="21"/>
      <c r="E36" s="21"/>
      <c r="F36" s="23"/>
      <c r="G36" s="21"/>
      <c r="H36" s="21"/>
      <c r="I36" s="21"/>
      <c r="J36" s="21"/>
      <c r="K36" s="21" t="str">
        <f t="shared" si="3"/>
        <v>DMF</v>
      </c>
      <c r="L36" s="23">
        <f>$F$45*'[2]direct emissions'!D28</f>
        <v>0</v>
      </c>
      <c r="M36" s="23">
        <f>$F$45*'[2]direct emissions'!M28</f>
        <v>0</v>
      </c>
      <c r="N36" s="23">
        <f>$F$45*'[2]direct emissions'!N28</f>
        <v>0</v>
      </c>
      <c r="O36" s="23">
        <f>$F$45*'[2]direct emissions'!O28</f>
        <v>0</v>
      </c>
      <c r="P36" s="23">
        <f>$F$45*'[2]direct emissions'!P28</f>
        <v>0</v>
      </c>
      <c r="Q36" s="23">
        <f>$F$45*'[2]direct emissions'!Q28</f>
        <v>0</v>
      </c>
      <c r="R36" s="23">
        <f>$F$45*'[2]direct emissions'!R28</f>
        <v>0</v>
      </c>
      <c r="S36" s="23">
        <f>$F$45*'[2]direct emissions'!S28</f>
        <v>0</v>
      </c>
      <c r="T36" s="23">
        <f>$F$45*'[2]direct emissions'!T28</f>
        <v>0</v>
      </c>
      <c r="U36" s="23">
        <f>$F$45*'[2]direct emissions'!U28</f>
        <v>0</v>
      </c>
      <c r="V36" s="23">
        <f>$F$45*'[2]direct emissions'!V28</f>
        <v>0</v>
      </c>
      <c r="W36" s="23">
        <f>$F$45*'[2]direct emissions'!W28</f>
        <v>0</v>
      </c>
      <c r="X36" s="23">
        <f>$F$45*'[2]direct emissions'!X28</f>
        <v>0</v>
      </c>
      <c r="Y36" s="23">
        <f>$F$45*'[2]direct emissions'!Y28</f>
        <v>0</v>
      </c>
      <c r="Z36" s="23">
        <f>$F$45*'[2]direct emissions'!Z28</f>
        <v>0</v>
      </c>
      <c r="AA36" s="23">
        <f>$F$45*'[2]direct emissions'!AA28</f>
        <v>0</v>
      </c>
      <c r="AB36" s="23">
        <f>$F$45*'[2]direct emissions'!AB28</f>
        <v>0</v>
      </c>
      <c r="AC36" s="23">
        <f>$F$45*'[2]direct emissions'!AC28</f>
        <v>0</v>
      </c>
      <c r="AD36" s="23">
        <f>$F$45*'[2]direct emissions'!AD28</f>
        <v>0</v>
      </c>
      <c r="AE36" s="23">
        <f>$F$45*'[2]direct emissions'!AE28</f>
        <v>0</v>
      </c>
      <c r="AF36" s="23">
        <f>$F$45*'[2]direct emissions'!AF28</f>
        <v>0</v>
      </c>
      <c r="AG36" s="23">
        <f>$F$45*'[2]direct emissions'!AG28</f>
        <v>0</v>
      </c>
      <c r="AH36" s="23">
        <f>$F$45*'[2]direct emissions'!AH28</f>
        <v>0</v>
      </c>
    </row>
    <row r="37" spans="1:35">
      <c r="A37" s="33" t="s">
        <v>84</v>
      </c>
      <c r="B37" s="38"/>
      <c r="C37" s="33"/>
      <c r="D37" s="33"/>
      <c r="E37" s="33"/>
      <c r="F37" s="36">
        <f>2.02/100</f>
        <v>2.0199999999999999E-2</v>
      </c>
      <c r="G37" s="21"/>
      <c r="H37" s="21"/>
      <c r="I37" s="21"/>
      <c r="J37" s="21"/>
      <c r="K37" s="21" t="str">
        <f t="shared" si="3"/>
        <v>DMSO</v>
      </c>
      <c r="L37" s="23">
        <f>$F$46*'[2]direct emissions'!D38</f>
        <v>0</v>
      </c>
      <c r="M37" s="23">
        <f>$F$46*'[2]direct emissions'!M38</f>
        <v>0</v>
      </c>
      <c r="N37" s="23">
        <f>$F$46*'[2]direct emissions'!N38</f>
        <v>0</v>
      </c>
      <c r="O37" s="23">
        <f>$F$46*'[2]direct emissions'!O38</f>
        <v>0</v>
      </c>
      <c r="P37" s="23">
        <f>$F$46*'[2]direct emissions'!P38</f>
        <v>0</v>
      </c>
      <c r="Q37" s="23">
        <f>$F$46*'[2]direct emissions'!Q38</f>
        <v>0</v>
      </c>
      <c r="R37" s="23">
        <f>$F$46*'[2]direct emissions'!R38</f>
        <v>0</v>
      </c>
      <c r="S37" s="23">
        <f>$F$46*'[2]direct emissions'!S38</f>
        <v>0</v>
      </c>
      <c r="T37" s="23">
        <f>$F$46*'[2]direct emissions'!T38</f>
        <v>0</v>
      </c>
      <c r="U37" s="23">
        <f>$F$46*'[2]direct emissions'!U38</f>
        <v>0</v>
      </c>
      <c r="V37" s="23">
        <f>$F$46*'[2]direct emissions'!V38</f>
        <v>0</v>
      </c>
      <c r="W37" s="23">
        <f>$F$46*'[2]direct emissions'!W38</f>
        <v>0</v>
      </c>
      <c r="X37" s="23">
        <f>$F$46*'[2]direct emissions'!X38</f>
        <v>0</v>
      </c>
      <c r="Y37" s="23">
        <f>$F$46*'[2]direct emissions'!Y38</f>
        <v>0</v>
      </c>
      <c r="Z37" s="23">
        <f>$F$46*'[2]direct emissions'!Z38</f>
        <v>0</v>
      </c>
      <c r="AA37" s="23">
        <f>$F$46*'[2]direct emissions'!AA38</f>
        <v>0</v>
      </c>
      <c r="AB37" s="23">
        <f>$F$46*'[2]direct emissions'!AB38</f>
        <v>0</v>
      </c>
      <c r="AC37" s="23">
        <f>$F$46*'[2]direct emissions'!AC38</f>
        <v>0</v>
      </c>
      <c r="AD37" s="23">
        <f>$F$46*'[2]direct emissions'!AD38</f>
        <v>0</v>
      </c>
      <c r="AE37" s="23">
        <f>$F$46*'[2]direct emissions'!AE38</f>
        <v>0</v>
      </c>
      <c r="AF37" s="23">
        <f>$F$46*'[2]direct emissions'!AF38</f>
        <v>0</v>
      </c>
      <c r="AG37" s="23">
        <f>$F$46*'[2]direct emissions'!AG38</f>
        <v>0</v>
      </c>
      <c r="AH37" s="23">
        <f>$F$46*'[2]direct emissions'!AH38</f>
        <v>0</v>
      </c>
    </row>
    <row r="38" spans="1:35">
      <c r="A38" s="33" t="s">
        <v>85</v>
      </c>
      <c r="B38" s="38"/>
      <c r="C38" s="33"/>
      <c r="D38" s="33"/>
      <c r="E38" s="33"/>
      <c r="F38" s="36">
        <f>6.17/100</f>
        <v>6.1699999999999998E-2</v>
      </c>
      <c r="G38" s="21"/>
      <c r="H38" s="21"/>
      <c r="I38" s="21"/>
      <c r="J38" s="21"/>
      <c r="K38" s="21" t="str">
        <f t="shared" si="3"/>
        <v>Toluene</v>
      </c>
      <c r="L38" s="23">
        <f>$F$47*'[2]direct emissions'!D29</f>
        <v>0</v>
      </c>
      <c r="M38" s="23">
        <f>$F$47*'[2]direct emissions'!M29</f>
        <v>0</v>
      </c>
      <c r="N38" s="23">
        <f>$F$47*'[2]direct emissions'!N29</f>
        <v>0</v>
      </c>
      <c r="O38" s="23">
        <f>$F$47*'[2]direct emissions'!O29</f>
        <v>0</v>
      </c>
      <c r="P38" s="23">
        <f>$F$47*'[2]direct emissions'!P29</f>
        <v>0</v>
      </c>
      <c r="Q38" s="23">
        <f>$F$47*'[2]direct emissions'!Q29</f>
        <v>1.0223440121073739E-8</v>
      </c>
      <c r="R38" s="23">
        <f>$F$47*'[2]direct emissions'!R29</f>
        <v>0</v>
      </c>
      <c r="S38" s="23">
        <f>$F$47*'[2]direct emissions'!S29</f>
        <v>7.1299361805029148E-4</v>
      </c>
      <c r="T38" s="23">
        <f>$F$47*'[2]direct emissions'!T29</f>
        <v>0</v>
      </c>
      <c r="U38" s="23">
        <f>$F$47*'[2]direct emissions'!U29</f>
        <v>7.8935496697773709E-8</v>
      </c>
      <c r="V38" s="23">
        <f>$F$47*'[2]direct emissions'!V29</f>
        <v>0</v>
      </c>
      <c r="W38" s="23">
        <f>$F$47*'[2]direct emissions'!W29</f>
        <v>0</v>
      </c>
      <c r="X38" s="23">
        <f>$F$47*'[2]direct emissions'!X29</f>
        <v>0</v>
      </c>
      <c r="Y38" s="23">
        <f>$F$47*'[2]direct emissions'!Y29</f>
        <v>0</v>
      </c>
      <c r="Z38" s="23">
        <f>$F$47*'[2]direct emissions'!Z29</f>
        <v>0</v>
      </c>
      <c r="AA38" s="23">
        <f>$F$47*'[2]direct emissions'!AA29</f>
        <v>9.3613175675675685E-4</v>
      </c>
      <c r="AB38" s="23">
        <f>$F$47*'[2]direct emissions'!AB29</f>
        <v>0</v>
      </c>
      <c r="AC38" s="23">
        <f>$F$47*'[2]direct emissions'!AC29</f>
        <v>1.1751442020401387E-8</v>
      </c>
      <c r="AD38" s="23">
        <f>$F$47*'[2]direct emissions'!AD29</f>
        <v>0</v>
      </c>
      <c r="AE38" s="23">
        <f>$F$47*'[2]direct emissions'!AE29</f>
        <v>0</v>
      </c>
      <c r="AF38" s="23">
        <f>$F$47*'[2]direct emissions'!AF29</f>
        <v>2.6070045190514998E-9</v>
      </c>
      <c r="AG38" s="23">
        <f>$F$47*'[2]direct emissions'!AG29</f>
        <v>5.2254114258476998E-6</v>
      </c>
      <c r="AH38" s="23">
        <f>$F$47*'[2]direct emissions'!AH29</f>
        <v>0</v>
      </c>
    </row>
    <row r="39" spans="1:35">
      <c r="A39" s="26" t="s">
        <v>18</v>
      </c>
      <c r="B39" s="25"/>
      <c r="C39" s="21"/>
      <c r="D39" s="21"/>
      <c r="E39" s="21"/>
      <c r="F39" s="23"/>
      <c r="G39" s="21"/>
      <c r="H39" s="21"/>
      <c r="I39" s="21"/>
      <c r="J39" s="21"/>
      <c r="K39" s="21" t="str">
        <f t="shared" si="3"/>
        <v>Acetonitrile</v>
      </c>
      <c r="L39" s="23">
        <f>$F$48*'[2]direct emissions'!D30</f>
        <v>0</v>
      </c>
      <c r="M39" s="23">
        <f>$F$48*'[2]direct emissions'!M30</f>
        <v>0</v>
      </c>
      <c r="N39" s="23">
        <f>$F$48*'[2]direct emissions'!N30</f>
        <v>0</v>
      </c>
      <c r="O39" s="23">
        <f>$F$48*'[2]direct emissions'!O30</f>
        <v>0</v>
      </c>
      <c r="P39" s="23">
        <f>$F$48*'[2]direct emissions'!P30</f>
        <v>0</v>
      </c>
      <c r="Q39" s="23">
        <f>$F$48*'[2]direct emissions'!Q30</f>
        <v>1.0023447221851575E-9</v>
      </c>
      <c r="R39" s="23">
        <f>$F$48*'[2]direct emissions'!R30</f>
        <v>0</v>
      </c>
      <c r="S39" s="23">
        <f>$F$48*'[2]direct emissions'!S30</f>
        <v>2.7754339256220706E-6</v>
      </c>
      <c r="T39" s="23">
        <f>$F$48*'[2]direct emissions'!T30</f>
        <v>0</v>
      </c>
      <c r="U39" s="23">
        <f>$F$48*'[2]direct emissions'!U30</f>
        <v>1.0258481265784256E-8</v>
      </c>
      <c r="V39" s="23">
        <f>$F$48*'[2]direct emissions'!V30</f>
        <v>0</v>
      </c>
      <c r="W39" s="23">
        <f>$F$48*'[2]direct emissions'!W30</f>
        <v>0</v>
      </c>
      <c r="X39" s="23">
        <f>$F$48*'[2]direct emissions'!X30</f>
        <v>0</v>
      </c>
      <c r="Y39" s="23">
        <f>$F$48*'[2]direct emissions'!Y30</f>
        <v>0</v>
      </c>
      <c r="Z39" s="23">
        <f>$F$48*'[2]direct emissions'!Z30</f>
        <v>0</v>
      </c>
      <c r="AA39" s="23">
        <f>$F$48*'[2]direct emissions'!AA30</f>
        <v>0</v>
      </c>
      <c r="AB39" s="23">
        <f>$F$48*'[2]direct emissions'!AB30</f>
        <v>0</v>
      </c>
      <c r="AC39" s="23">
        <f>$F$48*'[2]direct emissions'!AC30</f>
        <v>2.1835479582031784E-9</v>
      </c>
      <c r="AD39" s="23">
        <f>$F$48*'[2]direct emissions'!AD30</f>
        <v>0</v>
      </c>
      <c r="AE39" s="23">
        <f>$F$48*'[2]direct emissions'!AE30</f>
        <v>0</v>
      </c>
      <c r="AF39" s="23">
        <f>$F$48*'[2]direct emissions'!AF30</f>
        <v>4.8215747752708954E-10</v>
      </c>
      <c r="AG39" s="23">
        <f>$F$48*'[2]direct emissions'!AG30</f>
        <v>1.8954182906685002E-8</v>
      </c>
      <c r="AH39" s="23">
        <f>$F$48*'[2]direct emissions'!AH30</f>
        <v>0</v>
      </c>
    </row>
    <row r="40" spans="1:35">
      <c r="A40" s="21" t="s">
        <v>19</v>
      </c>
      <c r="B40" s="25"/>
      <c r="C40" s="21"/>
      <c r="D40" s="21"/>
      <c r="E40" s="21"/>
      <c r="F40" s="23">
        <f>F16/1*0.0481*(1-E16)</f>
        <v>1.2055499999999993E-5</v>
      </c>
      <c r="G40" s="21"/>
      <c r="H40" s="21"/>
      <c r="I40" s="21"/>
      <c r="J40" s="21" t="s">
        <v>136</v>
      </c>
      <c r="K40" s="82" t="s">
        <v>141</v>
      </c>
      <c r="L40" s="83">
        <f>$F$49*'[6]direct emissions'!D39</f>
        <v>0</v>
      </c>
      <c r="M40" s="83">
        <f>$F$49*'[6]direct emissions'!M39</f>
        <v>0</v>
      </c>
      <c r="N40" s="83">
        <f>$F$49*'[6]direct emissions'!N39</f>
        <v>0</v>
      </c>
      <c r="O40" s="83">
        <f>$F$49*'[6]direct emissions'!O39</f>
        <v>0</v>
      </c>
      <c r="P40" s="83">
        <f>$F$49*'[6]direct emissions'!P39</f>
        <v>0</v>
      </c>
      <c r="Q40" s="83">
        <f>$F$49*'[6]direct emissions'!Q39</f>
        <v>2.876098964637696E-2</v>
      </c>
      <c r="R40" s="83">
        <f>$F$49*'[6]direct emissions'!R39</f>
        <v>0</v>
      </c>
      <c r="S40" s="83">
        <f>$F$49*'[6]direct emissions'!S39</f>
        <v>3.7339035644610559E-2</v>
      </c>
      <c r="T40" s="83">
        <f>$F$49*'[6]direct emissions'!T39</f>
        <v>0</v>
      </c>
      <c r="U40" s="83">
        <f>$F$49*'[6]direct emissions'!U39</f>
        <v>65.577504241070073</v>
      </c>
      <c r="V40" s="83">
        <f>$F$49*'[6]direct emissions'!V39</f>
        <v>0</v>
      </c>
      <c r="W40" s="83">
        <f>$F$49*'[6]direct emissions'!W39</f>
        <v>0</v>
      </c>
      <c r="X40" s="83">
        <f>$F$49*'[6]direct emissions'!X39</f>
        <v>0</v>
      </c>
      <c r="Y40" s="83">
        <f>$F$49*'[6]direct emissions'!Y39</f>
        <v>0</v>
      </c>
      <c r="Z40" s="83">
        <f>$F$49*'[6]direct emissions'!Z39</f>
        <v>0</v>
      </c>
      <c r="AA40" s="83">
        <f>$F$49*'[6]direct emissions'!AA39</f>
        <v>0</v>
      </c>
      <c r="AB40" s="83">
        <f>$F$49*'[6]direct emissions'!AB39</f>
        <v>0</v>
      </c>
      <c r="AC40" s="83">
        <f>$F$49*'[6]direct emissions'!AC39</f>
        <v>0.30113898563266556</v>
      </c>
      <c r="AD40" s="83">
        <f>$F$49*'[6]direct emissions'!AD39</f>
        <v>0</v>
      </c>
      <c r="AE40" s="83">
        <f>$F$49*'[6]direct emissions'!AE39</f>
        <v>0</v>
      </c>
      <c r="AF40" s="83">
        <f>$F$49*'[6]direct emissions'!AF39</f>
        <v>8.2794112915763191E-2</v>
      </c>
      <c r="AG40" s="83">
        <f>$F$49*'[6]direct emissions'!AG39</f>
        <v>2.549982922074112E-4</v>
      </c>
      <c r="AH40" s="83">
        <f>$F$49*'[6]direct emissions'!AH39</f>
        <v>0</v>
      </c>
      <c r="AI40" s="83"/>
    </row>
    <row r="41" spans="1:35">
      <c r="A41" s="21" t="s">
        <v>20</v>
      </c>
      <c r="B41" s="25"/>
      <c r="C41" s="21"/>
      <c r="D41" s="21"/>
      <c r="E41" s="21"/>
      <c r="F41" s="23">
        <f>F16/1*0.0608+F28</f>
        <v>2.4961253640247228E-3</v>
      </c>
      <c r="G41" s="21"/>
      <c r="H41" s="21"/>
      <c r="I41" s="21"/>
      <c r="J41" s="21" t="s">
        <v>136</v>
      </c>
      <c r="K41" s="21" t="s">
        <v>139</v>
      </c>
      <c r="L41" s="23"/>
      <c r="M41" s="23"/>
      <c r="N41" s="23"/>
      <c r="O41" s="23"/>
      <c r="P41" s="23"/>
      <c r="Q41" s="23"/>
      <c r="R41" s="23"/>
      <c r="S41" s="23"/>
      <c r="T41" s="23"/>
      <c r="U41" s="23"/>
      <c r="V41" s="23"/>
      <c r="W41" s="23"/>
      <c r="X41" s="23"/>
      <c r="Y41" s="23"/>
      <c r="Z41" s="23"/>
      <c r="AA41" s="23"/>
      <c r="AB41" s="23"/>
      <c r="AC41" s="23"/>
      <c r="AD41" s="23"/>
      <c r="AE41" s="23"/>
      <c r="AF41" s="23"/>
      <c r="AG41" s="23"/>
      <c r="AH41" s="23"/>
    </row>
    <row r="42" spans="1:35">
      <c r="A42" s="21" t="s">
        <v>108</v>
      </c>
      <c r="B42" s="25"/>
      <c r="C42" s="21"/>
      <c r="D42" s="21"/>
      <c r="E42" s="21"/>
      <c r="F42" s="23">
        <f>F16/1*0.0294</f>
        <v>3.6843212058212047E-5</v>
      </c>
      <c r="G42" s="21"/>
      <c r="H42" s="21"/>
      <c r="I42" s="21"/>
      <c r="J42" s="21" t="s">
        <v>136</v>
      </c>
      <c r="K42" s="21" t="s">
        <v>140</v>
      </c>
    </row>
    <row r="43" spans="1:35">
      <c r="A43" s="21" t="s">
        <v>109</v>
      </c>
      <c r="B43" s="25"/>
      <c r="C43" s="21"/>
      <c r="D43" s="21"/>
      <c r="E43" s="21"/>
      <c r="F43" s="23">
        <f>F16/1*0.0518</f>
        <v>6.4914230769230746E-5</v>
      </c>
      <c r="G43" s="21"/>
      <c r="H43" s="21"/>
      <c r="I43" s="21"/>
      <c r="J43" s="21" t="s">
        <v>136</v>
      </c>
      <c r="K43" s="21"/>
      <c r="L43" s="21"/>
      <c r="M43" s="21"/>
      <c r="N43" s="21"/>
      <c r="O43" s="21"/>
      <c r="P43" s="21"/>
      <c r="Q43" s="21"/>
      <c r="R43" s="21"/>
      <c r="S43" s="21"/>
      <c r="T43" s="21"/>
      <c r="U43" s="21"/>
      <c r="V43" s="21"/>
      <c r="W43" s="21"/>
      <c r="X43" s="21"/>
      <c r="Y43" s="21"/>
      <c r="Z43" s="21"/>
      <c r="AA43" s="21"/>
      <c r="AB43" s="21"/>
      <c r="AC43" s="21"/>
      <c r="AD43" s="21"/>
      <c r="AE43" s="21"/>
      <c r="AF43" s="21"/>
      <c r="AG43" s="21"/>
      <c r="AH43" s="21"/>
    </row>
    <row r="44" spans="1:35">
      <c r="A44" s="21" t="s">
        <v>80</v>
      </c>
      <c r="B44" s="25"/>
      <c r="C44" s="21"/>
      <c r="D44" s="21"/>
      <c r="E44" s="21"/>
      <c r="F44" s="23">
        <f>F19</f>
        <v>2.4491699999999993E-4</v>
      </c>
      <c r="G44" s="21"/>
      <c r="H44" s="21"/>
      <c r="I44" s="21"/>
      <c r="J44" s="21" t="s">
        <v>136</v>
      </c>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3"/>
    </row>
    <row r="45" spans="1:35">
      <c r="A45" s="21" t="s">
        <v>16</v>
      </c>
      <c r="B45" s="25"/>
      <c r="C45" s="21"/>
      <c r="D45" s="21"/>
      <c r="E45" s="21"/>
      <c r="F45" s="23">
        <f>F26</f>
        <v>9.7087897167888796E-4</v>
      </c>
      <c r="G45" s="21"/>
      <c r="H45" s="21"/>
      <c r="I45" s="21"/>
      <c r="J45" s="21" t="s">
        <v>136</v>
      </c>
      <c r="K45" s="21"/>
      <c r="L45" s="21"/>
      <c r="M45" s="21"/>
      <c r="N45" s="21"/>
      <c r="O45" s="21"/>
      <c r="P45" s="21"/>
      <c r="Q45" s="21"/>
      <c r="R45" s="21"/>
      <c r="S45" s="21"/>
      <c r="T45" s="21"/>
      <c r="U45" s="21"/>
      <c r="V45" s="21"/>
      <c r="W45" s="21"/>
      <c r="X45" s="21"/>
      <c r="Y45" s="21"/>
      <c r="Z45" s="21"/>
      <c r="AA45" s="21"/>
      <c r="AB45" s="21"/>
      <c r="AC45" s="21"/>
      <c r="AD45" s="21"/>
      <c r="AE45" s="21"/>
      <c r="AF45" s="21"/>
      <c r="AG45" s="21"/>
      <c r="AH45" s="21"/>
    </row>
    <row r="46" spans="1:35">
      <c r="A46" s="21" t="s">
        <v>17</v>
      </c>
      <c r="B46" s="25"/>
      <c r="C46" s="21"/>
      <c r="D46" s="21"/>
      <c r="E46" s="21"/>
      <c r="F46" s="23">
        <f>F27</f>
        <v>2.8163683250178711E-4</v>
      </c>
      <c r="G46" s="21"/>
      <c r="H46" s="21"/>
      <c r="I46" s="21"/>
      <c r="J46" s="21" t="s">
        <v>136</v>
      </c>
      <c r="K46" s="21"/>
      <c r="L46" s="21"/>
      <c r="M46" s="21"/>
      <c r="N46" s="21"/>
      <c r="O46" s="21"/>
      <c r="P46" s="21"/>
      <c r="Q46" s="21"/>
      <c r="R46" s="21"/>
      <c r="S46" s="21"/>
      <c r="T46" s="21"/>
      <c r="U46" s="21"/>
      <c r="V46" s="21"/>
      <c r="W46" s="21"/>
      <c r="X46" s="21"/>
      <c r="Y46" s="21"/>
      <c r="Z46" s="21"/>
      <c r="AA46" s="21"/>
      <c r="AB46" s="21"/>
      <c r="AC46" s="21"/>
      <c r="AD46" s="21"/>
      <c r="AE46" s="21"/>
      <c r="AF46" s="21"/>
      <c r="AG46" s="21"/>
      <c r="AH46" s="21"/>
    </row>
    <row r="47" spans="1:35">
      <c r="A47" s="21" t="s">
        <v>110</v>
      </c>
      <c r="B47" s="25"/>
      <c r="C47" s="21"/>
      <c r="D47" s="21"/>
      <c r="E47" s="21"/>
      <c r="F47" s="23">
        <f>F30/[7]Inventory!$E$23*[7]Inventory!$E$19</f>
        <v>8.7000000000000001E-4</v>
      </c>
      <c r="G47" s="21"/>
      <c r="H47" s="21"/>
      <c r="I47" s="21"/>
      <c r="J47" s="21" t="s">
        <v>136</v>
      </c>
      <c r="K47" s="21" t="s">
        <v>89</v>
      </c>
      <c r="L47" s="23">
        <f>$F$54/1000*[6]production!D3</f>
        <v>1.2757696199999999E-4</v>
      </c>
      <c r="M47" s="23">
        <f>$F$54/1000*[6]production!M3</f>
        <v>1.0661210680980003E-3</v>
      </c>
      <c r="N47" s="23">
        <f>$F$54/1000*[6]production!N3</f>
        <v>4.5807721199999999E-6</v>
      </c>
      <c r="O47" s="23">
        <f>$F$54/1000*[6]production!O3</f>
        <v>1.1673294600000001E-4</v>
      </c>
      <c r="P47" s="23">
        <f>$F$54/1000*[6]production!P3</f>
        <v>2.0171209800000002E-5</v>
      </c>
      <c r="Q47" s="23">
        <f>$F$54/1000*[6]production!Q3</f>
        <v>1.7836447800000002E-6</v>
      </c>
      <c r="R47" s="23">
        <f>$F$54/1000*[6]production!R3</f>
        <v>7.2485856000000006E-7</v>
      </c>
      <c r="S47" s="23">
        <f>$F$54/1000*[6]production!S3</f>
        <v>1.6467545400000001E-3</v>
      </c>
      <c r="T47" s="23">
        <f>$F$54/1000*[6]production!T3</f>
        <v>8.1773364000000004E-6</v>
      </c>
      <c r="U47" s="23">
        <f>$F$54/1000*[6]production!U3</f>
        <v>1.6016055E-3</v>
      </c>
      <c r="V47" s="23">
        <f>$F$54/1000*[6]production!V3</f>
        <v>6.7182390000000003E-6</v>
      </c>
      <c r="W47" s="23">
        <f>$F$54/1000*[6]production!W3</f>
        <v>9.001976400000002E-6</v>
      </c>
      <c r="X47" s="23">
        <f>$F$54/1000*[6]production!X3</f>
        <v>9.3617256000000016E-9</v>
      </c>
      <c r="Y47" s="23">
        <f>$F$54/1000*[6]production!Y3</f>
        <v>9.4591362000000011E-12</v>
      </c>
      <c r="Z47" s="23">
        <f>$F$54/1000*[6]production!Z3</f>
        <v>2.6064808800000005E-7</v>
      </c>
      <c r="AA47" s="23">
        <f>$F$54/1000*[6]production!AA3</f>
        <v>3.0646199400000004E-7</v>
      </c>
      <c r="AB47" s="23">
        <f>$F$54/1000*[6]production!AB3</f>
        <v>5.3446980000000006E-7</v>
      </c>
      <c r="AC47" s="23">
        <f>$F$54/1000*[6]production!AC3</f>
        <v>7.1202510000000002E-8</v>
      </c>
      <c r="AD47" s="23">
        <f>$F$54/1000*[6]production!AD3</f>
        <v>1.2040259400000001E-6</v>
      </c>
      <c r="AE47" s="23">
        <f>$F$54/1000*[6]production!AE3</f>
        <v>5.488494600000001E-7</v>
      </c>
      <c r="AF47" s="23">
        <f>$F$54/1000*[6]production!AF3</f>
        <v>5.2287330000000007E-6</v>
      </c>
      <c r="AG47" s="23">
        <f>$F$54/1000*[6]production!AG3</f>
        <v>1.58258724E-5</v>
      </c>
      <c r="AH47" s="23">
        <f>$F$54/1000*[6]production!AH3</f>
        <v>2.8364008200000001E-6</v>
      </c>
    </row>
    <row r="48" spans="1:35">
      <c r="A48" s="21" t="s">
        <v>111</v>
      </c>
      <c r="B48" s="25"/>
      <c r="C48" s="21"/>
      <c r="D48" s="21"/>
      <c r="E48" s="21"/>
      <c r="F48" s="23">
        <f>F30/[7]Inventory!$E$23*[7]Inventory!$E$21</f>
        <v>5.8950000000000003E-6</v>
      </c>
      <c r="G48" s="21"/>
      <c r="H48" s="21"/>
      <c r="I48" s="21"/>
      <c r="J48" s="21" t="s">
        <v>136</v>
      </c>
      <c r="K48" s="26" t="s">
        <v>63</v>
      </c>
      <c r="L48" s="73">
        <f t="shared" ref="L48:AH48" si="4">SUM(L13:L30)+L47</f>
        <v>1.1776290445173856</v>
      </c>
      <c r="M48" s="73">
        <f t="shared" si="4"/>
        <v>25.507089010893885</v>
      </c>
      <c r="N48" s="73">
        <f t="shared" si="4"/>
        <v>0.6500345861914727</v>
      </c>
      <c r="O48" s="73">
        <f t="shared" si="4"/>
        <v>1.1162303157275963</v>
      </c>
      <c r="P48" s="73">
        <f t="shared" si="4"/>
        <v>0.4451617811420272</v>
      </c>
      <c r="Q48" s="73">
        <f t="shared" si="4"/>
        <v>4.9936350700046386E-2</v>
      </c>
      <c r="R48" s="73">
        <f t="shared" si="4"/>
        <v>5.7123340377586798E-4</v>
      </c>
      <c r="S48" s="73">
        <f t="shared" si="4"/>
        <v>33.294515053082932</v>
      </c>
      <c r="T48" s="73">
        <f t="shared" si="4"/>
        <v>8.5836849141915708E-2</v>
      </c>
      <c r="U48" s="73">
        <f t="shared" si="4"/>
        <v>87.905277443287119</v>
      </c>
      <c r="V48" s="73">
        <f t="shared" si="4"/>
        <v>1.7948215538992789E-3</v>
      </c>
      <c r="W48" s="73">
        <f t="shared" si="4"/>
        <v>3.8339405160735747</v>
      </c>
      <c r="X48" s="73">
        <f t="shared" si="4"/>
        <v>3.6276885811567587E-4</v>
      </c>
      <c r="Y48" s="73">
        <f t="shared" si="4"/>
        <v>1.0763957375491172E-7</v>
      </c>
      <c r="Z48" s="73">
        <f t="shared" si="4"/>
        <v>5.0055753275129854E-3</v>
      </c>
      <c r="AA48" s="73">
        <f t="shared" si="4"/>
        <v>9.1339275795150124E-3</v>
      </c>
      <c r="AB48" s="73">
        <f t="shared" si="4"/>
        <v>1.0667127037739567E-2</v>
      </c>
      <c r="AC48" s="73">
        <f t="shared" si="4"/>
        <v>0.30305647066262148</v>
      </c>
      <c r="AD48" s="73">
        <f t="shared" si="4"/>
        <v>1.9275024355309863E-2</v>
      </c>
      <c r="AE48" s="73">
        <f t="shared" si="4"/>
        <v>3.3850250643730172E-3</v>
      </c>
      <c r="AF48" s="73">
        <f t="shared" si="4"/>
        <v>0.16499813081696982</v>
      </c>
      <c r="AG48" s="73">
        <f t="shared" si="4"/>
        <v>0.27508490219448961</v>
      </c>
      <c r="AH48" s="73">
        <f t="shared" si="4"/>
        <v>0.23135618793691587</v>
      </c>
    </row>
    <row r="49" spans="1:35">
      <c r="A49" s="82" t="str">
        <f>A33</f>
        <v>Cu</v>
      </c>
      <c r="B49" s="81"/>
      <c r="C49" s="82"/>
      <c r="D49" s="82"/>
      <c r="E49" s="82"/>
      <c r="F49" s="83">
        <f>J33*(1-E33)</f>
        <v>7.1679999999999997E-4</v>
      </c>
      <c r="G49" s="82"/>
      <c r="H49" s="82"/>
      <c r="I49" s="82"/>
      <c r="J49" s="82" t="s">
        <v>136</v>
      </c>
    </row>
    <row r="50" spans="1:35">
      <c r="A50" s="21" t="str">
        <f>A34</f>
        <v>Ar</v>
      </c>
      <c r="B50" s="25"/>
      <c r="C50" s="21"/>
      <c r="D50" s="21"/>
      <c r="E50" s="21"/>
      <c r="F50" s="23">
        <f>F34</f>
        <v>0.1081212121212121</v>
      </c>
      <c r="G50" s="21"/>
      <c r="H50" s="21"/>
      <c r="I50" s="21"/>
      <c r="J50" s="21" t="s">
        <v>136</v>
      </c>
    </row>
    <row r="51" spans="1:35">
      <c r="A51" s="21" t="str">
        <f>A35</f>
        <v>O₂</v>
      </c>
      <c r="B51" s="25"/>
      <c r="C51" s="21"/>
      <c r="D51" s="21"/>
      <c r="E51" s="21"/>
      <c r="F51" s="23">
        <f>F35</f>
        <v>1.0812121212121211E-4</v>
      </c>
      <c r="G51" s="21"/>
      <c r="H51" s="21"/>
      <c r="I51" s="21"/>
      <c r="J51" s="21" t="s">
        <v>136</v>
      </c>
      <c r="AI51" s="34"/>
    </row>
    <row r="52" spans="1:35">
      <c r="A52" s="26" t="s">
        <v>21</v>
      </c>
      <c r="B52" s="25"/>
      <c r="C52" s="21"/>
      <c r="D52" s="21"/>
      <c r="E52" s="21"/>
      <c r="F52" s="23">
        <f>SUM(F14:F38)-SUM(F40:F51)-F54</f>
        <v>0.58812468833909426</v>
      </c>
      <c r="G52" s="21"/>
      <c r="H52" s="21"/>
      <c r="I52" s="21"/>
      <c r="J52" s="21"/>
      <c r="K52" s="21" t="s">
        <v>128</v>
      </c>
      <c r="L52" s="23">
        <f>$F$52*[6]production!D104</f>
        <v>3.1911057464590917E-3</v>
      </c>
      <c r="M52" s="34">
        <f>$F$52*[6]production!M104</f>
        <v>0.10213142163525465</v>
      </c>
      <c r="N52" s="34">
        <f>$F$52*[6]production!N104</f>
        <v>1.6498073757288272E-4</v>
      </c>
      <c r="O52" s="34">
        <f>$F$52*[6]production!O104</f>
        <v>3.0030822835970831E-3</v>
      </c>
      <c r="P52" s="34">
        <f>$F$52*[6]production!P104</f>
        <v>2.3805523009901523E-3</v>
      </c>
      <c r="Q52" s="34">
        <f>$F$52*[6]production!Q104</f>
        <v>1.469429533815227E-5</v>
      </c>
      <c r="R52" s="34">
        <f>$F$52*[6]production!R104</f>
        <v>3.5393343744246695E-7</v>
      </c>
      <c r="S52" s="34">
        <f>$F$52*[6]production!S104</f>
        <v>2.2636919254171741E-2</v>
      </c>
      <c r="T52" s="34">
        <f>$F$52*[6]production!T104</f>
        <v>4.3671198732619443E-4</v>
      </c>
      <c r="U52" s="34">
        <f>$F$52*[6]production!U104</f>
        <v>1.6056392116345613E-2</v>
      </c>
      <c r="V52" s="34">
        <f>$F$52*[6]production!V104</f>
        <v>1.0166911487317922E-5</v>
      </c>
      <c r="W52" s="34">
        <f>$F$52*[6]production!W104</f>
        <v>1.238825843517468E-4</v>
      </c>
      <c r="X52" s="34">
        <f>$F$52*[6]production!X104</f>
        <v>-2.3410891344025984E-5</v>
      </c>
      <c r="Y52" s="34">
        <f>$F$52*[6]production!Y104</f>
        <v>1.1221419053509919E-9</v>
      </c>
      <c r="Z52" s="34">
        <f>$F$52*[6]production!Z104</f>
        <v>1.074092118313688E-5</v>
      </c>
      <c r="AA52" s="34">
        <f>$F$52*[6]production!AA104</f>
        <v>3.2479774038214822E-5</v>
      </c>
      <c r="AB52" s="34">
        <f>$F$52*[6]production!AB104</f>
        <v>2.7172536850642835E-5</v>
      </c>
      <c r="AC52" s="34">
        <f>$F$52*[6]production!AC104</f>
        <v>3.275854514048755E-6</v>
      </c>
      <c r="AD52" s="34">
        <f>$F$52*[6]production!AD104</f>
        <v>6.0123986888905613E-4</v>
      </c>
      <c r="AE52" s="34">
        <f>$F$52*[6]production!AE104</f>
        <v>4.3420069490698648E-6</v>
      </c>
      <c r="AF52" s="34">
        <f>$F$52*[6]production!AF104</f>
        <v>2.4452460167074521E-4</v>
      </c>
      <c r="AG52" s="34">
        <f>$F$52*[6]production!AG104</f>
        <v>2.8245864406861677E-4</v>
      </c>
      <c r="AH52" s="34">
        <f>$F$52*[6]production!AH104</f>
        <v>2.9121582067798591E-4</v>
      </c>
    </row>
    <row r="54" spans="1:35">
      <c r="A54" s="18" t="s">
        <v>137</v>
      </c>
      <c r="F54" s="23">
        <f>F20+F31</f>
        <v>5.1540000000000002E-2</v>
      </c>
      <c r="J54" s="1" t="s">
        <v>138</v>
      </c>
    </row>
  </sheetData>
  <mergeCells count="9">
    <mergeCell ref="N11:AE11"/>
    <mergeCell ref="AF11:AH11"/>
    <mergeCell ref="B11:B12"/>
    <mergeCell ref="A11:A12"/>
    <mergeCell ref="J11:J12"/>
    <mergeCell ref="F11:F12"/>
    <mergeCell ref="E11:E12"/>
    <mergeCell ref="D11:D12"/>
    <mergeCell ref="C11:C12"/>
  </mergeCells>
  <dataValidations count="3">
    <dataValidation type="list" allowBlank="1" showInputMessage="1" showErrorMessage="1" sqref="B4:B9" xr:uid="{7EAA3F9A-0110-4813-B04D-C51126C05375}">
      <formula1>"80%,100%,120%"</formula1>
    </dataValidation>
    <dataValidation type="list" allowBlank="1" showInputMessage="1" showErrorMessage="1" sqref="B3" xr:uid="{3A9717E4-3216-49BF-A273-B7A6615D4C81}">
      <formula1>"90%,95%,100%,0%"</formula1>
    </dataValidation>
    <dataValidation type="list" allowBlank="1" showInputMessage="1" showErrorMessage="1" sqref="B2" xr:uid="{F827ACA4-7576-4535-A32C-B3648A35C1FF}">
      <formula1>"70%,80%,90%,100%,0%"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deal_recycling.ideal_recycling">
                <anchor moveWithCells="1">
                  <from>
                    <xdr:col>3</xdr:col>
                    <xdr:colOff>28575</xdr:colOff>
                    <xdr:row>6</xdr:row>
                    <xdr:rowOff>152400</xdr:rowOff>
                  </from>
                  <to>
                    <xdr:col>5</xdr:col>
                    <xdr:colOff>123825</xdr:colOff>
                    <xdr:row>9</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no_recycling.no_recycling">
                <anchor moveWithCells="1">
                  <from>
                    <xdr:col>3</xdr:col>
                    <xdr:colOff>28575</xdr:colOff>
                    <xdr:row>0</xdr:row>
                    <xdr:rowOff>161925</xdr:rowOff>
                  </from>
                  <to>
                    <xdr:col>5</xdr:col>
                    <xdr:colOff>123825</xdr:colOff>
                    <xdr:row>3</xdr:row>
                    <xdr:rowOff>9525</xdr:rowOff>
                  </to>
                </anchor>
              </controlPr>
            </control>
          </mc:Choice>
        </mc:AlternateContent>
        <mc:AlternateContent xmlns:mc="http://schemas.openxmlformats.org/markup-compatibility/2006">
          <mc:Choice Requires="x14">
            <control shapeId="6147" r:id="rId6" name="Button 3">
              <controlPr defaultSize="0" print="0" autoFill="0" autoPict="0" macro="[0]!norminal_recycling.norminal_recycling">
                <anchor moveWithCells="1">
                  <from>
                    <xdr:col>3</xdr:col>
                    <xdr:colOff>28575</xdr:colOff>
                    <xdr:row>3</xdr:row>
                    <xdr:rowOff>171450</xdr:rowOff>
                  </from>
                  <to>
                    <xdr:col>5</xdr:col>
                    <xdr:colOff>123825</xdr:colOff>
                    <xdr:row>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8CA58-B21A-480C-AEA9-B5BB8F511106}">
  <sheetPr codeName="Sheet7"/>
  <dimension ref="A1:H34"/>
  <sheetViews>
    <sheetView tabSelected="1" workbookViewId="0">
      <pane xSplit="1" topLeftCell="F1" activePane="topRight" state="frozen"/>
      <selection pane="topRight" activeCell="G27" sqref="G27"/>
    </sheetView>
  </sheetViews>
  <sheetFormatPr defaultRowHeight="15"/>
  <cols>
    <col min="1" max="1" width="52.42578125" customWidth="1"/>
  </cols>
  <sheetData>
    <row r="1" spans="1:8">
      <c r="C1" s="106">
        <f>results!G34</f>
        <v>26.851984947449044</v>
      </c>
    </row>
    <row r="2" spans="1:8" ht="15.75" thickBot="1">
      <c r="C2" s="107">
        <f>results!H34</f>
        <v>468.81675103317207</v>
      </c>
    </row>
    <row r="3" spans="1:8" ht="15.75" thickBot="1"/>
    <row r="4" spans="1:8" ht="16.5" thickTop="1" thickBot="1">
      <c r="A4" s="17" t="s">
        <v>119</v>
      </c>
      <c r="H4">
        <v>0</v>
      </c>
    </row>
    <row r="5" spans="1:8" ht="15.75" thickTop="1">
      <c r="A5" t="s">
        <v>165</v>
      </c>
      <c r="B5" s="100">
        <v>0.9</v>
      </c>
      <c r="C5">
        <v>26.852165684985042</v>
      </c>
      <c r="D5" s="103">
        <v>0.95</v>
      </c>
      <c r="E5">
        <v>26.851984947449044</v>
      </c>
      <c r="F5" s="105">
        <v>1</v>
      </c>
      <c r="G5">
        <v>26.851804209913045</v>
      </c>
      <c r="H5">
        <f t="shared" ref="H5:H12" si="0">ABS(G5-C5)</f>
        <v>3.6147507199757456E-4</v>
      </c>
    </row>
    <row r="6" spans="1:8">
      <c r="A6" t="s">
        <v>163</v>
      </c>
      <c r="B6" s="99">
        <f t="shared" ref="B6:B11" si="1">D6*0.8</f>
        <v>0.11120000000000002</v>
      </c>
      <c r="C6">
        <v>26.832264947433266</v>
      </c>
      <c r="D6" s="102">
        <v>0.13900000000000001</v>
      </c>
      <c r="E6" s="20">
        <v>26.851984947449044</v>
      </c>
      <c r="F6" s="104">
        <f t="shared" ref="F6:F11" si="2">D6*1.2</f>
        <v>0.1668</v>
      </c>
      <c r="G6">
        <v>26.871704947464821</v>
      </c>
      <c r="H6" s="20">
        <f t="shared" si="0"/>
        <v>3.9440000031554234E-2</v>
      </c>
    </row>
    <row r="7" spans="1:8">
      <c r="A7" t="s">
        <v>158</v>
      </c>
      <c r="B7" s="99">
        <f t="shared" si="1"/>
        <v>3.4287999999999998</v>
      </c>
      <c r="C7">
        <v>26.243482089819384</v>
      </c>
      <c r="D7" s="101">
        <v>4.2859999999999996</v>
      </c>
      <c r="E7" s="20">
        <v>26.851984947449044</v>
      </c>
      <c r="F7" s="104">
        <f t="shared" si="2"/>
        <v>5.1431999999999993</v>
      </c>
      <c r="G7">
        <v>27.460487805078703</v>
      </c>
      <c r="H7" s="20">
        <f t="shared" si="0"/>
        <v>1.2170057152593188</v>
      </c>
    </row>
    <row r="8" spans="1:8">
      <c r="A8" s="20" t="s">
        <v>161</v>
      </c>
      <c r="B8" s="99">
        <f t="shared" si="1"/>
        <v>3.4287999999999998</v>
      </c>
      <c r="C8">
        <v>26.243482089819384</v>
      </c>
      <c r="D8" s="102">
        <v>4.2859999999999996</v>
      </c>
      <c r="E8" s="20">
        <v>26.851984947449044</v>
      </c>
      <c r="F8" s="104">
        <f t="shared" si="2"/>
        <v>5.1431999999999993</v>
      </c>
      <c r="G8">
        <v>27.460487805078703</v>
      </c>
      <c r="H8" s="20">
        <f t="shared" si="0"/>
        <v>1.2170057152593188</v>
      </c>
    </row>
    <row r="9" spans="1:8">
      <c r="A9" s="20" t="s">
        <v>162</v>
      </c>
      <c r="B9" s="99">
        <f t="shared" si="1"/>
        <v>3.4287999999999998</v>
      </c>
      <c r="C9">
        <v>26.243482089819384</v>
      </c>
      <c r="D9" s="102">
        <v>4.2859999999999996</v>
      </c>
      <c r="E9" s="20">
        <v>26.851984947449044</v>
      </c>
      <c r="F9" s="104">
        <f t="shared" si="2"/>
        <v>5.1431999999999993</v>
      </c>
      <c r="G9">
        <v>27.460487805078703</v>
      </c>
      <c r="H9" s="20">
        <f t="shared" si="0"/>
        <v>1.2170057152593188</v>
      </c>
    </row>
    <row r="10" spans="1:8" s="20" customFormat="1">
      <c r="A10" t="s">
        <v>160</v>
      </c>
      <c r="B10" s="99">
        <f t="shared" si="1"/>
        <v>5.1432000000000002</v>
      </c>
      <c r="C10" s="20">
        <v>25.939230661004554</v>
      </c>
      <c r="D10" s="101">
        <v>6.4290000000000003</v>
      </c>
      <c r="E10" s="20">
        <v>26.851984947449044</v>
      </c>
      <c r="F10" s="104">
        <f t="shared" si="2"/>
        <v>7.7148000000000003</v>
      </c>
      <c r="G10" s="20">
        <v>27.764739233893533</v>
      </c>
      <c r="H10" s="20">
        <f t="shared" si="0"/>
        <v>1.8255085728889782</v>
      </c>
    </row>
    <row r="11" spans="1:8" s="20" customFormat="1">
      <c r="A11" s="20" t="s">
        <v>159</v>
      </c>
      <c r="B11" s="99">
        <f t="shared" si="1"/>
        <v>6.2224000000000004</v>
      </c>
      <c r="C11" s="20">
        <v>25.747664946565589</v>
      </c>
      <c r="D11" s="101">
        <v>7.7779999999999996</v>
      </c>
      <c r="E11" s="20">
        <v>26.851984947449044</v>
      </c>
      <c r="F11" s="104">
        <f t="shared" si="2"/>
        <v>9.3335999999999988</v>
      </c>
      <c r="G11" s="20">
        <v>27.956304948332502</v>
      </c>
      <c r="H11" s="20">
        <f t="shared" si="0"/>
        <v>2.2086400017669128</v>
      </c>
    </row>
    <row r="12" spans="1:8">
      <c r="A12" t="s">
        <v>164</v>
      </c>
      <c r="B12" s="100">
        <v>0.8</v>
      </c>
      <c r="C12">
        <v>30.245479594979315</v>
      </c>
      <c r="D12" s="103">
        <v>0.9</v>
      </c>
      <c r="E12" s="20">
        <v>26.851984947449044</v>
      </c>
      <c r="F12" s="105">
        <v>1</v>
      </c>
      <c r="G12">
        <v>23.458490299918772</v>
      </c>
      <c r="H12" s="20">
        <f t="shared" si="0"/>
        <v>6.7869892950605433</v>
      </c>
    </row>
    <row r="13" spans="1:8" s="20" customFormat="1"/>
    <row r="14" spans="1:8" s="20" customFormat="1" ht="15.75" thickBot="1"/>
    <row r="15" spans="1:8" ht="16.5" thickTop="1" thickBot="1">
      <c r="A15" s="17" t="s">
        <v>120</v>
      </c>
      <c r="H15">
        <v>0</v>
      </c>
    </row>
    <row r="16" spans="1:8" ht="15.75" thickTop="1">
      <c r="A16" s="20" t="s">
        <v>165</v>
      </c>
      <c r="B16" s="99">
        <v>0.9</v>
      </c>
      <c r="C16">
        <v>468.81935003662909</v>
      </c>
      <c r="D16" s="101">
        <v>0.95</v>
      </c>
      <c r="E16">
        <v>468.81675103317207</v>
      </c>
      <c r="F16" s="104">
        <v>1</v>
      </c>
      <c r="G16">
        <v>468.81415202971493</v>
      </c>
      <c r="H16" s="20">
        <f t="shared" ref="H16:H23" si="3">ABS(G16-C16)</f>
        <v>5.1980069141563945E-3</v>
      </c>
    </row>
    <row r="17" spans="1:8">
      <c r="A17" s="20" t="s">
        <v>163</v>
      </c>
      <c r="B17" s="99">
        <f t="shared" ref="B17:B22" si="4">D17*0.8</f>
        <v>0.11120000000000002</v>
      </c>
      <c r="C17">
        <v>468.46976206833335</v>
      </c>
      <c r="D17" s="101">
        <v>0.13900000000000001</v>
      </c>
      <c r="E17" s="20">
        <v>468.81675103317207</v>
      </c>
      <c r="F17" s="104">
        <f t="shared" ref="F17:F22" si="5">D17*1.2</f>
        <v>0.1668</v>
      </c>
      <c r="G17">
        <v>469.16373999801078</v>
      </c>
      <c r="H17" s="20">
        <f t="shared" si="3"/>
        <v>0.69397792967743044</v>
      </c>
    </row>
    <row r="18" spans="1:8">
      <c r="A18" s="20" t="s">
        <v>158</v>
      </c>
      <c r="B18" s="99">
        <f t="shared" si="4"/>
        <v>3.4287999999999998</v>
      </c>
      <c r="C18">
        <v>458.10966297529217</v>
      </c>
      <c r="D18" s="101">
        <v>4.2859999999999996</v>
      </c>
      <c r="E18" s="20">
        <v>468.81675103317207</v>
      </c>
      <c r="F18" s="104">
        <f t="shared" si="5"/>
        <v>5.1431999999999993</v>
      </c>
      <c r="G18">
        <v>479.52383909105197</v>
      </c>
      <c r="H18" s="20">
        <f t="shared" si="3"/>
        <v>21.414176115759801</v>
      </c>
    </row>
    <row r="19" spans="1:8">
      <c r="A19" s="20" t="s">
        <v>161</v>
      </c>
      <c r="B19" s="99">
        <f t="shared" si="4"/>
        <v>3.4287999999999998</v>
      </c>
      <c r="C19">
        <v>458.10966297529217</v>
      </c>
      <c r="D19" s="101">
        <v>4.2859999999999996</v>
      </c>
      <c r="E19" s="20">
        <v>468.81675103317207</v>
      </c>
      <c r="F19" s="104">
        <f t="shared" si="5"/>
        <v>5.1431999999999993</v>
      </c>
      <c r="G19">
        <v>479.52383909105197</v>
      </c>
      <c r="H19" s="20">
        <f t="shared" si="3"/>
        <v>21.414176115759801</v>
      </c>
    </row>
    <row r="20" spans="1:8">
      <c r="A20" s="20" t="s">
        <v>162</v>
      </c>
      <c r="B20" s="99">
        <f t="shared" si="4"/>
        <v>3.4287999999999998</v>
      </c>
      <c r="C20">
        <v>458.10966297529211</v>
      </c>
      <c r="D20" s="101">
        <v>4.2859999999999996</v>
      </c>
      <c r="E20" s="20">
        <v>468.81675103317207</v>
      </c>
      <c r="F20" s="104">
        <f t="shared" si="5"/>
        <v>5.1431999999999993</v>
      </c>
      <c r="G20">
        <v>479.52383909105197</v>
      </c>
      <c r="H20" s="20">
        <f t="shared" si="3"/>
        <v>21.414176115759858</v>
      </c>
    </row>
    <row r="21" spans="1:8">
      <c r="A21" s="20" t="s">
        <v>160</v>
      </c>
      <c r="B21" s="99">
        <f t="shared" si="4"/>
        <v>5.1432000000000002</v>
      </c>
      <c r="C21">
        <v>452.7561189463521</v>
      </c>
      <c r="D21" s="101">
        <v>6.4290000000000003</v>
      </c>
      <c r="E21" s="20">
        <v>468.81675103317207</v>
      </c>
      <c r="F21" s="104">
        <f t="shared" si="5"/>
        <v>7.7148000000000003</v>
      </c>
      <c r="G21">
        <v>484.87738311999203</v>
      </c>
      <c r="H21" s="20">
        <f t="shared" si="3"/>
        <v>32.121264173639929</v>
      </c>
    </row>
    <row r="22" spans="1:8">
      <c r="A22" s="20" t="s">
        <v>159</v>
      </c>
      <c r="B22" s="99">
        <f t="shared" si="4"/>
        <v>6.2224000000000004</v>
      </c>
      <c r="C22">
        <v>449.3853690022047</v>
      </c>
      <c r="D22" s="101">
        <v>7.7779999999999996</v>
      </c>
      <c r="E22" s="20">
        <v>468.81675103317207</v>
      </c>
      <c r="F22" s="104">
        <f t="shared" si="5"/>
        <v>9.3335999999999988</v>
      </c>
      <c r="G22">
        <v>488.24813306413938</v>
      </c>
      <c r="H22" s="20">
        <f t="shared" si="3"/>
        <v>38.862764061934683</v>
      </c>
    </row>
    <row r="23" spans="1:8">
      <c r="A23" s="20" t="s">
        <v>164</v>
      </c>
      <c r="B23" s="99">
        <v>0.8</v>
      </c>
      <c r="C23">
        <v>530.93563038153286</v>
      </c>
      <c r="D23" s="101">
        <v>0.9</v>
      </c>
      <c r="E23" s="20">
        <v>468.81675103317207</v>
      </c>
      <c r="F23" s="104">
        <v>1</v>
      </c>
      <c r="G23">
        <v>406.69787168481139</v>
      </c>
      <c r="H23" s="20">
        <f t="shared" si="3"/>
        <v>124.23775869672147</v>
      </c>
    </row>
    <row r="25" spans="1:8">
      <c r="E25" s="20"/>
      <c r="G25" s="20"/>
    </row>
    <row r="26" spans="1:8">
      <c r="C26" s="20"/>
      <c r="E26" s="20"/>
      <c r="F26" s="20"/>
      <c r="G26" s="20"/>
    </row>
    <row r="27" spans="1:8">
      <c r="C27" s="20"/>
      <c r="E27" s="20"/>
      <c r="F27" s="20"/>
      <c r="G27" s="20"/>
    </row>
    <row r="28" spans="1:8">
      <c r="C28" s="20"/>
      <c r="E28" s="20"/>
      <c r="F28" s="20"/>
      <c r="G28" s="20"/>
    </row>
    <row r="29" spans="1:8">
      <c r="C29" s="20"/>
      <c r="E29" s="20"/>
      <c r="F29" s="20"/>
      <c r="G29" s="20"/>
    </row>
    <row r="30" spans="1:8">
      <c r="C30" s="20"/>
      <c r="E30" s="20"/>
      <c r="F30" s="20"/>
      <c r="G30" s="20"/>
    </row>
    <row r="31" spans="1:8">
      <c r="C31" s="20"/>
      <c r="E31" s="20"/>
      <c r="F31" s="20"/>
      <c r="G31" s="20"/>
    </row>
    <row r="32" spans="1:8">
      <c r="C32" s="20"/>
      <c r="E32" s="20"/>
      <c r="F32" s="20"/>
      <c r="G32" s="20"/>
    </row>
    <row r="33" spans="3:7">
      <c r="C33" s="20"/>
      <c r="E33" s="20"/>
      <c r="G33" s="20"/>
    </row>
    <row r="34" spans="3:7">
      <c r="C34" s="20"/>
    </row>
  </sheetData>
  <sortState xmlns:xlrd2="http://schemas.microsoft.com/office/spreadsheetml/2017/richdata2" ref="A15:H23">
    <sortCondition ref="H16"/>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73148-D486-4271-8664-BC466A603C19}">
  <sheetPr codeName="Sheet2"/>
  <dimension ref="A1:AM25"/>
  <sheetViews>
    <sheetView zoomScale="85" zoomScaleNormal="85" workbookViewId="0">
      <selection activeCell="I18" sqref="I18"/>
    </sheetView>
  </sheetViews>
  <sheetFormatPr defaultRowHeight="15"/>
  <cols>
    <col min="2" max="2" width="31.28515625" customWidth="1"/>
    <col min="3" max="5" width="24.85546875" customWidth="1"/>
    <col min="6" max="6" width="12.7109375" customWidth="1"/>
    <col min="7" max="7" width="23.7109375" style="21" customWidth="1"/>
    <col min="8" max="8" width="33.28515625" style="19" customWidth="1"/>
    <col min="9" max="9" width="21" customWidth="1"/>
    <col min="10" max="10" width="0" hidden="1" customWidth="1"/>
    <col min="11" max="11" width="12.5703125" hidden="1" customWidth="1"/>
    <col min="12" max="17" width="0" hidden="1" customWidth="1"/>
    <col min="18" max="18" width="9.85546875" customWidth="1"/>
    <col min="20" max="20" width="10.42578125" customWidth="1"/>
    <col min="24" max="24" width="12.140625" customWidth="1"/>
    <col min="26" max="26" width="10.140625" customWidth="1"/>
  </cols>
  <sheetData>
    <row r="1" spans="1:39">
      <c r="B1" s="117" t="s">
        <v>132</v>
      </c>
      <c r="C1" s="117"/>
      <c r="D1" s="117"/>
      <c r="E1" s="117"/>
      <c r="F1" s="117"/>
      <c r="I1" s="114" t="s">
        <v>22</v>
      </c>
      <c r="J1" s="115" t="s">
        <v>23</v>
      </c>
      <c r="K1" s="115"/>
      <c r="L1" s="115"/>
      <c r="M1" s="115"/>
      <c r="N1" s="115"/>
      <c r="O1" s="115"/>
      <c r="P1" s="115"/>
      <c r="Q1" s="115"/>
      <c r="R1" s="115"/>
      <c r="S1" s="116" t="s">
        <v>24</v>
      </c>
      <c r="T1" s="116"/>
      <c r="U1" s="116"/>
      <c r="V1" s="116"/>
      <c r="W1" s="116"/>
      <c r="X1" s="116"/>
      <c r="Y1" s="116"/>
      <c r="Z1" s="116"/>
      <c r="AA1" s="116"/>
      <c r="AB1" s="116"/>
      <c r="AC1" s="116"/>
      <c r="AD1" s="116"/>
      <c r="AE1" s="116"/>
      <c r="AF1" s="116"/>
      <c r="AG1" s="116"/>
      <c r="AH1" s="116"/>
      <c r="AI1" s="116"/>
      <c r="AJ1" s="116"/>
      <c r="AK1" s="115" t="s">
        <v>25</v>
      </c>
      <c r="AL1" s="115"/>
      <c r="AM1" s="115"/>
    </row>
    <row r="2" spans="1:39" ht="15.75" thickBot="1">
      <c r="A2" s="22" t="s">
        <v>131</v>
      </c>
      <c r="B2" s="2"/>
      <c r="C2" s="2" t="s">
        <v>56</v>
      </c>
      <c r="D2" s="2" t="s">
        <v>57</v>
      </c>
      <c r="E2" s="2" t="s">
        <v>58</v>
      </c>
      <c r="I2" s="114"/>
      <c r="J2" s="5" t="s">
        <v>26</v>
      </c>
      <c r="K2" s="5" t="s">
        <v>27</v>
      </c>
      <c r="L2" s="5" t="s">
        <v>28</v>
      </c>
      <c r="M2" s="5" t="s">
        <v>29</v>
      </c>
      <c r="N2" s="5" t="s">
        <v>30</v>
      </c>
      <c r="O2" s="5" t="s">
        <v>31</v>
      </c>
      <c r="P2" s="5" t="s">
        <v>32</v>
      </c>
      <c r="Q2" s="5" t="s">
        <v>33</v>
      </c>
      <c r="R2" s="5" t="s">
        <v>34</v>
      </c>
      <c r="S2" s="5" t="s">
        <v>35</v>
      </c>
      <c r="T2" s="5" t="s">
        <v>36</v>
      </c>
      <c r="U2" s="5" t="s">
        <v>37</v>
      </c>
      <c r="V2" s="5" t="s">
        <v>38</v>
      </c>
      <c r="W2" s="5" t="s">
        <v>39</v>
      </c>
      <c r="X2" s="5" t="s">
        <v>40</v>
      </c>
      <c r="Y2" s="5" t="s">
        <v>41</v>
      </c>
      <c r="Z2" s="5" t="s">
        <v>42</v>
      </c>
      <c r="AA2" s="5" t="s">
        <v>43</v>
      </c>
      <c r="AB2" s="5" t="s">
        <v>44</v>
      </c>
      <c r="AC2" s="5" t="s">
        <v>45</v>
      </c>
      <c r="AD2" s="5" t="s">
        <v>46</v>
      </c>
      <c r="AE2" s="5" t="s">
        <v>47</v>
      </c>
      <c r="AF2" s="5" t="s">
        <v>48</v>
      </c>
      <c r="AG2" s="5" t="s">
        <v>49</v>
      </c>
      <c r="AH2" s="5" t="s">
        <v>50</v>
      </c>
      <c r="AI2" s="5" t="s">
        <v>51</v>
      </c>
      <c r="AJ2" s="5" t="s">
        <v>52</v>
      </c>
      <c r="AK2" s="6" t="s">
        <v>53</v>
      </c>
      <c r="AL2" s="6" t="s">
        <v>54</v>
      </c>
      <c r="AM2" s="6" t="s">
        <v>55</v>
      </c>
    </row>
    <row r="3" spans="1:39">
      <c r="B3" s="43" t="s">
        <v>59</v>
      </c>
      <c r="C3" s="49"/>
      <c r="D3" s="50"/>
      <c r="E3" s="49"/>
      <c r="F3" s="51"/>
      <c r="H3" s="74" t="str">
        <f>B4</f>
        <v>Spray pyrolysis</v>
      </c>
      <c r="I3" s="4">
        <f>$F4*[2]production!D$7</f>
        <v>4.1750057176257169E-5</v>
      </c>
      <c r="J3" s="4">
        <f>$F4*[2]production!E$7</f>
        <v>3.3904866693790543E-7</v>
      </c>
      <c r="K3" s="4">
        <f>$F4*[2]production!F$7</f>
        <v>7.3064952439404304E-4</v>
      </c>
      <c r="L3" s="4">
        <f>$F4*[2]production!G$7</f>
        <v>2.3963116685837149E-8</v>
      </c>
      <c r="M3" s="4">
        <f>$F4*[2]production!H$7</f>
        <v>2.5212230972550725E-6</v>
      </c>
      <c r="N3" s="4">
        <f>$F4*[2]production!I$7</f>
        <v>2.7433466688613428E-9</v>
      </c>
      <c r="O3" s="4">
        <f>$F4*[2]production!J$7</f>
        <v>1.6503128584631067E-10</v>
      </c>
      <c r="P3" s="4">
        <f>$F4*[2]production!K$7</f>
        <v>9.8123690554689377E-7</v>
      </c>
      <c r="Q3" s="4">
        <f>$F4*[2]production!L$7</f>
        <v>1.0730385722870018E-7</v>
      </c>
      <c r="R3" s="4">
        <f>$F4*[2]production!M$7</f>
        <v>7.3462520841565228E-4</v>
      </c>
      <c r="S3" s="4">
        <f>$F4*[2]production!N$7</f>
        <v>4.7798616704905537E-8</v>
      </c>
      <c r="T3" s="4">
        <f>$F4*[2]production!O$7</f>
        <v>3.9401792888664275E-5</v>
      </c>
      <c r="U3" s="4">
        <f>$F4*[2]production!P$7</f>
        <v>1.7401738109159478E-5</v>
      </c>
      <c r="V3" s="4">
        <f>$F4*[2]production!Q$7</f>
        <v>1.5002309535811364E-7</v>
      </c>
      <c r="W3" s="4">
        <f>$F4*[2]production!R$7</f>
        <v>7.3211976249045741E-10</v>
      </c>
      <c r="X3" s="4">
        <f>$F4*[2]production!S$7</f>
        <v>3.0689750024551785E-4</v>
      </c>
      <c r="Y3" s="4">
        <f>$F4*[2]production!T$7</f>
        <v>2.4835261924630103E-7</v>
      </c>
      <c r="Z3" s="4">
        <f>$F4*[2]production!U$7</f>
        <v>9.229566674050315E-5</v>
      </c>
      <c r="AA3" s="4">
        <f>$F4*[2]production!V$7</f>
        <v>3.6153154790827264E-8</v>
      </c>
      <c r="AB3" s="4">
        <f>$F4*[2]production!W$7</f>
        <v>1.7636976204585762E-7</v>
      </c>
      <c r="AC3" s="4">
        <f>$F4*[2]production!X$7</f>
        <v>6.4896309575726544E-9</v>
      </c>
      <c r="AD3" s="4">
        <f>$F4*[2]production!Y$7</f>
        <v>3.4870519075515447E-12</v>
      </c>
      <c r="AE3" s="4">
        <f>$F4*[2]production!Z$7</f>
        <v>4.4025985749506479E-8</v>
      </c>
      <c r="AF3" s="4">
        <f>$F4*[2]production!AA$7</f>
        <v>1.1841885723759217E-7</v>
      </c>
      <c r="AG3" s="4">
        <f>$F4*[2]production!AB$7</f>
        <v>1.7054761918405705E-7</v>
      </c>
      <c r="AH3" s="4">
        <f>$F4*[2]production!AC$7</f>
        <v>3.0523907167276255E-9</v>
      </c>
      <c r="AI3" s="4">
        <f>$F4*[2]production!AD$7</f>
        <v>1.8825516681727073E-8</v>
      </c>
      <c r="AJ3" s="4">
        <f>$F4*[2]production!AE$7</f>
        <v>4.7157004799630339E-9</v>
      </c>
      <c r="AK3" s="4">
        <f>$F4*[2]production!AF$7</f>
        <v>1.1534900009227914E-6</v>
      </c>
      <c r="AL3" s="4">
        <f>$F4*[2]production!AG$7</f>
        <v>3.5569176218931514E-6</v>
      </c>
      <c r="AM3" s="4">
        <f>$F4*[2]production!AH$7</f>
        <v>2.0948540492949298E-6</v>
      </c>
    </row>
    <row r="4" spans="1:39" ht="15.75" thickBot="1">
      <c r="B4" s="44" t="s">
        <v>60</v>
      </c>
      <c r="C4" s="52">
        <v>130</v>
      </c>
      <c r="D4" s="53">
        <f>19/70*60</f>
        <v>16.285714285714285</v>
      </c>
      <c r="E4" s="52">
        <f>C4*D4/1000000*(1-'material inventory'!B2)</f>
        <v>2.1171428571428564E-4</v>
      </c>
      <c r="F4" s="54">
        <f>E4*0.277777778</f>
        <v>5.8809523856571402E-5</v>
      </c>
      <c r="H4" s="74" t="str">
        <f>B6</f>
        <v>ETL slot-die coating</v>
      </c>
      <c r="I4" s="4">
        <f>$F6*[2]production!D$7</f>
        <v>1.4790000011831994E-3</v>
      </c>
      <c r="J4" s="4">
        <f>$F6*[2]production!E$7</f>
        <v>1.2010833342941996E-5</v>
      </c>
      <c r="K4" s="4">
        <f>$F6*[2]production!F$7</f>
        <v>2.588333335403999E-2</v>
      </c>
      <c r="L4" s="4">
        <f>$F6*[2]production!G$7</f>
        <v>8.4889583401244965E-7</v>
      </c>
      <c r="M4" s="4">
        <f>$F6*[2]production!H$7</f>
        <v>8.9314583404784964E-5</v>
      </c>
      <c r="N4" s="4">
        <f>$F6*[2]production!I$7</f>
        <v>9.718333341107996E-8</v>
      </c>
      <c r="O4" s="4">
        <f>$F6*[2]production!J$7</f>
        <v>5.8462500046769976E-9</v>
      </c>
      <c r="P4" s="4">
        <f>$F6*[2]production!K$7</f>
        <v>3.4760416694474985E-5</v>
      </c>
      <c r="Q4" s="4">
        <f>$F6*[2]production!L$7</f>
        <v>3.8012500030409984E-6</v>
      </c>
      <c r="R4" s="4">
        <f>$F6*[2]production!M$7</f>
        <v>2.6024172362902664E-2</v>
      </c>
      <c r="S4" s="4">
        <f>$F6*[2]production!N$7</f>
        <v>1.6932708346879494E-6</v>
      </c>
      <c r="T4" s="4">
        <f>$F6*[2]production!O$7</f>
        <v>1.3958125011166494E-3</v>
      </c>
      <c r="U4" s="4">
        <f>$F6*[2]production!P$7</f>
        <v>6.1645833382649982E-4</v>
      </c>
      <c r="V4" s="4">
        <f>$F6*[2]production!Q$7</f>
        <v>5.3145833375849981E-6</v>
      </c>
      <c r="W4" s="4">
        <f>$F6*[2]production!R$7</f>
        <v>2.5935416687414992E-8</v>
      </c>
      <c r="X4" s="4">
        <f>$F6*[2]production!S$7</f>
        <v>1.0871875008697495E-2</v>
      </c>
      <c r="Y4" s="4">
        <f>$F6*[2]production!T$7</f>
        <v>8.7979166737049964E-6</v>
      </c>
      <c r="Z4" s="4">
        <f>$F6*[2]production!U$7</f>
        <v>3.2695833359489986E-3</v>
      </c>
      <c r="AA4" s="4">
        <f>$F6*[2]production!V$7</f>
        <v>1.2807291676912495E-6</v>
      </c>
      <c r="AB4" s="4">
        <f>$F6*[2]production!W$7</f>
        <v>6.2479166716649979E-6</v>
      </c>
      <c r="AC4" s="4">
        <f>$F6*[2]production!X$7</f>
        <v>2.2989583351724992E-7</v>
      </c>
      <c r="AD4" s="4">
        <f>$F6*[2]production!Y$7</f>
        <v>1.2352916676548996E-10</v>
      </c>
      <c r="AE4" s="4">
        <f>$F6*[2]production!Z$7</f>
        <v>1.5596250012476993E-6</v>
      </c>
      <c r="AF4" s="4">
        <f>$F6*[2]production!AA$7</f>
        <v>4.1950000033559984E-6</v>
      </c>
      <c r="AG4" s="4">
        <f>$F6*[2]production!AB$7</f>
        <v>6.0416666714999976E-6</v>
      </c>
      <c r="AH4" s="4">
        <f>$F6*[2]production!AC$7</f>
        <v>1.0813125008650496E-7</v>
      </c>
      <c r="AI4" s="4">
        <f>$F6*[2]production!AD$7</f>
        <v>6.6689583386684975E-7</v>
      </c>
      <c r="AJ4" s="4">
        <f>$F6*[2]production!AE$7</f>
        <v>1.6705416680030992E-7</v>
      </c>
      <c r="AK4" s="4">
        <f>$F6*[2]production!AF$7</f>
        <v>4.0862500032689987E-5</v>
      </c>
      <c r="AL4" s="4">
        <f>$F6*[2]production!AG$7</f>
        <v>1.2600416676746996E-4</v>
      </c>
      <c r="AM4" s="4">
        <f>$F6*[2]production!AH$7</f>
        <v>7.4210416726034969E-5</v>
      </c>
    </row>
    <row r="5" spans="1:39">
      <c r="B5" s="43" t="s">
        <v>2</v>
      </c>
      <c r="C5" s="49"/>
      <c r="D5" s="50"/>
      <c r="E5" s="49"/>
      <c r="F5" s="55"/>
      <c r="H5" s="74" t="str">
        <f>B7</f>
        <v>ETL calcining</v>
      </c>
      <c r="I5" s="4">
        <f>$F7*[2]production!D$7</f>
        <v>3.0425142881482956</v>
      </c>
      <c r="J5" s="4">
        <f>$F7*[2]production!E$7</f>
        <v>2.4708000019766387E-2</v>
      </c>
      <c r="K5" s="4">
        <f>$F7*[2]production!F$7</f>
        <v>53.245714328310825</v>
      </c>
      <c r="L5" s="4">
        <f>$F7*[2]production!G$7</f>
        <v>1.7463000013970391E-3</v>
      </c>
      <c r="M5" s="4">
        <f>$F7*[2]production!H$7</f>
        <v>0.18373285728984334</v>
      </c>
      <c r="N5" s="4">
        <f>$F7*[2]production!I$7</f>
        <v>1.9992000015993589E-4</v>
      </c>
      <c r="O5" s="4">
        <f>$F7*[2]production!J$7</f>
        <v>1.202657143819268E-5</v>
      </c>
      <c r="P5" s="4">
        <f>$F7*[2]production!K$7</f>
        <v>7.1507142914348523E-2</v>
      </c>
      <c r="Q5" s="4">
        <f>$F7*[2]production!L$7</f>
        <v>7.8197142919700525E-3</v>
      </c>
      <c r="R5" s="4">
        <f>$F7*[2]production!M$7</f>
        <v>53.535440289399759</v>
      </c>
      <c r="S5" s="4">
        <f>$F7*[2]production!N$7</f>
        <v>3.483300002786638E-3</v>
      </c>
      <c r="T5" s="4">
        <f>$F7*[2]production!O$7</f>
        <v>2.8713857165828212</v>
      </c>
      <c r="U5" s="4">
        <f>$F7*[2]production!P$7</f>
        <v>1.2681428581573708</v>
      </c>
      <c r="V5" s="4">
        <f>$F7*[2]production!Q$7</f>
        <v>1.0932857151603423E-2</v>
      </c>
      <c r="W5" s="4">
        <f>$F7*[2]production!R$7</f>
        <v>5.3352857185539407E-5</v>
      </c>
      <c r="X5" s="4">
        <f>$F7*[2]production!S$7</f>
        <v>22.365000017891987</v>
      </c>
      <c r="Y5" s="4">
        <f>$F7*[2]production!T$7</f>
        <v>1.8098571443050278E-2</v>
      </c>
      <c r="Z5" s="4">
        <f>$F7*[2]production!U$7</f>
        <v>6.7260000053807962</v>
      </c>
      <c r="AA5" s="4">
        <f>$F7*[2]production!V$7</f>
        <v>2.63464285925057E-3</v>
      </c>
      <c r="AB5" s="4">
        <f>$F7*[2]production!W$7</f>
        <v>1.2852857153139422E-2</v>
      </c>
      <c r="AC5" s="4">
        <f>$F7*[2]production!X$7</f>
        <v>4.7292857180691406E-4</v>
      </c>
      <c r="AD5" s="4">
        <f>$F7*[2]production!Y$7</f>
        <v>2.5411714306043645E-7</v>
      </c>
      <c r="AE5" s="4">
        <f>$F7*[2]production!Z$7</f>
        <v>3.2083714311381241E-3</v>
      </c>
      <c r="AF5" s="4">
        <f>$F7*[2]production!AA$7</f>
        <v>8.6297142926180532E-3</v>
      </c>
      <c r="AG5" s="4">
        <f>$F7*[2]production!AB$7</f>
        <v>1.2428571438514278E-2</v>
      </c>
      <c r="AH5" s="4">
        <f>$F7*[2]production!AC$7</f>
        <v>2.224414287493816E-4</v>
      </c>
      <c r="AI5" s="4">
        <f>$F7*[2]production!AD$7</f>
        <v>1.3719000010975193E-3</v>
      </c>
      <c r="AJ5" s="4">
        <f>$F7*[2]production!AE$7</f>
        <v>3.4365428598920897E-4</v>
      </c>
      <c r="AK5" s="4">
        <f>$F7*[2]production!AF$7</f>
        <v>8.4060000067247953E-2</v>
      </c>
      <c r="AL5" s="4">
        <f>$F7*[2]production!AG$7</f>
        <v>0.25920857163593813</v>
      </c>
      <c r="AM5" s="4">
        <f>$F7*[2]production!AH$7</f>
        <v>0.15266142869355764</v>
      </c>
    </row>
    <row r="6" spans="1:39">
      <c r="B6" s="45" t="s">
        <v>112</v>
      </c>
      <c r="C6" s="56">
        <v>2500</v>
      </c>
      <c r="D6" s="57">
        <f>1/120*3600</f>
        <v>30</v>
      </c>
      <c r="E6" s="58">
        <f>C6*D6/1000000*(1-'material inventory'!B2)</f>
        <v>7.499999999999998E-3</v>
      </c>
      <c r="F6" s="59">
        <f t="shared" ref="F6:F19" si="0">E6*0.277777778</f>
        <v>2.0833333349999992E-3</v>
      </c>
      <c r="G6" s="21" t="s">
        <v>130</v>
      </c>
      <c r="H6" s="74" t="str">
        <f>B9</f>
        <v>PL 1st-step slot-die coating</v>
      </c>
      <c r="I6" s="4">
        <f>$F9*[2]production!D$7</f>
        <v>2.1128571445474281E-2</v>
      </c>
      <c r="J6" s="4">
        <f>$F9*[2]production!E$7</f>
        <v>1.7158333347059996E-4</v>
      </c>
      <c r="K6" s="4">
        <f>$F9*[2]production!F$7</f>
        <v>0.36976190505771422</v>
      </c>
      <c r="L6" s="4">
        <f>$F9*[2]production!G$7</f>
        <v>1.2127083343034997E-5</v>
      </c>
      <c r="M6" s="4">
        <f>$F9*[2]production!H$7</f>
        <v>1.275922620068357E-3</v>
      </c>
      <c r="N6" s="4">
        <f>$F9*[2]production!I$7</f>
        <v>1.3883333344439998E-6</v>
      </c>
      <c r="O6" s="4">
        <f>$F9*[2]production!J$7</f>
        <v>8.3517857209671417E-8</v>
      </c>
      <c r="P6" s="4">
        <f>$F9*[2]production!K$7</f>
        <v>4.9657738134964273E-4</v>
      </c>
      <c r="Q6" s="4">
        <f>$F9*[2]production!L$7</f>
        <v>5.4303571472014274E-5</v>
      </c>
      <c r="R6" s="4">
        <f>$F9*[2]production!M$7</f>
        <v>0.37177389089860957</v>
      </c>
      <c r="S6" s="4">
        <f>$F9*[2]production!N$7</f>
        <v>2.4189583352684997E-5</v>
      </c>
      <c r="T6" s="4">
        <f>$F9*[2]production!O$7</f>
        <v>1.9940178587380709E-2</v>
      </c>
      <c r="U6" s="4">
        <f>$F9*[2]production!P$7</f>
        <v>8.806547626092856E-3</v>
      </c>
      <c r="V6" s="4">
        <f>$F9*[2]production!Q$7</f>
        <v>7.5922619108357133E-5</v>
      </c>
      <c r="W6" s="4">
        <f>$F9*[2]production!R$7</f>
        <v>3.7050595267735709E-7</v>
      </c>
      <c r="X6" s="4">
        <f>$F9*[2]production!S$7</f>
        <v>0.15531250012424996</v>
      </c>
      <c r="Y6" s="4">
        <f>$F9*[2]production!T$7</f>
        <v>1.2568452391007142E-4</v>
      </c>
      <c r="Z6" s="4">
        <f>$F9*[2]production!U$7</f>
        <v>4.6708333370699989E-2</v>
      </c>
      <c r="AA6" s="4">
        <f>$F9*[2]production!V$7</f>
        <v>1.8296130967017852E-5</v>
      </c>
      <c r="AB6" s="4">
        <f>$F9*[2]production!W$7</f>
        <v>8.9255952452357121E-5</v>
      </c>
      <c r="AC6" s="4">
        <f>$F9*[2]production!X$7</f>
        <v>3.2842261931035708E-6</v>
      </c>
      <c r="AD6" s="4">
        <f>$F9*[2]production!Y$7</f>
        <v>1.7647023823641425E-9</v>
      </c>
      <c r="AE6" s="4">
        <f>$F9*[2]production!Z$7</f>
        <v>2.2280357160681425E-5</v>
      </c>
      <c r="AF6" s="4">
        <f>$F9*[2]production!AA$7</f>
        <v>5.9928571476514276E-5</v>
      </c>
      <c r="AG6" s="4">
        <f>$F9*[2]production!AB$7</f>
        <v>8.6309523878571413E-5</v>
      </c>
      <c r="AH6" s="4">
        <f>$F9*[2]production!AC$7</f>
        <v>1.5447321440929283E-6</v>
      </c>
      <c r="AI6" s="4">
        <f>$F9*[2]production!AD$7</f>
        <v>9.5270833409549991E-6</v>
      </c>
      <c r="AJ6" s="4">
        <f>$F9*[2]production!AE$7</f>
        <v>2.3864880971472853E-6</v>
      </c>
      <c r="AK6" s="4">
        <f>$F9*[2]production!AF$7</f>
        <v>5.8375000046699988E-4</v>
      </c>
      <c r="AL6" s="4">
        <f>$F9*[2]production!AG$7</f>
        <v>1.8000595252495712E-3</v>
      </c>
      <c r="AM6" s="4">
        <f>$F9*[2]production!AH$7</f>
        <v>1.0601488103719283E-3</v>
      </c>
    </row>
    <row r="7" spans="1:39" ht="15.75" thickBot="1">
      <c r="A7">
        <v>500</v>
      </c>
      <c r="B7" s="44" t="s">
        <v>116</v>
      </c>
      <c r="C7" s="60">
        <f>12000/140*A7</f>
        <v>42857.142857142855</v>
      </c>
      <c r="D7" s="53">
        <v>3600</v>
      </c>
      <c r="E7" s="52">
        <f>C7*D7/1000000*'material inventory'!B4*(1-'material inventory'!B2)</f>
        <v>15.428571428571423</v>
      </c>
      <c r="F7" s="54">
        <f t="shared" si="0"/>
        <v>4.285714289142855</v>
      </c>
      <c r="H7" s="74" t="str">
        <f>B10</f>
        <v>PL 2nd-step slot-die coating</v>
      </c>
      <c r="I7" s="4">
        <f>$F10*[2]production!D$7</f>
        <v>2.1128571445474281E-2</v>
      </c>
      <c r="J7" s="4">
        <f>$F10*[2]production!E$7</f>
        <v>1.7158333347059996E-4</v>
      </c>
      <c r="K7" s="4">
        <f>$F10*[2]production!F$7</f>
        <v>0.36976190505771422</v>
      </c>
      <c r="L7" s="4">
        <f>$F10*[2]production!G$7</f>
        <v>1.2127083343034997E-5</v>
      </c>
      <c r="M7" s="4">
        <f>$F10*[2]production!H$7</f>
        <v>1.275922620068357E-3</v>
      </c>
      <c r="N7" s="4">
        <f>$F10*[2]production!I$7</f>
        <v>1.3883333344439998E-6</v>
      </c>
      <c r="O7" s="4">
        <f>$F10*[2]production!J$7</f>
        <v>8.3517857209671417E-8</v>
      </c>
      <c r="P7" s="4">
        <f>$F10*[2]production!K$7</f>
        <v>4.9657738134964273E-4</v>
      </c>
      <c r="Q7" s="4">
        <f>$F10*[2]production!L$7</f>
        <v>5.4303571472014274E-5</v>
      </c>
      <c r="R7" s="4">
        <f>$F10*[2]production!M$7</f>
        <v>0.37177389089860957</v>
      </c>
      <c r="S7" s="4">
        <f>$F10*[2]production!N$7</f>
        <v>2.4189583352684997E-5</v>
      </c>
      <c r="T7" s="4">
        <f>$F10*[2]production!O$7</f>
        <v>1.9940178587380709E-2</v>
      </c>
      <c r="U7" s="4">
        <f>$F10*[2]production!P$7</f>
        <v>8.806547626092856E-3</v>
      </c>
      <c r="V7" s="4">
        <f>$F10*[2]production!Q$7</f>
        <v>7.5922619108357133E-5</v>
      </c>
      <c r="W7" s="4">
        <f>$F10*[2]production!R$7</f>
        <v>3.7050595267735709E-7</v>
      </c>
      <c r="X7" s="4">
        <f>$F10*[2]production!S$7</f>
        <v>0.15531250012424996</v>
      </c>
      <c r="Y7" s="4">
        <f>$F10*[2]production!T$7</f>
        <v>1.2568452391007142E-4</v>
      </c>
      <c r="Z7" s="4">
        <f>$F10*[2]production!U$7</f>
        <v>4.6708333370699989E-2</v>
      </c>
      <c r="AA7" s="4">
        <f>$F10*[2]production!V$7</f>
        <v>1.8296130967017852E-5</v>
      </c>
      <c r="AB7" s="4">
        <f>$F10*[2]production!W$7</f>
        <v>8.9255952452357121E-5</v>
      </c>
      <c r="AC7" s="4">
        <f>$F10*[2]production!X$7</f>
        <v>3.2842261931035708E-6</v>
      </c>
      <c r="AD7" s="4">
        <f>$F10*[2]production!Y$7</f>
        <v>1.7647023823641425E-9</v>
      </c>
      <c r="AE7" s="4">
        <f>$F10*[2]production!Z$7</f>
        <v>2.2280357160681425E-5</v>
      </c>
      <c r="AF7" s="4">
        <f>$F10*[2]production!AA$7</f>
        <v>5.9928571476514276E-5</v>
      </c>
      <c r="AG7" s="4">
        <f>$F10*[2]production!AB$7</f>
        <v>8.6309523878571413E-5</v>
      </c>
      <c r="AH7" s="4">
        <f>$F10*[2]production!AC$7</f>
        <v>1.5447321440929283E-6</v>
      </c>
      <c r="AI7" s="4">
        <f>$F10*[2]production!AD$7</f>
        <v>9.5270833409549991E-6</v>
      </c>
      <c r="AJ7" s="4">
        <f>$F10*[2]production!AE$7</f>
        <v>2.3864880971472853E-6</v>
      </c>
      <c r="AK7" s="4">
        <f>$F10*[2]production!AF$7</f>
        <v>5.8375000046699988E-4</v>
      </c>
      <c r="AL7" s="4">
        <f>$F10*[2]production!AG$7</f>
        <v>1.8000595252495712E-3</v>
      </c>
      <c r="AM7" s="4">
        <f>$F10*[2]production!AH$7</f>
        <v>1.0601488103719283E-3</v>
      </c>
    </row>
    <row r="8" spans="1:39">
      <c r="B8" s="43" t="s">
        <v>61</v>
      </c>
      <c r="C8" s="61"/>
      <c r="D8" s="50"/>
      <c r="E8" s="49"/>
      <c r="F8" s="55"/>
      <c r="H8" s="74" t="str">
        <f>B11</f>
        <v>PL 1st-step drying</v>
      </c>
      <c r="I8" s="4">
        <f>$F11*[2]production!D$7</f>
        <v>3.0425142881482961</v>
      </c>
      <c r="J8" s="4">
        <f>$F11*[2]production!E$7</f>
        <v>2.4708000019766391E-2</v>
      </c>
      <c r="K8" s="4">
        <f>$F11*[2]production!F$7</f>
        <v>53.245714328310839</v>
      </c>
      <c r="L8" s="4">
        <f>$F11*[2]production!G$7</f>
        <v>1.7463000013970395E-3</v>
      </c>
      <c r="M8" s="4">
        <f>$F11*[2]production!H$7</f>
        <v>0.18373285728984337</v>
      </c>
      <c r="N8" s="4">
        <f>$F11*[2]production!I$7</f>
        <v>1.9992000015993594E-4</v>
      </c>
      <c r="O8" s="4">
        <f>$F11*[2]production!J$7</f>
        <v>1.2026571438192681E-5</v>
      </c>
      <c r="P8" s="4">
        <f>$F11*[2]production!K$7</f>
        <v>7.1507142914348551E-2</v>
      </c>
      <c r="Q8" s="4">
        <f>$F11*[2]production!L$7</f>
        <v>7.8197142919700542E-3</v>
      </c>
      <c r="R8" s="4">
        <f>$F11*[2]production!M$7</f>
        <v>53.535440289399773</v>
      </c>
      <c r="S8" s="4">
        <f>$F11*[2]production!N$7</f>
        <v>3.4833000027866389E-3</v>
      </c>
      <c r="T8" s="4">
        <f>$F11*[2]production!O$7</f>
        <v>2.871385716582822</v>
      </c>
      <c r="U8" s="4">
        <f>$F11*[2]production!P$7</f>
        <v>1.268142858157371</v>
      </c>
      <c r="V8" s="4">
        <f>$F11*[2]production!Q$7</f>
        <v>1.0932857151603425E-2</v>
      </c>
      <c r="W8" s="4">
        <f>$F11*[2]production!R$7</f>
        <v>5.3352857185539414E-5</v>
      </c>
      <c r="X8" s="4">
        <f>$F11*[2]production!S$7</f>
        <v>22.365000017891994</v>
      </c>
      <c r="Y8" s="4">
        <f>$F11*[2]production!T$7</f>
        <v>1.8098571443050281E-2</v>
      </c>
      <c r="Z8" s="4">
        <f>$F11*[2]production!U$7</f>
        <v>6.726000005380798</v>
      </c>
      <c r="AA8" s="4">
        <f>$F11*[2]production!V$7</f>
        <v>2.6346428592505704E-3</v>
      </c>
      <c r="AB8" s="4">
        <f>$F11*[2]production!W$7</f>
        <v>1.2852857153139425E-2</v>
      </c>
      <c r="AC8" s="4">
        <f>$F11*[2]production!X$7</f>
        <v>4.7292857180691416E-4</v>
      </c>
      <c r="AD8" s="4">
        <f>$F11*[2]production!Y$7</f>
        <v>2.541171430604365E-7</v>
      </c>
      <c r="AE8" s="4">
        <f>$F11*[2]production!Z$7</f>
        <v>3.2083714311381246E-3</v>
      </c>
      <c r="AF8" s="4">
        <f>$F11*[2]production!AA$7</f>
        <v>8.6297142926180549E-3</v>
      </c>
      <c r="AG8" s="4">
        <f>$F11*[2]production!AB$7</f>
        <v>1.2428571438514282E-2</v>
      </c>
      <c r="AH8" s="4">
        <f>$F11*[2]production!AC$7</f>
        <v>2.2244142874938165E-4</v>
      </c>
      <c r="AI8" s="4">
        <f>$F11*[2]production!AD$7</f>
        <v>1.3719000010975198E-3</v>
      </c>
      <c r="AJ8" s="4">
        <f>$F11*[2]production!AE$7</f>
        <v>3.4365428598920903E-4</v>
      </c>
      <c r="AK8" s="4">
        <f>$F11*[2]production!AF$7</f>
        <v>8.4060000067247967E-2</v>
      </c>
      <c r="AL8" s="4">
        <f>$F11*[2]production!AG$7</f>
        <v>0.25920857163593819</v>
      </c>
      <c r="AM8" s="4">
        <f>$F11*[2]production!AH$7</f>
        <v>0.15266142869355767</v>
      </c>
    </row>
    <row r="9" spans="1:39">
      <c r="B9" s="45" t="s">
        <v>113</v>
      </c>
      <c r="C9" s="56">
        <v>2500</v>
      </c>
      <c r="D9" s="57">
        <f>1/84*3600</f>
        <v>42.857142857142854</v>
      </c>
      <c r="E9" s="58">
        <f>C9*D9/1000000</f>
        <v>0.10714285714285714</v>
      </c>
      <c r="F9" s="59">
        <f t="shared" si="0"/>
        <v>2.9761904785714281E-2</v>
      </c>
      <c r="G9" s="21" t="s">
        <v>130</v>
      </c>
      <c r="H9" s="74" t="str">
        <f>B12</f>
        <v>PL 2nd-step drying</v>
      </c>
      <c r="I9" s="4">
        <f>$F12*[2]production!D$7</f>
        <v>4.5637714322224454</v>
      </c>
      <c r="J9" s="4">
        <f>$F12*[2]production!E$7</f>
        <v>3.7062000029649593E-2</v>
      </c>
      <c r="K9" s="4">
        <f>$F12*[2]production!F$7</f>
        <v>79.868571492466273</v>
      </c>
      <c r="L9" s="4">
        <f>$F12*[2]production!G$7</f>
        <v>2.6194500020955596E-3</v>
      </c>
      <c r="M9" s="4">
        <f>$F12*[2]production!H$7</f>
        <v>0.27559928593476507</v>
      </c>
      <c r="N9" s="4">
        <f>$F12*[2]production!I$7</f>
        <v>2.9988000023990394E-4</v>
      </c>
      <c r="O9" s="4">
        <f>$F12*[2]production!J$7</f>
        <v>1.8039857157289026E-5</v>
      </c>
      <c r="P9" s="4">
        <f>$F12*[2]production!K$7</f>
        <v>0.10726071437152283</v>
      </c>
      <c r="Q9" s="4">
        <f>$F12*[2]production!L$7</f>
        <v>1.1729571437955085E-2</v>
      </c>
      <c r="R9" s="4">
        <f>$F12*[2]production!M$7</f>
        <v>80.303160434099667</v>
      </c>
      <c r="S9" s="4">
        <f>$F12*[2]production!N$7</f>
        <v>5.2249500041799592E-3</v>
      </c>
      <c r="T9" s="4">
        <f>$F12*[2]production!O$7</f>
        <v>4.3070785748742333</v>
      </c>
      <c r="U9" s="4">
        <f>$F12*[2]production!P$7</f>
        <v>1.9022142872360568</v>
      </c>
      <c r="V9" s="4">
        <f>$F12*[2]production!Q$7</f>
        <v>1.6399285727405139E-2</v>
      </c>
      <c r="W9" s="4">
        <f>$F12*[2]production!R$7</f>
        <v>8.0029285778309141E-5</v>
      </c>
      <c r="X9" s="4">
        <f>$F12*[2]production!S$7</f>
        <v>33.547500026837994</v>
      </c>
      <c r="Y9" s="4">
        <f>$F12*[2]production!T$7</f>
        <v>2.7147857164575427E-2</v>
      </c>
      <c r="Z9" s="4">
        <f>$F12*[2]production!U$7</f>
        <v>10.089000008071197</v>
      </c>
      <c r="AA9" s="4">
        <f>$F12*[2]production!V$7</f>
        <v>3.951964288875856E-3</v>
      </c>
      <c r="AB9" s="4">
        <f>$F12*[2]production!W$7</f>
        <v>1.9279285729709141E-2</v>
      </c>
      <c r="AC9" s="4">
        <f>$F12*[2]production!X$7</f>
        <v>7.0939285771037136E-4</v>
      </c>
      <c r="AD9" s="4">
        <f>$F12*[2]production!Y$7</f>
        <v>3.8117571459065481E-7</v>
      </c>
      <c r="AE9" s="4">
        <f>$F12*[2]production!Z$7</f>
        <v>4.8125571467071875E-3</v>
      </c>
      <c r="AF9" s="4">
        <f>$F12*[2]production!AA$7</f>
        <v>1.2944571438927084E-2</v>
      </c>
      <c r="AG9" s="4">
        <f>$F12*[2]production!AB$7</f>
        <v>1.8642857157771423E-2</v>
      </c>
      <c r="AH9" s="4">
        <f>$F12*[2]production!AC$7</f>
        <v>3.3366214312407252E-4</v>
      </c>
      <c r="AI9" s="4">
        <f>$F12*[2]production!AD$7</f>
        <v>2.0578500016462799E-3</v>
      </c>
      <c r="AJ9" s="4">
        <f>$F12*[2]production!AE$7</f>
        <v>5.1548142898381357E-4</v>
      </c>
      <c r="AK9" s="4">
        <f>$F12*[2]production!AF$7</f>
        <v>0.12609000010087199</v>
      </c>
      <c r="AL9" s="4">
        <f>$F12*[2]production!AG$7</f>
        <v>0.38881285745390737</v>
      </c>
      <c r="AM9" s="4">
        <f>$F12*[2]production!AH$7</f>
        <v>0.22899214304033655</v>
      </c>
    </row>
    <row r="10" spans="1:39">
      <c r="B10" s="45" t="s">
        <v>114</v>
      </c>
      <c r="C10" s="56">
        <v>2500</v>
      </c>
      <c r="D10" s="57">
        <f>1/84*3600</f>
        <v>42.857142857142854</v>
      </c>
      <c r="E10" s="58">
        <f>C10*D10/1000000</f>
        <v>0.10714285714285714</v>
      </c>
      <c r="F10" s="59">
        <f t="shared" si="0"/>
        <v>2.9761904785714281E-2</v>
      </c>
      <c r="H10" s="74" t="str">
        <f>B13</f>
        <v>PL annealing</v>
      </c>
      <c r="I10" s="4">
        <f>$F13*[2]production!D$7</f>
        <v>3.0425142881482961</v>
      </c>
      <c r="J10" s="4">
        <f>$F13*[2]production!E$7</f>
        <v>2.4708000019766391E-2</v>
      </c>
      <c r="K10" s="4">
        <f>$F13*[2]production!F$7</f>
        <v>53.245714328310839</v>
      </c>
      <c r="L10" s="4">
        <f>$F13*[2]production!G$7</f>
        <v>1.7463000013970395E-3</v>
      </c>
      <c r="M10" s="4">
        <f>$F13*[2]production!H$7</f>
        <v>0.18373285728984337</v>
      </c>
      <c r="N10" s="4">
        <f>$F13*[2]production!I$7</f>
        <v>1.9992000015993594E-4</v>
      </c>
      <c r="O10" s="4">
        <f>$F13*[2]production!J$7</f>
        <v>1.2026571438192681E-5</v>
      </c>
      <c r="P10" s="4">
        <f>$F13*[2]production!K$7</f>
        <v>7.1507142914348551E-2</v>
      </c>
      <c r="Q10" s="4">
        <f>$F13*[2]production!L$7</f>
        <v>7.8197142919700542E-3</v>
      </c>
      <c r="R10" s="4">
        <f>$F13*[2]production!M$7</f>
        <v>53.535440289399773</v>
      </c>
      <c r="S10" s="4">
        <f>$F13*[2]production!N$7</f>
        <v>3.4833000027866389E-3</v>
      </c>
      <c r="T10" s="4">
        <f>$F13*[2]production!O$7</f>
        <v>2.871385716582822</v>
      </c>
      <c r="U10" s="4">
        <f>$F13*[2]production!P$7</f>
        <v>1.268142858157371</v>
      </c>
      <c r="V10" s="4">
        <f>$F13*[2]production!Q$7</f>
        <v>1.0932857151603425E-2</v>
      </c>
      <c r="W10" s="4">
        <f>$F13*[2]production!R$7</f>
        <v>5.3352857185539414E-5</v>
      </c>
      <c r="X10" s="4">
        <f>$F13*[2]production!S$7</f>
        <v>22.365000017891994</v>
      </c>
      <c r="Y10" s="4">
        <f>$F13*[2]production!T$7</f>
        <v>1.8098571443050281E-2</v>
      </c>
      <c r="Z10" s="4">
        <f>$F13*[2]production!U$7</f>
        <v>6.726000005380798</v>
      </c>
      <c r="AA10" s="4">
        <f>$F13*[2]production!V$7</f>
        <v>2.6346428592505704E-3</v>
      </c>
      <c r="AB10" s="4">
        <f>$F13*[2]production!W$7</f>
        <v>1.2852857153139425E-2</v>
      </c>
      <c r="AC10" s="4">
        <f>$F13*[2]production!X$7</f>
        <v>4.7292857180691416E-4</v>
      </c>
      <c r="AD10" s="4">
        <f>$F13*[2]production!Y$7</f>
        <v>2.541171430604365E-7</v>
      </c>
      <c r="AE10" s="4">
        <f>$F13*[2]production!Z$7</f>
        <v>3.2083714311381246E-3</v>
      </c>
      <c r="AF10" s="4">
        <f>$F13*[2]production!AA$7</f>
        <v>8.6297142926180549E-3</v>
      </c>
      <c r="AG10" s="4">
        <f>$F13*[2]production!AB$7</f>
        <v>1.2428571438514282E-2</v>
      </c>
      <c r="AH10" s="4">
        <f>$F13*[2]production!AC$7</f>
        <v>2.2244142874938165E-4</v>
      </c>
      <c r="AI10" s="4">
        <f>$F13*[2]production!AD$7</f>
        <v>1.3719000010975198E-3</v>
      </c>
      <c r="AJ10" s="4">
        <f>$F13*[2]production!AE$7</f>
        <v>3.4365428598920903E-4</v>
      </c>
      <c r="AK10" s="4">
        <f>$F13*[2]production!AF$7</f>
        <v>8.4060000067247967E-2</v>
      </c>
      <c r="AL10" s="4">
        <f>$F13*[2]production!AG$7</f>
        <v>0.25920857163593819</v>
      </c>
      <c r="AM10" s="4">
        <f>$F13*[2]production!AH$7</f>
        <v>0.15266142869355767</v>
      </c>
    </row>
    <row r="11" spans="1:39">
      <c r="A11">
        <v>100</v>
      </c>
      <c r="B11" s="46" t="s">
        <v>134</v>
      </c>
      <c r="C11" s="62">
        <f>12000/140*A11</f>
        <v>8571.4285714285706</v>
      </c>
      <c r="D11" s="63">
        <f>30*60</f>
        <v>1800</v>
      </c>
      <c r="E11" s="64">
        <f>C11*D11/1000000*'material inventory'!B7</f>
        <v>15.428571428571427</v>
      </c>
      <c r="F11" s="65">
        <f t="shared" si="0"/>
        <v>4.2857142891428559</v>
      </c>
      <c r="G11" s="41">
        <f>F11+F12</f>
        <v>10.714285722857142</v>
      </c>
      <c r="H11" s="75" t="str">
        <f>B15</f>
        <v>HTL slot-die coating</v>
      </c>
      <c r="I11" s="4">
        <f>$F15*[2]production!D$7</f>
        <v>9.8600000078879993E-2</v>
      </c>
      <c r="J11" s="4">
        <f>$F15*[2]production!E$7</f>
        <v>8.0072222286279996E-4</v>
      </c>
      <c r="K11" s="4">
        <f>$F15*[2]production!F$7</f>
        <v>1.7255555569359997</v>
      </c>
      <c r="L11" s="4">
        <f>$F15*[2]production!G$7</f>
        <v>5.6593055600829996E-5</v>
      </c>
      <c r="M11" s="4">
        <f>$F15*[2]production!H$7</f>
        <v>5.9543055603189995E-3</v>
      </c>
      <c r="N11" s="4">
        <f>$F15*[2]production!I$7</f>
        <v>6.4788888940719992E-6</v>
      </c>
      <c r="O11" s="4">
        <f>$F15*[2]production!J$7</f>
        <v>3.8975000031179993E-7</v>
      </c>
      <c r="P11" s="4">
        <f>$F15*[2]production!K$7</f>
        <v>2.3173611129649998E-3</v>
      </c>
      <c r="Q11" s="4">
        <f>$F15*[2]production!L$7</f>
        <v>2.5341666686939999E-4</v>
      </c>
      <c r="R11" s="4">
        <f>$F15*[2]production!M$7</f>
        <v>1.7349448241935115</v>
      </c>
      <c r="S11" s="4">
        <f>$F15*[2]production!N$7</f>
        <v>1.1288472231252999E-4</v>
      </c>
      <c r="T11" s="4">
        <f>$F15*[2]production!O$7</f>
        <v>9.3054166741109987E-2</v>
      </c>
      <c r="U11" s="4">
        <f>$F15*[2]production!P$7</f>
        <v>4.1097222255099992E-2</v>
      </c>
      <c r="V11" s="4">
        <f>$F15*[2]production!Q$7</f>
        <v>3.5430555583899995E-4</v>
      </c>
      <c r="W11" s="4">
        <f>$F15*[2]production!R$7</f>
        <v>1.729027779161E-6</v>
      </c>
      <c r="X11" s="4">
        <f>$F15*[2]production!S$7</f>
        <v>0.7247916672464999</v>
      </c>
      <c r="Y11" s="4">
        <f>$F15*[2]production!T$7</f>
        <v>5.8652777824699993E-4</v>
      </c>
      <c r="Z11" s="4">
        <f>$F15*[2]production!U$7</f>
        <v>0.21797222239659997</v>
      </c>
      <c r="AA11" s="4">
        <f>$F15*[2]production!V$7</f>
        <v>8.5381944512749982E-5</v>
      </c>
      <c r="AB11" s="4">
        <f>$F15*[2]production!W$7</f>
        <v>4.1652777811099993E-4</v>
      </c>
      <c r="AC11" s="4">
        <f>$F15*[2]production!X$7</f>
        <v>1.5326388901149997E-5</v>
      </c>
      <c r="AD11" s="4">
        <f>$F15*[2]production!Y$7</f>
        <v>8.2352777843660001E-9</v>
      </c>
      <c r="AE11" s="4">
        <f>$F15*[2]production!Z$7</f>
        <v>1.0397500008317998E-4</v>
      </c>
      <c r="AF11" s="4">
        <f>$F15*[2]production!AA$7</f>
        <v>2.7966666689039997E-4</v>
      </c>
      <c r="AG11" s="4">
        <f>$F15*[2]production!AB$7</f>
        <v>4.0277777809999996E-4</v>
      </c>
      <c r="AH11" s="4">
        <f>$F15*[2]production!AC$7</f>
        <v>7.2087500057669995E-6</v>
      </c>
      <c r="AI11" s="4">
        <f>$F15*[2]production!AD$7</f>
        <v>4.4459722257790003E-5</v>
      </c>
      <c r="AJ11" s="4">
        <f>$F15*[2]production!AE$7</f>
        <v>1.1136944453353999E-5</v>
      </c>
      <c r="AK11" s="4">
        <f>$F15*[2]production!AF$7</f>
        <v>2.7241666688459995E-3</v>
      </c>
      <c r="AL11" s="4">
        <f>$F15*[2]production!AG$7</f>
        <v>8.4002777844979989E-3</v>
      </c>
      <c r="AM11" s="4">
        <f>$F15*[2]production!AH$7</f>
        <v>4.9473611150689994E-3</v>
      </c>
    </row>
    <row r="12" spans="1:39">
      <c r="A12">
        <v>150</v>
      </c>
      <c r="B12" s="46" t="s">
        <v>135</v>
      </c>
      <c r="C12" s="62">
        <f>12000/140*A12</f>
        <v>12857.142857142857</v>
      </c>
      <c r="D12" s="63">
        <f>30*60</f>
        <v>1800</v>
      </c>
      <c r="E12" s="64">
        <f>C12*D12/1000000*'material inventory'!B6</f>
        <v>23.142857142857142</v>
      </c>
      <c r="F12" s="65">
        <f t="shared" si="0"/>
        <v>6.4285714337142847</v>
      </c>
      <c r="H12" s="74" t="s">
        <v>143</v>
      </c>
      <c r="I12" s="4">
        <f>$F17*[2]production!D$7</f>
        <v>5.5216000044172793</v>
      </c>
      <c r="J12" s="4">
        <f>$F17*[2]production!E$7</f>
        <v>4.4840444480316793E-2</v>
      </c>
      <c r="K12" s="4">
        <f>$F17*[2]production!F$7</f>
        <v>96.631111188415986</v>
      </c>
      <c r="L12" s="4">
        <f>$F17*[2]production!G$7</f>
        <v>3.1692111136464797E-3</v>
      </c>
      <c r="M12" s="4">
        <f>$F17*[2]production!H$7</f>
        <v>0.33344111137786397</v>
      </c>
      <c r="N12" s="4">
        <f>$F17*[2]production!I$7</f>
        <v>3.6281777806803197E-4</v>
      </c>
      <c r="O12" s="4">
        <f>$F17*[2]production!J$7</f>
        <v>2.1826000017460799E-5</v>
      </c>
      <c r="P12" s="4">
        <f>$F17*[2]production!K$7</f>
        <v>0.12977222232603999</v>
      </c>
      <c r="Q12" s="4">
        <f>$F17*[2]production!L$7</f>
        <v>1.41913333446864E-2</v>
      </c>
      <c r="R12" s="4">
        <f>$F17*[2]production!M$7</f>
        <v>97.156910154836652</v>
      </c>
      <c r="S12" s="4">
        <f>$F17*[2]production!N$7</f>
        <v>6.3215444495016799E-3</v>
      </c>
      <c r="T12" s="4">
        <f>$F17*[2]production!O$7</f>
        <v>5.2110333375021591</v>
      </c>
      <c r="U12" s="4">
        <f>$F17*[2]production!P$7</f>
        <v>2.3014444462855996</v>
      </c>
      <c r="V12" s="4">
        <f>$F17*[2]production!Q$7</f>
        <v>1.9841111126983998E-2</v>
      </c>
      <c r="W12" s="4">
        <f>$F17*[2]production!R$7</f>
        <v>9.6825555633015992E-5</v>
      </c>
      <c r="X12" s="4">
        <f>$F17*[2]production!S$7</f>
        <v>40.588333365803997</v>
      </c>
      <c r="Y12" s="4">
        <f>$F17*[2]production!T$7</f>
        <v>3.2845555581831998E-2</v>
      </c>
      <c r="Z12" s="4">
        <f>$F17*[2]production!U$7</f>
        <v>12.206444454209599</v>
      </c>
      <c r="AA12" s="4">
        <f>$F17*[2]production!V$7</f>
        <v>4.7813888927139992E-3</v>
      </c>
      <c r="AB12" s="4">
        <f>$F17*[2]production!W$7</f>
        <v>2.3325555574215999E-2</v>
      </c>
      <c r="AC12" s="4">
        <f>$F17*[2]production!X$7</f>
        <v>8.5827777846439999E-4</v>
      </c>
      <c r="AD12" s="4">
        <f>$F17*[2]production!Y$7</f>
        <v>4.6117555592449599E-7</v>
      </c>
      <c r="AE12" s="4">
        <f>$F17*[2]production!Z$7</f>
        <v>5.8226000046580793E-3</v>
      </c>
      <c r="AF12" s="4">
        <f>$F17*[2]production!AA$7</f>
        <v>1.5661333345862397E-2</v>
      </c>
      <c r="AG12" s="4">
        <f>$F17*[2]production!AB$7</f>
        <v>2.2555555573599999E-2</v>
      </c>
      <c r="AH12" s="4">
        <f>$F17*[2]production!AC$7</f>
        <v>4.0369000032295196E-4</v>
      </c>
      <c r="AI12" s="4">
        <f>$F17*[2]production!AD$7</f>
        <v>2.4897444464362399E-3</v>
      </c>
      <c r="AJ12" s="4">
        <f>$F17*[2]production!AE$7</f>
        <v>6.2366888938782388E-4</v>
      </c>
      <c r="AK12" s="4">
        <f>$F17*[2]production!AF$7</f>
        <v>0.152553333455376</v>
      </c>
      <c r="AL12" s="4">
        <f>$F17*[2]production!AG$7</f>
        <v>0.470415555931888</v>
      </c>
      <c r="AM12" s="4">
        <f>$F17*[2]production!AH$7</f>
        <v>0.27705222244386396</v>
      </c>
    </row>
    <row r="13" spans="1:39" ht="15.75" thickBot="1">
      <c r="A13">
        <v>100</v>
      </c>
      <c r="B13" s="46" t="s">
        <v>117</v>
      </c>
      <c r="C13" s="62">
        <f>12000/140*A13</f>
        <v>8571.4285714285706</v>
      </c>
      <c r="D13" s="63">
        <f>60*30</f>
        <v>1800</v>
      </c>
      <c r="E13" s="64">
        <f>C13*D13/1000000*'material inventory'!B8</f>
        <v>15.428571428571427</v>
      </c>
      <c r="F13" s="65">
        <f t="shared" si="0"/>
        <v>4.2857142891428559</v>
      </c>
      <c r="H13" s="74" t="str">
        <f>B19</f>
        <v>Lamination</v>
      </c>
      <c r="I13" s="4">
        <f>$F19*[2]production!D$7</f>
        <v>8.8740000070991979E-3</v>
      </c>
      <c r="J13" s="4">
        <f>$F19*[2]production!E$7</f>
        <v>7.2065000057651985E-5</v>
      </c>
      <c r="K13" s="4">
        <f>$F19*[2]production!F$7</f>
        <v>0.15530000012423997</v>
      </c>
      <c r="L13" s="4">
        <f>$F19*[2]production!G$7</f>
        <v>5.0933750040746996E-6</v>
      </c>
      <c r="M13" s="4">
        <f>$F19*[2]production!H$7</f>
        <v>5.3588750042870995E-4</v>
      </c>
      <c r="N13" s="4">
        <f>$F19*[2]production!I$7</f>
        <v>5.8310000046647986E-7</v>
      </c>
      <c r="O13" s="4">
        <f>$F19*[2]production!J$7</f>
        <v>3.5077500028061994E-8</v>
      </c>
      <c r="P13" s="4">
        <f>$F19*[2]production!K$7</f>
        <v>2.0856250016684994E-4</v>
      </c>
      <c r="Q13" s="4">
        <f>$F19*[2]production!L$7</f>
        <v>2.2807500018245996E-5</v>
      </c>
      <c r="R13" s="4">
        <f>$F19*[2]production!M$7</f>
        <v>0.15614503417741601</v>
      </c>
      <c r="S13" s="4">
        <f>$F19*[2]production!N$7</f>
        <v>1.0159625008127698E-5</v>
      </c>
      <c r="T13" s="4">
        <f>$F19*[2]production!O$7</f>
        <v>8.374875006699898E-3</v>
      </c>
      <c r="U13" s="4">
        <f>$F19*[2]production!P$7</f>
        <v>3.6987500029589996E-3</v>
      </c>
      <c r="V13" s="4">
        <f>$F19*[2]production!Q$7</f>
        <v>3.1887500025509992E-5</v>
      </c>
      <c r="W13" s="4">
        <f>$F19*[2]production!R$7</f>
        <v>1.5561250012448999E-7</v>
      </c>
      <c r="X13" s="4">
        <f>$F19*[2]production!S$7</f>
        <v>6.5231250052184983E-2</v>
      </c>
      <c r="Y13" s="4">
        <f>$F19*[2]production!T$7</f>
        <v>5.2787500042229995E-5</v>
      </c>
      <c r="Z13" s="4">
        <f>$F19*[2]production!U$7</f>
        <v>1.9617500015693994E-2</v>
      </c>
      <c r="AA13" s="4">
        <f>$F19*[2]production!V$7</f>
        <v>7.6843750061474979E-6</v>
      </c>
      <c r="AB13" s="4">
        <f>$F19*[2]production!W$7</f>
        <v>3.7487500029989991E-5</v>
      </c>
      <c r="AC13" s="4">
        <f>$F19*[2]production!X$7</f>
        <v>1.3793750011034997E-6</v>
      </c>
      <c r="AD13" s="4">
        <f>$F19*[2]production!Y$7</f>
        <v>7.4117500059293989E-10</v>
      </c>
      <c r="AE13" s="4">
        <f>$F19*[2]production!Z$7</f>
        <v>9.3577500074861978E-6</v>
      </c>
      <c r="AF13" s="4">
        <f>$F19*[2]production!AA$7</f>
        <v>2.5170000020135994E-5</v>
      </c>
      <c r="AG13" s="4">
        <f>$F19*[2]production!AB$7</f>
        <v>3.6250000028999989E-5</v>
      </c>
      <c r="AH13" s="4">
        <f>$F19*[2]production!AC$7</f>
        <v>6.4878750051902993E-7</v>
      </c>
      <c r="AI13" s="4">
        <f>$F19*[2]production!AD$7</f>
        <v>4.0013750032010996E-6</v>
      </c>
      <c r="AJ13" s="4">
        <f>$F19*[2]production!AE$7</f>
        <v>1.0023250008018598E-6</v>
      </c>
      <c r="AK13" s="4">
        <f>$F19*[2]production!AF$7</f>
        <v>2.4517500019613996E-4</v>
      </c>
      <c r="AL13" s="4">
        <f>$F19*[2]production!AG$7</f>
        <v>7.5602500060481992E-4</v>
      </c>
      <c r="AM13" s="4">
        <f>$F19*[2]production!AH$7</f>
        <v>4.4526250035620995E-4</v>
      </c>
    </row>
    <row r="14" spans="1:39">
      <c r="B14" s="43" t="s">
        <v>62</v>
      </c>
      <c r="C14" s="61"/>
      <c r="D14" s="50"/>
      <c r="E14" s="49"/>
      <c r="F14" s="55"/>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1:39" ht="15.75" thickBot="1">
      <c r="B15" s="47" t="s">
        <v>115</v>
      </c>
      <c r="C15" s="66">
        <v>2500</v>
      </c>
      <c r="D15" s="67">
        <f>1/18*3600</f>
        <v>200</v>
      </c>
      <c r="E15" s="68">
        <f>C15*D15/1000000*'material inventory'!B9</f>
        <v>0.5</v>
      </c>
      <c r="F15" s="69">
        <f t="shared" si="0"/>
        <v>0.13888888899999999</v>
      </c>
      <c r="G15" s="21" t="s">
        <v>130</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row>
    <row r="16" spans="1:39">
      <c r="B16" s="48" t="s">
        <v>7</v>
      </c>
      <c r="C16" s="49"/>
      <c r="D16" s="49"/>
      <c r="E16" s="49"/>
      <c r="F16" s="55"/>
    </row>
    <row r="17" spans="1:18" ht="15.75" thickBot="1">
      <c r="A17">
        <v>150</v>
      </c>
      <c r="B17" s="44" t="s">
        <v>64</v>
      </c>
      <c r="C17" s="52">
        <f>(2.8*10000/240*A17*'material inventory'!C33+57500)</f>
        <v>71500</v>
      </c>
      <c r="D17" s="53">
        <f>'material inventory'!B33/33*60</f>
        <v>181.81818181818181</v>
      </c>
      <c r="E17" s="64">
        <f>(C17*D17+50000*5*60)/1000000*'material inventory'!B5</f>
        <v>28</v>
      </c>
      <c r="F17" s="54">
        <f t="shared" si="0"/>
        <v>7.7777777839999995</v>
      </c>
    </row>
    <row r="18" spans="1:18">
      <c r="B18" s="48" t="s">
        <v>83</v>
      </c>
      <c r="C18" s="49"/>
      <c r="D18" s="50"/>
      <c r="E18" s="49"/>
      <c r="F18" s="55"/>
      <c r="H18" s="13" t="s">
        <v>142</v>
      </c>
      <c r="I18" s="13">
        <v>1.6328160013062525E-2</v>
      </c>
      <c r="J18" s="13"/>
      <c r="K18" s="13"/>
      <c r="L18" s="13"/>
      <c r="M18" s="13"/>
      <c r="N18" s="13"/>
      <c r="O18" s="13"/>
      <c r="P18" s="13"/>
      <c r="Q18" s="13"/>
      <c r="R18" s="13">
        <v>0.28730686288644547</v>
      </c>
    </row>
    <row r="19" spans="1:18" ht="15.75" thickBot="1">
      <c r="B19" s="44" t="s">
        <v>86</v>
      </c>
      <c r="C19" s="52">
        <v>1500</v>
      </c>
      <c r="D19" s="53">
        <f>1/120*3600</f>
        <v>30</v>
      </c>
      <c r="E19" s="52">
        <f>C19*D19/1000000</f>
        <v>4.4999999999999998E-2</v>
      </c>
      <c r="F19" s="54">
        <f t="shared" si="0"/>
        <v>1.2500000009999998E-2</v>
      </c>
    </row>
    <row r="20" spans="1:18">
      <c r="B20" s="3"/>
      <c r="C20" s="3"/>
      <c r="D20" s="3"/>
      <c r="E20" s="3"/>
    </row>
    <row r="21" spans="1:18">
      <c r="B21" s="3" t="s">
        <v>63</v>
      </c>
      <c r="C21" s="3"/>
      <c r="D21" s="3"/>
      <c r="E21" s="40">
        <f>SUM(E3:E20)*0.277777778</f>
        <v>27.276546926583141</v>
      </c>
      <c r="F21" s="40">
        <f>SUM(F4:F20)</f>
        <v>27.276546926583137</v>
      </c>
      <c r="G21" s="21" t="s">
        <v>133</v>
      </c>
    </row>
    <row r="24" spans="1:18">
      <c r="B24" s="71" t="s">
        <v>153</v>
      </c>
      <c r="C24" s="70">
        <v>138</v>
      </c>
      <c r="D24" s="70">
        <f>10*60</f>
        <v>600</v>
      </c>
      <c r="E24" s="70">
        <f>C24*D24/1000000</f>
        <v>8.2799999999999999E-2</v>
      </c>
      <c r="F24" s="70">
        <f>E24*0.277777778</f>
        <v>2.3000000018399996E-2</v>
      </c>
      <c r="G24" s="42"/>
      <c r="H24" s="76"/>
    </row>
    <row r="25" spans="1:18">
      <c r="C25" s="22"/>
      <c r="D25" s="22"/>
      <c r="E25" s="22"/>
      <c r="F25" s="22"/>
    </row>
  </sheetData>
  <mergeCells count="5">
    <mergeCell ref="I1:I2"/>
    <mergeCell ref="J1:R1"/>
    <mergeCell ref="S1:AJ1"/>
    <mergeCell ref="AK1:AM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B5678-A2C7-4CED-9918-10F89A56ACF3}">
  <sheetPr codeName="Sheet3"/>
  <dimension ref="A1:H34"/>
  <sheetViews>
    <sheetView zoomScaleNormal="100" workbookViewId="0">
      <pane ySplit="1" topLeftCell="A2" activePane="bottomLeft" state="frozen"/>
      <selection pane="bottomLeft" activeCell="C18" sqref="C18"/>
    </sheetView>
  </sheetViews>
  <sheetFormatPr defaultRowHeight="15"/>
  <cols>
    <col min="1" max="1" width="33.42578125" customWidth="1"/>
    <col min="2" max="2" width="13.28515625" bestFit="1" customWidth="1"/>
    <col min="3" max="3" width="9.28515625" bestFit="1" customWidth="1"/>
    <col min="4" max="4" width="13.140625" bestFit="1" customWidth="1"/>
    <col min="5" max="6" width="9.28515625" bestFit="1" customWidth="1"/>
    <col min="7" max="8" width="13.140625" bestFit="1" customWidth="1"/>
    <col min="9" max="9" width="9.28515625" bestFit="1" customWidth="1"/>
    <col min="10" max="10" width="13.140625" bestFit="1" customWidth="1"/>
    <col min="11" max="11" width="9.28515625" bestFit="1" customWidth="1"/>
    <col min="12" max="24" width="13.140625" bestFit="1" customWidth="1"/>
  </cols>
  <sheetData>
    <row r="1" spans="1:8" s="20" customFormat="1">
      <c r="A1" s="77"/>
      <c r="B1" s="77" t="s">
        <v>87</v>
      </c>
      <c r="C1" s="77" t="s">
        <v>88</v>
      </c>
      <c r="D1" s="77"/>
      <c r="E1" s="77"/>
      <c r="F1" s="77"/>
      <c r="G1" s="77" t="str">
        <f>B1</f>
        <v>Carbon footprint</v>
      </c>
      <c r="H1" s="77" t="str">
        <f>C1</f>
        <v>Primary energy consumption</v>
      </c>
    </row>
    <row r="2" spans="1:8" s="20" customFormat="1">
      <c r="A2" s="78" t="str">
        <f>'material inventory'!K13</f>
        <v>FTO glass</v>
      </c>
      <c r="B2" s="20">
        <f>'material inventory'!L13</f>
        <v>0.34780676817599987</v>
      </c>
      <c r="C2" s="20">
        <f>'material inventory'!M13</f>
        <v>8.5029036949120105</v>
      </c>
      <c r="G2" s="20">
        <f>B2</f>
        <v>0.34780676817599987</v>
      </c>
      <c r="H2" s="20">
        <f>C2</f>
        <v>8.5029036949120105</v>
      </c>
    </row>
    <row r="3" spans="1:8" s="20" customFormat="1">
      <c r="A3" s="78" t="str">
        <f>'material inventory'!K14</f>
        <v>BL-TiO₂ ink</v>
      </c>
      <c r="B3" s="20">
        <f>'material inventory'!L14</f>
        <v>2.2765392121238096E-3</v>
      </c>
      <c r="C3" s="20">
        <f>'material inventory'!M14</f>
        <v>6.1700956254785687E-2</v>
      </c>
      <c r="G3" s="20">
        <f t="shared" ref="G3:G29" si="0">B3</f>
        <v>2.2765392121238096E-3</v>
      </c>
      <c r="H3" s="20">
        <f t="shared" ref="H3:H29" si="1">C3</f>
        <v>6.1700956254785687E-2</v>
      </c>
    </row>
    <row r="4" spans="1:8" s="20" customFormat="1">
      <c r="A4" s="78" t="str">
        <f>'material inventory'!K15</f>
        <v>MP-TiO₂</v>
      </c>
      <c r="B4" s="20">
        <f>'material inventory'!L15</f>
        <v>4.364040239999999E-4</v>
      </c>
      <c r="C4" s="20">
        <f>'material inventory'!M15</f>
        <v>4.6809738838835997E-3</v>
      </c>
      <c r="G4" s="20">
        <f t="shared" si="0"/>
        <v>4.364040239999999E-4</v>
      </c>
      <c r="H4" s="20">
        <f t="shared" si="1"/>
        <v>4.6809738838835997E-3</v>
      </c>
    </row>
    <row r="5" spans="1:8" s="20" customFormat="1">
      <c r="A5" s="78" t="str">
        <f>'material inventory'!K16</f>
        <v>2-methoxyethanol</v>
      </c>
      <c r="B5" s="20">
        <f>'material inventory'!L16</f>
        <v>5.7271391279999984E-4</v>
      </c>
      <c r="C5" s="20">
        <f>'material inventory'!M16</f>
        <v>1.6125322627587774E-2</v>
      </c>
      <c r="G5" s="20">
        <f t="shared" si="0"/>
        <v>5.7271391279999984E-4</v>
      </c>
      <c r="H5" s="20">
        <f t="shared" si="1"/>
        <v>1.6125322627587774E-2</v>
      </c>
    </row>
    <row r="6" spans="1:8" s="20" customFormat="1">
      <c r="A6" s="78" t="str">
        <f>'material inventory'!K17</f>
        <v>PbI₂</v>
      </c>
      <c r="B6" s="20">
        <f>'material inventory'!L17</f>
        <v>3.5016340047384839E-3</v>
      </c>
      <c r="C6" s="20">
        <f>'material inventory'!M17</f>
        <v>4.1638537323627607E-2</v>
      </c>
      <c r="G6" s="20">
        <f t="shared" si="0"/>
        <v>3.5016340047384839E-3</v>
      </c>
      <c r="H6" s="20">
        <f t="shared" si="1"/>
        <v>4.1638537323627607E-2</v>
      </c>
    </row>
    <row r="7" spans="1:8" s="20" customFormat="1">
      <c r="A7" s="78" t="str">
        <f>'material inventory'!K18</f>
        <v>PbBr₂</v>
      </c>
      <c r="B7" s="20">
        <f>'material inventory'!L18</f>
        <v>6.0294176243999574E-5</v>
      </c>
      <c r="C7" s="20">
        <f>'material inventory'!M18</f>
        <v>7.9057775962192297E-4</v>
      </c>
      <c r="G7" s="20">
        <f t="shared" si="0"/>
        <v>6.0294176243999574E-5</v>
      </c>
      <c r="H7" s="20">
        <f t="shared" si="1"/>
        <v>7.9057775962192297E-4</v>
      </c>
    </row>
    <row r="8" spans="1:8" s="20" customFormat="1">
      <c r="A8" s="78" t="str">
        <f>'material inventory'!K19</f>
        <v>FAI</v>
      </c>
      <c r="B8" s="20">
        <f>'material inventory'!L19</f>
        <v>2.0114480946874777E-2</v>
      </c>
      <c r="C8" s="20">
        <f>'material inventory'!M19</f>
        <v>0.35631319119228022</v>
      </c>
      <c r="G8" s="20">
        <f t="shared" si="0"/>
        <v>2.0114480946874777E-2</v>
      </c>
      <c r="H8" s="20">
        <f t="shared" si="1"/>
        <v>0.35631319119228022</v>
      </c>
    </row>
    <row r="9" spans="1:8" s="20" customFormat="1">
      <c r="A9" s="78" t="str">
        <f>'material inventory'!K20</f>
        <v>MABr</v>
      </c>
      <c r="B9" s="20">
        <f>'material inventory'!L20</f>
        <v>0.1114344024570799</v>
      </c>
      <c r="C9" s="20">
        <f>'material inventory'!M20</f>
        <v>1.9630136677403471</v>
      </c>
      <c r="G9" s="20">
        <f t="shared" si="0"/>
        <v>0.1114344024570799</v>
      </c>
      <c r="H9" s="20">
        <f t="shared" si="1"/>
        <v>1.9630136677403471</v>
      </c>
    </row>
    <row r="10" spans="1:8" s="20" customFormat="1">
      <c r="A10" s="78" t="str">
        <f>'material inventory'!K21</f>
        <v>DMF</v>
      </c>
      <c r="B10" s="20">
        <f>'material inventory'!L21</f>
        <v>2.7778789137676346E-3</v>
      </c>
      <c r="C10" s="20">
        <f>'material inventory'!M21</f>
        <v>7.5556306550594685E-2</v>
      </c>
      <c r="G10" s="20">
        <f t="shared" si="0"/>
        <v>2.7778789137676346E-3</v>
      </c>
      <c r="H10" s="20">
        <f t="shared" si="1"/>
        <v>7.5556306550594685E-2</v>
      </c>
    </row>
    <row r="11" spans="1:8" s="20" customFormat="1">
      <c r="A11" s="78" t="str">
        <f>'material inventory'!K22</f>
        <v>DMSO</v>
      </c>
      <c r="B11" s="20">
        <f>'material inventory'!L22</f>
        <v>3.5756612254426892E-4</v>
      </c>
      <c r="C11" s="20">
        <f>'material inventory'!M22</f>
        <v>1.6499999309507574E-2</v>
      </c>
      <c r="G11" s="20">
        <f t="shared" si="0"/>
        <v>3.5756612254426892E-4</v>
      </c>
      <c r="H11" s="20">
        <f t="shared" si="1"/>
        <v>1.6499999309507574E-2</v>
      </c>
    </row>
    <row r="12" spans="1:8" s="20" customFormat="1">
      <c r="A12" s="78" t="str">
        <f>'material inventory'!K23</f>
        <v>Isopropanol</v>
      </c>
      <c r="B12" s="20">
        <f>'material inventory'!L23</f>
        <v>9.8536232918946171E-2</v>
      </c>
      <c r="C12" s="20">
        <f>'material inventory'!M23</f>
        <v>3.2570821583550118</v>
      </c>
      <c r="G12" s="20">
        <f t="shared" si="0"/>
        <v>9.8536232918946171E-2</v>
      </c>
      <c r="H12" s="20">
        <f t="shared" si="1"/>
        <v>3.2570821583550118</v>
      </c>
    </row>
    <row r="13" spans="1:8" s="20" customFormat="1">
      <c r="A13" s="78" t="str">
        <f>'material inventory'!K24</f>
        <v>PTAA solution</v>
      </c>
      <c r="B13" s="20">
        <f>'material inventory'!L24</f>
        <v>4.2266595161539466E-2</v>
      </c>
      <c r="C13" s="20">
        <f>'material inventory'!M24</f>
        <v>0.78923824670233655</v>
      </c>
      <c r="G13" s="20">
        <f t="shared" si="0"/>
        <v>4.2266595161539466E-2</v>
      </c>
      <c r="H13" s="20">
        <f t="shared" si="1"/>
        <v>0.78923824670233655</v>
      </c>
    </row>
    <row r="14" spans="1:8" s="20" customFormat="1">
      <c r="A14" s="78" t="str">
        <f>'material inventory'!K25</f>
        <v>Cu</v>
      </c>
      <c r="B14" s="20">
        <f>'material inventory'!L25</f>
        <v>3.7954882559999999E-3</v>
      </c>
      <c r="C14" s="20">
        <f>'material inventory'!M25</f>
        <v>5.4579072598579199E-2</v>
      </c>
      <c r="G14" s="20">
        <f t="shared" si="0"/>
        <v>3.7954882559999999E-3</v>
      </c>
      <c r="H14" s="20">
        <f t="shared" si="1"/>
        <v>5.4579072598579199E-2</v>
      </c>
    </row>
    <row r="15" spans="1:8" s="20" customFormat="1">
      <c r="A15" s="78" t="str">
        <f>'material inventory'!K26</f>
        <v>Ar</v>
      </c>
      <c r="B15" s="20">
        <f>'material inventory'!L26</f>
        <v>0.29058656969696967</v>
      </c>
      <c r="C15" s="20">
        <f>'material inventory'!M26</f>
        <v>4.3659558183030303</v>
      </c>
      <c r="G15" s="20">
        <f t="shared" si="0"/>
        <v>0.29058656969696967</v>
      </c>
      <c r="H15" s="20">
        <f t="shared" si="1"/>
        <v>4.3659558183030303</v>
      </c>
    </row>
    <row r="16" spans="1:8" s="20" customFormat="1">
      <c r="A16" s="78" t="str">
        <f>'material inventory'!K27</f>
        <v>O₂</v>
      </c>
      <c r="B16" s="20">
        <f>'material inventory'!L27</f>
        <v>1.2806957575757575E-4</v>
      </c>
      <c r="C16" s="20">
        <f>'material inventory'!M27</f>
        <v>1.7448388645818179E-3</v>
      </c>
      <c r="G16" s="20">
        <f t="shared" si="0"/>
        <v>1.2806957575757575E-4</v>
      </c>
      <c r="H16" s="20">
        <f t="shared" si="1"/>
        <v>1.7448388645818179E-3</v>
      </c>
    </row>
    <row r="17" spans="1:8" s="20" customFormat="1">
      <c r="A17" s="78" t="str">
        <f>'material inventory'!K28</f>
        <v>Adhesive</v>
      </c>
      <c r="B17" s="20">
        <f>'material inventory'!L28</f>
        <v>5.8513339999999997E-2</v>
      </c>
      <c r="C17" s="20">
        <f>'material inventory'!M28</f>
        <v>1.121768096012</v>
      </c>
      <c r="G17" s="20">
        <f t="shared" si="0"/>
        <v>5.8513339999999997E-2</v>
      </c>
      <c r="H17" s="20">
        <f t="shared" si="1"/>
        <v>1.121768096012</v>
      </c>
    </row>
    <row r="18" spans="1:8" s="20" customFormat="1">
      <c r="A18" s="78" t="str">
        <f>'material inventory'!K29</f>
        <v>PET</v>
      </c>
      <c r="B18" s="20">
        <f>'material inventory'!L29</f>
        <v>0.19433649</v>
      </c>
      <c r="C18" s="20">
        <f>'material inventory'!M29</f>
        <v>4.876431431436</v>
      </c>
      <c r="G18" s="20">
        <f t="shared" si="0"/>
        <v>0.19433649</v>
      </c>
      <c r="H18" s="20">
        <f t="shared" si="1"/>
        <v>4.876431431436</v>
      </c>
    </row>
    <row r="19" spans="1:8" s="20" customFormat="1">
      <c r="A19" s="79" t="s">
        <v>142</v>
      </c>
      <c r="B19" s="79">
        <f>'energy consumption'!I18*'material inventory'!$B$2</f>
        <v>1.4695344011756272E-2</v>
      </c>
      <c r="C19" s="79">
        <f>'energy consumption'!R18*'material inventory'!$B$2</f>
        <v>0.25857617659780091</v>
      </c>
      <c r="D19" s="79"/>
      <c r="E19" s="79"/>
      <c r="F19" s="79"/>
      <c r="G19" s="79">
        <f t="shared" si="0"/>
        <v>1.4695344011756272E-2</v>
      </c>
      <c r="H19" s="79">
        <f t="shared" si="1"/>
        <v>0.25857617659780091</v>
      </c>
    </row>
    <row r="20" spans="1:8" s="20" customFormat="1">
      <c r="A20" s="79" t="str">
        <f>'energy consumption'!H3</f>
        <v>Spray pyrolysis</v>
      </c>
      <c r="B20" s="79">
        <f>'energy consumption'!I3</f>
        <v>4.1750057176257169E-5</v>
      </c>
      <c r="C20" s="79">
        <f>'energy consumption'!R3</f>
        <v>7.3462520841565228E-4</v>
      </c>
      <c r="D20" s="79"/>
      <c r="E20" s="79"/>
      <c r="F20" s="79"/>
      <c r="G20" s="79">
        <f t="shared" si="0"/>
        <v>4.1750057176257169E-5</v>
      </c>
      <c r="H20" s="79">
        <f t="shared" si="1"/>
        <v>7.3462520841565228E-4</v>
      </c>
    </row>
    <row r="21" spans="1:8" s="20" customFormat="1">
      <c r="A21" s="79" t="str">
        <f>'energy consumption'!H4</f>
        <v>ETL slot-die coating</v>
      </c>
      <c r="B21" s="79">
        <f>'energy consumption'!I4</f>
        <v>1.4790000011831994E-3</v>
      </c>
      <c r="C21" s="79">
        <f>'energy consumption'!R4</f>
        <v>2.6024172362902664E-2</v>
      </c>
      <c r="D21" s="79"/>
      <c r="E21" s="79"/>
      <c r="F21" s="79"/>
      <c r="G21" s="79">
        <f t="shared" si="0"/>
        <v>1.4790000011831994E-3</v>
      </c>
      <c r="H21" s="79">
        <f t="shared" si="1"/>
        <v>2.6024172362902664E-2</v>
      </c>
    </row>
    <row r="22" spans="1:8" s="20" customFormat="1">
      <c r="A22" s="79" t="str">
        <f>'energy consumption'!H5</f>
        <v>ETL calcining</v>
      </c>
      <c r="B22" s="79">
        <f>'energy consumption'!I5</f>
        <v>3.0425142881482956</v>
      </c>
      <c r="C22" s="79">
        <f>'energy consumption'!R5</f>
        <v>53.535440289399759</v>
      </c>
      <c r="D22" s="79"/>
      <c r="E22" s="79"/>
      <c r="F22" s="79"/>
      <c r="G22" s="79">
        <f t="shared" si="0"/>
        <v>3.0425142881482956</v>
      </c>
      <c r="H22" s="79">
        <f t="shared" si="1"/>
        <v>53.535440289399759</v>
      </c>
    </row>
    <row r="23" spans="1:8" s="20" customFormat="1">
      <c r="A23" s="79" t="str">
        <f>'energy consumption'!H6</f>
        <v>PL 1st-step slot-die coating</v>
      </c>
      <c r="B23" s="79">
        <f>'energy consumption'!I6</f>
        <v>2.1128571445474281E-2</v>
      </c>
      <c r="C23" s="79">
        <f>'energy consumption'!R6</f>
        <v>0.37177389089860957</v>
      </c>
      <c r="D23" s="79"/>
      <c r="E23" s="79"/>
      <c r="F23" s="79"/>
      <c r="G23" s="79">
        <f t="shared" si="0"/>
        <v>2.1128571445474281E-2</v>
      </c>
      <c r="H23" s="79">
        <f t="shared" si="1"/>
        <v>0.37177389089860957</v>
      </c>
    </row>
    <row r="24" spans="1:8" s="20" customFormat="1">
      <c r="A24" s="79" t="str">
        <f>'energy consumption'!H7</f>
        <v>PL 2nd-step slot-die coating</v>
      </c>
      <c r="B24" s="79">
        <f>'energy consumption'!I7</f>
        <v>2.1128571445474281E-2</v>
      </c>
      <c r="C24" s="79">
        <f>'energy consumption'!R7</f>
        <v>0.37177389089860957</v>
      </c>
      <c r="D24" s="79"/>
      <c r="E24" s="79"/>
      <c r="F24" s="79"/>
      <c r="G24" s="79">
        <f t="shared" si="0"/>
        <v>2.1128571445474281E-2</v>
      </c>
      <c r="H24" s="79">
        <f t="shared" si="1"/>
        <v>0.37177389089860957</v>
      </c>
    </row>
    <row r="25" spans="1:8" s="20" customFormat="1">
      <c r="A25" s="79" t="str">
        <f>'energy consumption'!H8</f>
        <v>PL 1st-step drying</v>
      </c>
      <c r="B25" s="79">
        <f>'energy consumption'!I8</f>
        <v>3.0425142881482961</v>
      </c>
      <c r="C25" s="79">
        <f>'energy consumption'!R8</f>
        <v>53.535440289399773</v>
      </c>
      <c r="D25" s="79"/>
      <c r="E25" s="79"/>
      <c r="F25" s="79"/>
      <c r="G25" s="79">
        <f t="shared" si="0"/>
        <v>3.0425142881482961</v>
      </c>
      <c r="H25" s="79">
        <f t="shared" si="1"/>
        <v>53.535440289399773</v>
      </c>
    </row>
    <row r="26" spans="1:8" s="20" customFormat="1">
      <c r="A26" s="79" t="str">
        <f>'energy consumption'!H9</f>
        <v>PL 2nd-step drying</v>
      </c>
      <c r="B26" s="79">
        <f>'energy consumption'!I9</f>
        <v>4.5637714322224454</v>
      </c>
      <c r="C26" s="79">
        <f>'energy consumption'!R9</f>
        <v>80.303160434099667</v>
      </c>
      <c r="D26" s="79"/>
      <c r="E26" s="79"/>
      <c r="F26" s="79"/>
      <c r="G26" s="79">
        <f t="shared" si="0"/>
        <v>4.5637714322224454</v>
      </c>
      <c r="H26" s="79">
        <f t="shared" si="1"/>
        <v>80.303160434099667</v>
      </c>
    </row>
    <row r="27" spans="1:8" s="20" customFormat="1">
      <c r="A27" s="79" t="str">
        <f>'energy consumption'!H10</f>
        <v>PL annealing</v>
      </c>
      <c r="B27" s="79">
        <f>'energy consumption'!I10</f>
        <v>3.0425142881482961</v>
      </c>
      <c r="C27" s="79">
        <f>'energy consumption'!R10</f>
        <v>53.535440289399773</v>
      </c>
      <c r="D27" s="79"/>
      <c r="E27" s="79"/>
      <c r="F27" s="79"/>
      <c r="G27" s="79">
        <f t="shared" si="0"/>
        <v>3.0425142881482961</v>
      </c>
      <c r="H27" s="79">
        <f t="shared" si="1"/>
        <v>53.535440289399773</v>
      </c>
    </row>
    <row r="28" spans="1:8" s="20" customFormat="1">
      <c r="A28" s="79" t="str">
        <f>'energy consumption'!H11</f>
        <v>HTL slot-die coating</v>
      </c>
      <c r="B28" s="79">
        <f>'energy consumption'!I11</f>
        <v>9.8600000078879993E-2</v>
      </c>
      <c r="C28" s="79">
        <f>'energy consumption'!R11</f>
        <v>1.7349448241935115</v>
      </c>
      <c r="D28" s="79"/>
      <c r="E28" s="79"/>
      <c r="F28" s="79"/>
      <c r="G28" s="79">
        <f t="shared" si="0"/>
        <v>9.8600000078879993E-2</v>
      </c>
      <c r="H28" s="79">
        <f t="shared" si="1"/>
        <v>1.7349448241935115</v>
      </c>
    </row>
    <row r="29" spans="1:8" s="20" customFormat="1">
      <c r="A29" s="79" t="str">
        <f>'energy consumption'!H12</f>
        <v>Electrode sputtering</v>
      </c>
      <c r="B29" s="79">
        <f>'energy consumption'!I12</f>
        <v>5.5216000044172793</v>
      </c>
      <c r="C29" s="79">
        <f>'energy consumption'!R12</f>
        <v>97.156910154836652</v>
      </c>
      <c r="D29" s="79"/>
      <c r="E29" s="79"/>
      <c r="F29" s="79"/>
      <c r="G29" s="79">
        <f t="shared" si="0"/>
        <v>5.5216000044172793</v>
      </c>
      <c r="H29" s="79">
        <f t="shared" si="1"/>
        <v>97.156910154836652</v>
      </c>
    </row>
    <row r="30" spans="1:8" s="20" customFormat="1">
      <c r="A30" s="79" t="str">
        <f>'energy consumption'!H13</f>
        <v>Lamination</v>
      </c>
      <c r="B30" s="79">
        <f>'energy consumption'!I13</f>
        <v>8.8740000070991979E-3</v>
      </c>
      <c r="C30" s="79">
        <f>'energy consumption'!R13</f>
        <v>0.15614503417741601</v>
      </c>
      <c r="D30" s="79"/>
      <c r="E30" s="79"/>
      <c r="F30" s="79"/>
      <c r="G30" s="79">
        <f t="shared" ref="G30:G31" si="2">B30</f>
        <v>8.8740000070991979E-3</v>
      </c>
      <c r="H30" s="79">
        <f t="shared" ref="H30:H31" si="3">C30</f>
        <v>0.15614503417741601</v>
      </c>
    </row>
    <row r="31" spans="1:8" s="20" customFormat="1">
      <c r="A31" s="80" t="s">
        <v>18</v>
      </c>
      <c r="B31" s="80">
        <f>'material inventory'!L30</f>
        <v>0</v>
      </c>
      <c r="C31" s="80">
        <f>'material inventory'!M30</f>
        <v>0</v>
      </c>
      <c r="D31" s="80"/>
      <c r="E31" s="80"/>
      <c r="F31" s="80"/>
      <c r="G31" s="80">
        <f t="shared" si="2"/>
        <v>0</v>
      </c>
      <c r="H31" s="80">
        <f t="shared" si="3"/>
        <v>0</v>
      </c>
    </row>
    <row r="32" spans="1:8" s="20" customFormat="1">
      <c r="A32" s="80" t="s">
        <v>89</v>
      </c>
      <c r="B32" s="80">
        <f>'material inventory'!L47</f>
        <v>1.2757696199999999E-4</v>
      </c>
      <c r="C32" s="80">
        <f>'material inventory'!M47</f>
        <v>1.0661210680980003E-3</v>
      </c>
      <c r="D32" s="80"/>
      <c r="E32" s="80"/>
      <c r="F32" s="80"/>
      <c r="G32" s="80">
        <f t="shared" ref="G32" si="4">B32</f>
        <v>1.2757696199999999E-4</v>
      </c>
      <c r="H32" s="80">
        <f t="shared" ref="H32" si="5">C32</f>
        <v>1.0661210680980003E-3</v>
      </c>
    </row>
    <row r="33" spans="1:8" s="20" customFormat="1">
      <c r="A33" s="80" t="s">
        <v>90</v>
      </c>
      <c r="B33" s="80">
        <f>'material inventory'!L52</f>
        <v>3.1911057464590917E-3</v>
      </c>
      <c r="C33" s="80">
        <f>'material inventory'!M52</f>
        <v>0.10213142163525465</v>
      </c>
      <c r="D33" s="80"/>
      <c r="E33" s="80"/>
      <c r="F33" s="80"/>
      <c r="G33" s="80">
        <v>6.2954943647999988</v>
      </c>
      <c r="H33" s="80">
        <v>102.3232979508053</v>
      </c>
    </row>
    <row r="34" spans="1:8" s="20" customFormat="1">
      <c r="A34" s="98" t="s">
        <v>63</v>
      </c>
      <c r="B34" s="98">
        <f>SUM(B2:B33)</f>
        <v>20.559681688395504</v>
      </c>
      <c r="C34" s="98">
        <f t="shared" ref="C34" si="6">SUM(C2:C33)</f>
        <v>366.59558450400203</v>
      </c>
      <c r="D34" s="98"/>
      <c r="E34" s="98"/>
      <c r="F34" s="98"/>
      <c r="G34" s="98">
        <f>SUM(G2:G33)</f>
        <v>26.851984947449044</v>
      </c>
      <c r="H34" s="98">
        <f>SUM(H2:H33)</f>
        <v>468.81675103317207</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B0483-0759-45FB-8074-C0FB97186E45}">
  <sheetPr codeName="Sheet4"/>
  <dimension ref="A1:T15"/>
  <sheetViews>
    <sheetView workbookViewId="0">
      <selection activeCell="C7" sqref="C7"/>
    </sheetView>
  </sheetViews>
  <sheetFormatPr defaultRowHeight="15"/>
  <cols>
    <col min="1" max="1" width="26.85546875" customWidth="1"/>
    <col min="2" max="2" width="18.7109375" customWidth="1"/>
  </cols>
  <sheetData>
    <row r="1" spans="1:20">
      <c r="A1" t="s">
        <v>91</v>
      </c>
      <c r="B1" t="s">
        <v>92</v>
      </c>
      <c r="C1" t="s">
        <v>106</v>
      </c>
      <c r="F1" s="14">
        <f>22.1%*0.8</f>
        <v>0.17680000000000001</v>
      </c>
      <c r="H1" s="15"/>
      <c r="K1" s="118"/>
      <c r="L1" s="119"/>
    </row>
    <row r="2" spans="1:20">
      <c r="A2" t="s">
        <v>93</v>
      </c>
      <c r="B2" t="s">
        <v>94</v>
      </c>
      <c r="C2" s="9">
        <v>1700</v>
      </c>
      <c r="E2">
        <v>58.9</v>
      </c>
      <c r="R2" s="16"/>
      <c r="T2" s="16"/>
    </row>
    <row r="3" spans="1:20">
      <c r="A3" t="s">
        <v>95</v>
      </c>
      <c r="B3" t="s">
        <v>14</v>
      </c>
      <c r="C3" s="10">
        <v>0.75</v>
      </c>
      <c r="E3">
        <v>1.23</v>
      </c>
      <c r="R3" s="16"/>
      <c r="T3" s="16"/>
    </row>
    <row r="4" spans="1:20">
      <c r="A4" t="s">
        <v>96</v>
      </c>
      <c r="B4" t="s">
        <v>14</v>
      </c>
      <c r="C4" s="11">
        <v>0.17680000000000001</v>
      </c>
      <c r="E4">
        <v>1.05</v>
      </c>
      <c r="R4" s="14"/>
      <c r="T4" s="14"/>
    </row>
    <row r="5" spans="1:20">
      <c r="A5" t="s">
        <v>97</v>
      </c>
      <c r="B5" t="s">
        <v>98</v>
      </c>
      <c r="C5">
        <v>12.49</v>
      </c>
      <c r="R5" s="14"/>
      <c r="T5" s="14"/>
    </row>
    <row r="6" spans="1:20">
      <c r="A6" t="s">
        <v>99</v>
      </c>
      <c r="B6" t="s">
        <v>100</v>
      </c>
      <c r="C6" s="9">
        <v>5</v>
      </c>
      <c r="E6">
        <v>1.1499999999999999</v>
      </c>
      <c r="T6" s="14"/>
    </row>
    <row r="7" spans="1:20">
      <c r="A7" t="s">
        <v>101</v>
      </c>
      <c r="B7" t="s">
        <v>102</v>
      </c>
      <c r="C7" s="9">
        <v>468.81675103317207</v>
      </c>
      <c r="E7">
        <v>1.1100000000000001</v>
      </c>
    </row>
    <row r="8" spans="1:20">
      <c r="A8" t="s">
        <v>103</v>
      </c>
      <c r="C8" s="9">
        <v>26.851984947449044</v>
      </c>
      <c r="E8">
        <v>1.1100000000000001</v>
      </c>
    </row>
    <row r="9" spans="1:20">
      <c r="B9" t="s">
        <v>104</v>
      </c>
      <c r="C9" s="12">
        <f>C7/C5/C2/C4/C3</f>
        <v>0.16651303512268498</v>
      </c>
    </row>
    <row r="10" spans="1:20">
      <c r="B10" t="s">
        <v>105</v>
      </c>
      <c r="C10" s="12">
        <f>C8*1000/C2/C3/C4/C6</f>
        <v>23.823959673009533</v>
      </c>
    </row>
    <row r="12" spans="1:20">
      <c r="B12">
        <f>results!G34</f>
        <v>26.851984947449044</v>
      </c>
      <c r="C12">
        <f>results!H34</f>
        <v>468.81675103317207</v>
      </c>
    </row>
    <row r="15" spans="1:20">
      <c r="I15" s="7"/>
    </row>
  </sheetData>
  <mergeCells count="1">
    <mergeCell ref="K1:L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C8FB9-31C3-4363-8C7A-036C21D3FF49}">
  <sheetPr codeName="Sheet8"/>
  <dimension ref="A1:P31"/>
  <sheetViews>
    <sheetView workbookViewId="0"/>
  </sheetViews>
  <sheetFormatPr defaultRowHeight="15"/>
  <cols>
    <col min="1" max="2" width="36.7109375" customWidth="1"/>
  </cols>
  <sheetData>
    <row r="1" spans="1:16">
      <c r="A1" s="7" t="s">
        <v>65</v>
      </c>
    </row>
    <row r="2" spans="1:16">
      <c r="P2">
        <f ca="1">_xll.CB.RecalcCounterFN()</f>
        <v>0</v>
      </c>
    </row>
    <row r="3" spans="1:16">
      <c r="A3" t="s">
        <v>66</v>
      </c>
      <c r="B3" t="s">
        <v>67</v>
      </c>
      <c r="C3">
        <v>0</v>
      </c>
    </row>
    <row r="4" spans="1:16">
      <c r="A4" t="s">
        <v>68</v>
      </c>
    </row>
    <row r="5" spans="1:16">
      <c r="A5" t="s">
        <v>69</v>
      </c>
    </row>
    <row r="7" spans="1:16">
      <c r="A7" s="7" t="s">
        <v>70</v>
      </c>
      <c r="B7" t="s">
        <v>71</v>
      </c>
    </row>
    <row r="8" spans="1:16">
      <c r="B8">
        <v>2</v>
      </c>
    </row>
    <row r="10" spans="1:16">
      <c r="A10" t="s">
        <v>72</v>
      </c>
    </row>
    <row r="11" spans="1:16">
      <c r="A11" t="e">
        <f>CB_DATA_!#REF!</f>
        <v>#REF!</v>
      </c>
      <c r="B11" t="e">
        <f>uncertainty!#REF!</f>
        <v>#REF!</v>
      </c>
    </row>
    <row r="13" spans="1:16">
      <c r="A13" t="s">
        <v>73</v>
      </c>
    </row>
    <row r="14" spans="1:16">
      <c r="A14" t="s">
        <v>77</v>
      </c>
      <c r="B14" t="s">
        <v>118</v>
      </c>
    </row>
    <row r="16" spans="1:16">
      <c r="A16" t="s">
        <v>74</v>
      </c>
    </row>
    <row r="19" spans="1:2">
      <c r="A19" t="s">
        <v>75</v>
      </c>
    </row>
    <row r="20" spans="1:2">
      <c r="A20">
        <v>31</v>
      </c>
      <c r="B20">
        <v>31</v>
      </c>
    </row>
    <row r="25" spans="1:2">
      <c r="A25" s="7" t="s">
        <v>76</v>
      </c>
    </row>
    <row r="26" spans="1:2">
      <c r="A26" s="8" t="s">
        <v>78</v>
      </c>
      <c r="B26" s="8" t="s">
        <v>107</v>
      </c>
    </row>
    <row r="27" spans="1:2">
      <c r="A27" t="s">
        <v>121</v>
      </c>
      <c r="B27" t="s">
        <v>167</v>
      </c>
    </row>
    <row r="28" spans="1:2">
      <c r="A28" s="8" t="s">
        <v>79</v>
      </c>
      <c r="B28" s="8" t="s">
        <v>79</v>
      </c>
    </row>
    <row r="29" spans="1:2">
      <c r="A29" s="8" t="s">
        <v>107</v>
      </c>
      <c r="B29" s="8" t="s">
        <v>78</v>
      </c>
    </row>
    <row r="30" spans="1:2">
      <c r="A30" t="s">
        <v>166</v>
      </c>
      <c r="B30" t="s">
        <v>122</v>
      </c>
    </row>
    <row r="31" spans="1:2">
      <c r="A31" s="8" t="s">
        <v>79</v>
      </c>
      <c r="B31" s="8" t="s">
        <v>79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material inventory</vt:lpstr>
      <vt:lpstr>sensitivity</vt:lpstr>
      <vt:lpstr>energy consumption</vt:lpstr>
      <vt:lpstr>results</vt:lpstr>
      <vt:lpstr>uncertainty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2020-01-04T19:51:00Z</dcterms:modified>
</cp:coreProperties>
</file>